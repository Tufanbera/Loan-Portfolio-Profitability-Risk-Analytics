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BFD3CBA92681E540/Documents/"/>
    </mc:Choice>
  </mc:AlternateContent>
  <xr:revisionPtr revIDLastSave="355" documentId="8_{CF1E9BA1-5223-4A12-8046-F2785ED299B2}" xr6:coauthVersionLast="47" xr6:coauthVersionMax="47" xr10:uidLastSave="{43272493-D4A2-4526-9BE7-F7380CE487AF}"/>
  <bookViews>
    <workbookView xWindow="-108" yWindow="-108" windowWidth="23256" windowHeight="13176" firstSheet="2" activeTab="5" xr2:uid="{00000000-000D-0000-FFFF-FFFF00000000}"/>
  </bookViews>
  <sheets>
    <sheet name="Raw_Data" sheetId="1" r:id="rId1"/>
    <sheet name="Data_Dictionary" sheetId="2" r:id="rId2"/>
    <sheet name="Business Decisions" sheetId="5" r:id="rId3"/>
    <sheet name="Business helath" sheetId="3" r:id="rId4"/>
    <sheet name="Product Analysis" sheetId="4" r:id="rId5"/>
    <sheet name="Dashboard" sheetId="6" r:id="rId6"/>
  </sheets>
  <definedNames>
    <definedName name="_xlnm._FilterDatabase" localSheetId="0" hidden="1">Raw_Data!$A$1:$AC$501</definedName>
    <definedName name="Slicer_Device_Category">#N/A</definedName>
    <definedName name="Slicer_Interest_Rate_Segment">#N/A</definedName>
    <definedName name="Slicer_Loan_Size_Segment">#N/A</definedName>
    <definedName name="Slicer_Loan_Status">#N/A</definedName>
    <definedName name="Slicer_Region">#N/A</definedName>
    <definedName name="Slicer_Tenure_Segment">#N/A</definedName>
  </definedNames>
  <calcPr calcId="191029" iterateDelta="1E-4"/>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3" l="1"/>
  <c r="B10" i="3"/>
  <c r="B9" i="3"/>
  <c r="B7" i="3"/>
  <c r="B8" i="3"/>
  <c r="B6" i="3"/>
  <c r="B5" i="3"/>
  <c r="B4" i="3"/>
  <c r="B3" i="3"/>
  <c r="B2" i="3"/>
  <c r="C19" i="3"/>
</calcChain>
</file>

<file path=xl/sharedStrings.xml><?xml version="1.0" encoding="utf-8"?>
<sst xmlns="http://schemas.openxmlformats.org/spreadsheetml/2006/main" count="5169" uniqueCount="1129">
  <si>
    <t>Loan ID</t>
  </si>
  <si>
    <t>Customer ID</t>
  </si>
  <si>
    <t>Device Category</t>
  </si>
  <si>
    <t>Device Price (Rs.)</t>
  </si>
  <si>
    <t>Down Payment %</t>
  </si>
  <si>
    <t>Down Payment (Rs.)</t>
  </si>
  <si>
    <t>Loan Amount / Principal (Rs.)</t>
  </si>
  <si>
    <t>Interest Rate (Annual %)</t>
  </si>
  <si>
    <t>Tenure (Months)</t>
  </si>
  <si>
    <t>Monthly Interest Rate</t>
  </si>
  <si>
    <t>EMI (Rs.)</t>
  </si>
  <si>
    <t>Total Payment (Rs.)</t>
  </si>
  <si>
    <t>Total Interest Income (Rs.)</t>
  </si>
  <si>
    <t>Processing Fee (Rs.)</t>
  </si>
  <si>
    <t>Cost of Funds (Rs.)</t>
  </si>
  <si>
    <t>Loan Status</t>
  </si>
  <si>
    <t>Default Loss (Rs.)</t>
  </si>
  <si>
    <t>Net Bank Profit (Rs.)</t>
  </si>
  <si>
    <t>Region</t>
  </si>
  <si>
    <t>Disbursement Month</t>
  </si>
  <si>
    <t>Loan Size Segment</t>
  </si>
  <si>
    <t>Interest Rate Segment</t>
  </si>
  <si>
    <t>Tenure Segment</t>
  </si>
  <si>
    <t>Calculated Revenue (Rs.)</t>
  </si>
  <si>
    <t>Calculated Cost (Rs.)</t>
  </si>
  <si>
    <t>Calculated Profit (Rs.)</t>
  </si>
  <si>
    <t>Profit Margin %</t>
  </si>
  <si>
    <t>Default Loss %</t>
  </si>
  <si>
    <t>Profit Check</t>
  </si>
  <si>
    <t>LN-0001</t>
  </si>
  <si>
    <t>CUST-1001</t>
  </si>
  <si>
    <t>Bike</t>
  </si>
  <si>
    <t>Active</t>
  </si>
  <si>
    <t>North</t>
  </si>
  <si>
    <t>Oct-2025</t>
  </si>
  <si>
    <t>Small</t>
  </si>
  <si>
    <t>Medium Rate</t>
  </si>
  <si>
    <t>Medium Term</t>
  </si>
  <si>
    <t>OK</t>
  </si>
  <si>
    <t>LN-0002</t>
  </si>
  <si>
    <t>CUST-1002</t>
  </si>
  <si>
    <t>Laptop</t>
  </si>
  <si>
    <t>Default</t>
  </si>
  <si>
    <t>South</t>
  </si>
  <si>
    <t>Dec-2025</t>
  </si>
  <si>
    <t>LN-0003</t>
  </si>
  <si>
    <t>CUST-1003</t>
  </si>
  <si>
    <t>Mar-2025</t>
  </si>
  <si>
    <t>Medium</t>
  </si>
  <si>
    <t>Long Term</t>
  </si>
  <si>
    <t>LN-0004</t>
  </si>
  <si>
    <t>CUST-1004</t>
  </si>
  <si>
    <t>Closed</t>
  </si>
  <si>
    <t>Jun-2025</t>
  </si>
  <si>
    <t>LN-0005</t>
  </si>
  <si>
    <t>CUST-1005</t>
  </si>
  <si>
    <t>Car</t>
  </si>
  <si>
    <t>West</t>
  </si>
  <si>
    <t>Feb-2025</t>
  </si>
  <si>
    <t>Very Large</t>
  </si>
  <si>
    <t>LN-0006</t>
  </si>
  <si>
    <t>CUST-1006</t>
  </si>
  <si>
    <t>Jan-2025</t>
  </si>
  <si>
    <t>High Rate</t>
  </si>
  <si>
    <t>Short Term</t>
  </si>
  <si>
    <t>LN-0007</t>
  </si>
  <si>
    <t>CUST-1007</t>
  </si>
  <si>
    <t>Nov-2025</t>
  </si>
  <si>
    <t>LN-0008</t>
  </si>
  <si>
    <t>CUST-1008</t>
  </si>
  <si>
    <t>Sep-2025</t>
  </si>
  <si>
    <t>Low Rate</t>
  </si>
  <si>
    <t>LN-0009</t>
  </si>
  <si>
    <t>CUST-1009</t>
  </si>
  <si>
    <t>Apr-2025</t>
  </si>
  <si>
    <t>LN-0010</t>
  </si>
  <si>
    <t>CUST-1010</t>
  </si>
  <si>
    <t>East</t>
  </si>
  <si>
    <t>LN-0011</t>
  </si>
  <si>
    <t>CUST-1011</t>
  </si>
  <si>
    <t>LN-0012</t>
  </si>
  <si>
    <t>CUST-1012</t>
  </si>
  <si>
    <t>LN-0013</t>
  </si>
  <si>
    <t>CUST-1013</t>
  </si>
  <si>
    <t>LN-0014</t>
  </si>
  <si>
    <t>CUST-1014</t>
  </si>
  <si>
    <t>Mobile Phone</t>
  </si>
  <si>
    <t>LN-0015</t>
  </si>
  <si>
    <t>CUST-1015</t>
  </si>
  <si>
    <t>LN-0016</t>
  </si>
  <si>
    <t>CUST-1016</t>
  </si>
  <si>
    <t>LN-0017</t>
  </si>
  <si>
    <t>CUST-1017</t>
  </si>
  <si>
    <t>LN-0018</t>
  </si>
  <si>
    <t>CUST-1018</t>
  </si>
  <si>
    <t>LN-0019</t>
  </si>
  <si>
    <t>CUST-1019</t>
  </si>
  <si>
    <t>LN-0020</t>
  </si>
  <si>
    <t>CUST-1020</t>
  </si>
  <si>
    <t>LN-0021</t>
  </si>
  <si>
    <t>CUST-1021</t>
  </si>
  <si>
    <t>LN-0022</t>
  </si>
  <si>
    <t>CUST-1022</t>
  </si>
  <si>
    <t>LN-0023</t>
  </si>
  <si>
    <t>CUST-1023</t>
  </si>
  <si>
    <t>LN-0024</t>
  </si>
  <si>
    <t>CUST-1024</t>
  </si>
  <si>
    <t>Jul-2025</t>
  </si>
  <si>
    <t>LN-0025</t>
  </si>
  <si>
    <t>CUST-1025</t>
  </si>
  <si>
    <t>LN-0026</t>
  </si>
  <si>
    <t>CUST-1026</t>
  </si>
  <si>
    <t>LN-0027</t>
  </si>
  <si>
    <t>CUST-1027</t>
  </si>
  <si>
    <t>LN-0028</t>
  </si>
  <si>
    <t>CUST-1028</t>
  </si>
  <si>
    <t>Aug-2025</t>
  </si>
  <si>
    <t>LN-0029</t>
  </si>
  <si>
    <t>CUST-1029</t>
  </si>
  <si>
    <t>LN-0030</t>
  </si>
  <si>
    <t>CUST-1030</t>
  </si>
  <si>
    <t>LN-0031</t>
  </si>
  <si>
    <t>CUST-1031</t>
  </si>
  <si>
    <t>LN-0032</t>
  </si>
  <si>
    <t>CUST-1032</t>
  </si>
  <si>
    <t>LN-0033</t>
  </si>
  <si>
    <t>CUST-1033</t>
  </si>
  <si>
    <t>LN-0034</t>
  </si>
  <si>
    <t>CUST-1034</t>
  </si>
  <si>
    <t>LN-0035</t>
  </si>
  <si>
    <t>CUST-1035</t>
  </si>
  <si>
    <t>LN-0036</t>
  </si>
  <si>
    <t>CUST-1036</t>
  </si>
  <si>
    <t>LN-0037</t>
  </si>
  <si>
    <t>CUST-1037</t>
  </si>
  <si>
    <t>LN-0038</t>
  </si>
  <si>
    <t>CUST-1038</t>
  </si>
  <si>
    <t>LN-0039</t>
  </si>
  <si>
    <t>CUST-1039</t>
  </si>
  <si>
    <t>LN-0040</t>
  </si>
  <si>
    <t>CUST-1040</t>
  </si>
  <si>
    <t>LN-0041</t>
  </si>
  <si>
    <t>CUST-1041</t>
  </si>
  <si>
    <t>LN-0042</t>
  </si>
  <si>
    <t>CUST-1042</t>
  </si>
  <si>
    <t>LN-0043</t>
  </si>
  <si>
    <t>CUST-1043</t>
  </si>
  <si>
    <t>LN-0044</t>
  </si>
  <si>
    <t>CUST-1044</t>
  </si>
  <si>
    <t>LN-0045</t>
  </si>
  <si>
    <t>CUST-1045</t>
  </si>
  <si>
    <t>Large</t>
  </si>
  <si>
    <t>LN-0046</t>
  </si>
  <si>
    <t>CUST-1046</t>
  </si>
  <si>
    <t>LN-0047</t>
  </si>
  <si>
    <t>CUST-1047</t>
  </si>
  <si>
    <t>LN-0048</t>
  </si>
  <si>
    <t>CUST-1048</t>
  </si>
  <si>
    <t>LN-0049</t>
  </si>
  <si>
    <t>CUST-1049</t>
  </si>
  <si>
    <t>LN-0050</t>
  </si>
  <si>
    <t>CUST-1050</t>
  </si>
  <si>
    <t>LN-0051</t>
  </si>
  <si>
    <t>CUST-1051</t>
  </si>
  <si>
    <t>LN-0052</t>
  </si>
  <si>
    <t>CUST-1052</t>
  </si>
  <si>
    <t>LN-0053</t>
  </si>
  <si>
    <t>CUST-1053</t>
  </si>
  <si>
    <t>LN-0054</t>
  </si>
  <si>
    <t>CUST-1054</t>
  </si>
  <si>
    <t>LN-0055</t>
  </si>
  <si>
    <t>CUST-1055</t>
  </si>
  <si>
    <t>LN-0056</t>
  </si>
  <si>
    <t>CUST-1056</t>
  </si>
  <si>
    <t>LN-0057</t>
  </si>
  <si>
    <t>CUST-1057</t>
  </si>
  <si>
    <t>LN-0058</t>
  </si>
  <si>
    <t>CUST-1058</t>
  </si>
  <si>
    <t>LN-0059</t>
  </si>
  <si>
    <t>CUST-1059</t>
  </si>
  <si>
    <t>LN-0060</t>
  </si>
  <si>
    <t>CUST-1060</t>
  </si>
  <si>
    <t>LN-0061</t>
  </si>
  <si>
    <t>CUST-1061</t>
  </si>
  <si>
    <t>LN-0062</t>
  </si>
  <si>
    <t>CUST-1062</t>
  </si>
  <si>
    <t>LN-0063</t>
  </si>
  <si>
    <t>CUST-1063</t>
  </si>
  <si>
    <t>LN-0064</t>
  </si>
  <si>
    <t>CUST-1064</t>
  </si>
  <si>
    <t>LN-0065</t>
  </si>
  <si>
    <t>CUST-1065</t>
  </si>
  <si>
    <t>LN-0066</t>
  </si>
  <si>
    <t>CUST-1066</t>
  </si>
  <si>
    <t>LN-0067</t>
  </si>
  <si>
    <t>CUST-1067</t>
  </si>
  <si>
    <t>LN-0068</t>
  </si>
  <si>
    <t>CUST-1068</t>
  </si>
  <si>
    <t>LN-0069</t>
  </si>
  <si>
    <t>CUST-1069</t>
  </si>
  <si>
    <t>LN-0070</t>
  </si>
  <si>
    <t>CUST-1070</t>
  </si>
  <si>
    <t>LN-0071</t>
  </si>
  <si>
    <t>CUST-1071</t>
  </si>
  <si>
    <t>May-2025</t>
  </si>
  <si>
    <t>LN-0072</t>
  </si>
  <si>
    <t>CUST-1072</t>
  </si>
  <si>
    <t>LN-0073</t>
  </si>
  <si>
    <t>CUST-1073</t>
  </si>
  <si>
    <t>LN-0074</t>
  </si>
  <si>
    <t>CUST-1074</t>
  </si>
  <si>
    <t>LN-0075</t>
  </si>
  <si>
    <t>CUST-1075</t>
  </si>
  <si>
    <t>LN-0076</t>
  </si>
  <si>
    <t>CUST-1076</t>
  </si>
  <si>
    <t>LN-0077</t>
  </si>
  <si>
    <t>CUST-1077</t>
  </si>
  <si>
    <t>LN-0078</t>
  </si>
  <si>
    <t>CUST-1078</t>
  </si>
  <si>
    <t>LN-0079</t>
  </si>
  <si>
    <t>CUST-1079</t>
  </si>
  <si>
    <t>LN-0080</t>
  </si>
  <si>
    <t>CUST-1080</t>
  </si>
  <si>
    <t>LN-0081</t>
  </si>
  <si>
    <t>CUST-1081</t>
  </si>
  <si>
    <t>LN-0082</t>
  </si>
  <si>
    <t>CUST-1082</t>
  </si>
  <si>
    <t>LN-0083</t>
  </si>
  <si>
    <t>CUST-1083</t>
  </si>
  <si>
    <t>LN-0084</t>
  </si>
  <si>
    <t>CUST-1084</t>
  </si>
  <si>
    <t>LN-0085</t>
  </si>
  <si>
    <t>CUST-1085</t>
  </si>
  <si>
    <t>LN-0086</t>
  </si>
  <si>
    <t>CUST-1086</t>
  </si>
  <si>
    <t>LN-0087</t>
  </si>
  <si>
    <t>CUST-1087</t>
  </si>
  <si>
    <t>LN-0088</t>
  </si>
  <si>
    <t>CUST-1088</t>
  </si>
  <si>
    <t>LN-0089</t>
  </si>
  <si>
    <t>CUST-1089</t>
  </si>
  <si>
    <t>LN-0090</t>
  </si>
  <si>
    <t>CUST-1090</t>
  </si>
  <si>
    <t>LN-0091</t>
  </si>
  <si>
    <t>CUST-1091</t>
  </si>
  <si>
    <t>LN-0092</t>
  </si>
  <si>
    <t>CUST-1092</t>
  </si>
  <si>
    <t>LN-0093</t>
  </si>
  <si>
    <t>CUST-1093</t>
  </si>
  <si>
    <t>LN-0094</t>
  </si>
  <si>
    <t>CUST-1094</t>
  </si>
  <si>
    <t>LN-0095</t>
  </si>
  <si>
    <t>CUST-1095</t>
  </si>
  <si>
    <t>LN-0096</t>
  </si>
  <si>
    <t>CUST-1096</t>
  </si>
  <si>
    <t>LN-0097</t>
  </si>
  <si>
    <t>CUST-1097</t>
  </si>
  <si>
    <t>LN-0098</t>
  </si>
  <si>
    <t>CUST-1098</t>
  </si>
  <si>
    <t>LN-0099</t>
  </si>
  <si>
    <t>CUST-1099</t>
  </si>
  <si>
    <t>LN-0100</t>
  </si>
  <si>
    <t>CUST-1100</t>
  </si>
  <si>
    <t>LN-0101</t>
  </si>
  <si>
    <t>CUST-1101</t>
  </si>
  <si>
    <t>LN-0102</t>
  </si>
  <si>
    <t>CUST-1102</t>
  </si>
  <si>
    <t>LN-0103</t>
  </si>
  <si>
    <t>CUST-1103</t>
  </si>
  <si>
    <t>LN-0104</t>
  </si>
  <si>
    <t>CUST-1104</t>
  </si>
  <si>
    <t>LN-0105</t>
  </si>
  <si>
    <t>CUST-1105</t>
  </si>
  <si>
    <t>LN-0106</t>
  </si>
  <si>
    <t>CUST-1106</t>
  </si>
  <si>
    <t>LN-0107</t>
  </si>
  <si>
    <t>CUST-1107</t>
  </si>
  <si>
    <t>LN-0108</t>
  </si>
  <si>
    <t>CUST-1108</t>
  </si>
  <si>
    <t>LN-0109</t>
  </si>
  <si>
    <t>CUST-1109</t>
  </si>
  <si>
    <t>LN-0110</t>
  </si>
  <si>
    <t>CUST-1110</t>
  </si>
  <si>
    <t>LN-0111</t>
  </si>
  <si>
    <t>CUST-1111</t>
  </si>
  <si>
    <t>LN-0112</t>
  </si>
  <si>
    <t>CUST-1112</t>
  </si>
  <si>
    <t>LN-0113</t>
  </si>
  <si>
    <t>CUST-1113</t>
  </si>
  <si>
    <t>LN-0114</t>
  </si>
  <si>
    <t>CUST-1114</t>
  </si>
  <si>
    <t>LN-0115</t>
  </si>
  <si>
    <t>CUST-1115</t>
  </si>
  <si>
    <t>LN-0116</t>
  </si>
  <si>
    <t>CUST-1116</t>
  </si>
  <si>
    <t>LN-0117</t>
  </si>
  <si>
    <t>CUST-1117</t>
  </si>
  <si>
    <t>LN-0118</t>
  </si>
  <si>
    <t>CUST-1118</t>
  </si>
  <si>
    <t>LN-0119</t>
  </si>
  <si>
    <t>CUST-1119</t>
  </si>
  <si>
    <t>LN-0120</t>
  </si>
  <si>
    <t>CUST-1120</t>
  </si>
  <si>
    <t>LN-0121</t>
  </si>
  <si>
    <t>CUST-1121</t>
  </si>
  <si>
    <t>LN-0122</t>
  </si>
  <si>
    <t>CUST-1122</t>
  </si>
  <si>
    <t>LN-0123</t>
  </si>
  <si>
    <t>CUST-1123</t>
  </si>
  <si>
    <t>LN-0124</t>
  </si>
  <si>
    <t>CUST-1124</t>
  </si>
  <si>
    <t>LN-0125</t>
  </si>
  <si>
    <t>CUST-1125</t>
  </si>
  <si>
    <t>LN-0126</t>
  </si>
  <si>
    <t>CUST-1126</t>
  </si>
  <si>
    <t>LN-0127</t>
  </si>
  <si>
    <t>CUST-1127</t>
  </si>
  <si>
    <t>LN-0128</t>
  </si>
  <si>
    <t>CUST-1128</t>
  </si>
  <si>
    <t>LN-0129</t>
  </si>
  <si>
    <t>CUST-1129</t>
  </si>
  <si>
    <t>LN-0130</t>
  </si>
  <si>
    <t>CUST-1130</t>
  </si>
  <si>
    <t>LN-0131</t>
  </si>
  <si>
    <t>CUST-1131</t>
  </si>
  <si>
    <t>LN-0132</t>
  </si>
  <si>
    <t>CUST-1132</t>
  </si>
  <si>
    <t>LN-0133</t>
  </si>
  <si>
    <t>CUST-1133</t>
  </si>
  <si>
    <t>LN-0134</t>
  </si>
  <si>
    <t>CUST-1134</t>
  </si>
  <si>
    <t>LN-0135</t>
  </si>
  <si>
    <t>CUST-1135</t>
  </si>
  <si>
    <t>LN-0136</t>
  </si>
  <si>
    <t>CUST-1136</t>
  </si>
  <si>
    <t>LN-0137</t>
  </si>
  <si>
    <t>CUST-1137</t>
  </si>
  <si>
    <t>LN-0138</t>
  </si>
  <si>
    <t>CUST-1138</t>
  </si>
  <si>
    <t>LN-0139</t>
  </si>
  <si>
    <t>CUST-1139</t>
  </si>
  <si>
    <t>LN-0140</t>
  </si>
  <si>
    <t>CUST-1140</t>
  </si>
  <si>
    <t>LN-0141</t>
  </si>
  <si>
    <t>CUST-1141</t>
  </si>
  <si>
    <t>LN-0142</t>
  </si>
  <si>
    <t>CUST-1142</t>
  </si>
  <si>
    <t>LN-0143</t>
  </si>
  <si>
    <t>CUST-1143</t>
  </si>
  <si>
    <t>LN-0144</t>
  </si>
  <si>
    <t>CUST-1144</t>
  </si>
  <si>
    <t>LN-0145</t>
  </si>
  <si>
    <t>CUST-1145</t>
  </si>
  <si>
    <t>LN-0146</t>
  </si>
  <si>
    <t>CUST-1146</t>
  </si>
  <si>
    <t>LN-0147</t>
  </si>
  <si>
    <t>CUST-1147</t>
  </si>
  <si>
    <t>LN-0148</t>
  </si>
  <si>
    <t>CUST-1148</t>
  </si>
  <si>
    <t>LN-0149</t>
  </si>
  <si>
    <t>CUST-1149</t>
  </si>
  <si>
    <t>LN-0150</t>
  </si>
  <si>
    <t>CUST-1150</t>
  </si>
  <si>
    <t>LN-0151</t>
  </si>
  <si>
    <t>CUST-1151</t>
  </si>
  <si>
    <t>LN-0152</t>
  </si>
  <si>
    <t>CUST-1152</t>
  </si>
  <si>
    <t>LN-0153</t>
  </si>
  <si>
    <t>CUST-1153</t>
  </si>
  <si>
    <t>LN-0154</t>
  </si>
  <si>
    <t>CUST-1154</t>
  </si>
  <si>
    <t>LN-0155</t>
  </si>
  <si>
    <t>CUST-1155</t>
  </si>
  <si>
    <t>LN-0156</t>
  </si>
  <si>
    <t>CUST-1156</t>
  </si>
  <si>
    <t>LN-0157</t>
  </si>
  <si>
    <t>CUST-1157</t>
  </si>
  <si>
    <t>LN-0158</t>
  </si>
  <si>
    <t>CUST-1158</t>
  </si>
  <si>
    <t>LN-0159</t>
  </si>
  <si>
    <t>CUST-1159</t>
  </si>
  <si>
    <t>LN-0160</t>
  </si>
  <si>
    <t>CUST-1160</t>
  </si>
  <si>
    <t>LN-0161</t>
  </si>
  <si>
    <t>CUST-1161</t>
  </si>
  <si>
    <t>LN-0162</t>
  </si>
  <si>
    <t>CUST-1162</t>
  </si>
  <si>
    <t>LN-0163</t>
  </si>
  <si>
    <t>CUST-1163</t>
  </si>
  <si>
    <t>LN-0164</t>
  </si>
  <si>
    <t>CUST-1164</t>
  </si>
  <si>
    <t>LN-0165</t>
  </si>
  <si>
    <t>CUST-1165</t>
  </si>
  <si>
    <t>LN-0166</t>
  </si>
  <si>
    <t>CUST-1166</t>
  </si>
  <si>
    <t>LN-0167</t>
  </si>
  <si>
    <t>CUST-1167</t>
  </si>
  <si>
    <t>LN-0168</t>
  </si>
  <si>
    <t>CUST-1168</t>
  </si>
  <si>
    <t>LN-0169</t>
  </si>
  <si>
    <t>CUST-1169</t>
  </si>
  <si>
    <t>LN-0170</t>
  </si>
  <si>
    <t>CUST-1170</t>
  </si>
  <si>
    <t>LN-0171</t>
  </si>
  <si>
    <t>CUST-1171</t>
  </si>
  <si>
    <t>LN-0172</t>
  </si>
  <si>
    <t>CUST-1172</t>
  </si>
  <si>
    <t>LN-0173</t>
  </si>
  <si>
    <t>CUST-1173</t>
  </si>
  <si>
    <t>LN-0174</t>
  </si>
  <si>
    <t>CUST-1174</t>
  </si>
  <si>
    <t>LN-0175</t>
  </si>
  <si>
    <t>CUST-1175</t>
  </si>
  <si>
    <t>LN-0176</t>
  </si>
  <si>
    <t>CUST-1176</t>
  </si>
  <si>
    <t>LN-0177</t>
  </si>
  <si>
    <t>CUST-1177</t>
  </si>
  <si>
    <t>LN-0178</t>
  </si>
  <si>
    <t>CUST-1178</t>
  </si>
  <si>
    <t>LN-0179</t>
  </si>
  <si>
    <t>CUST-1179</t>
  </si>
  <si>
    <t>LN-0180</t>
  </si>
  <si>
    <t>CUST-1180</t>
  </si>
  <si>
    <t>LN-0181</t>
  </si>
  <si>
    <t>CUST-1181</t>
  </si>
  <si>
    <t>LN-0182</t>
  </si>
  <si>
    <t>CUST-1182</t>
  </si>
  <si>
    <t>LN-0183</t>
  </si>
  <si>
    <t>CUST-1183</t>
  </si>
  <si>
    <t>LN-0184</t>
  </si>
  <si>
    <t>CUST-1184</t>
  </si>
  <si>
    <t>LN-0185</t>
  </si>
  <si>
    <t>CUST-1185</t>
  </si>
  <si>
    <t>LN-0186</t>
  </si>
  <si>
    <t>CUST-1186</t>
  </si>
  <si>
    <t>LN-0187</t>
  </si>
  <si>
    <t>CUST-1187</t>
  </si>
  <si>
    <t>LN-0188</t>
  </si>
  <si>
    <t>CUST-1188</t>
  </si>
  <si>
    <t>LN-0189</t>
  </si>
  <si>
    <t>CUST-1189</t>
  </si>
  <si>
    <t>LN-0190</t>
  </si>
  <si>
    <t>CUST-1190</t>
  </si>
  <si>
    <t>LN-0191</t>
  </si>
  <si>
    <t>CUST-1191</t>
  </si>
  <si>
    <t>LN-0192</t>
  </si>
  <si>
    <t>CUST-1192</t>
  </si>
  <si>
    <t>LN-0193</t>
  </si>
  <si>
    <t>CUST-1193</t>
  </si>
  <si>
    <t>LN-0194</t>
  </si>
  <si>
    <t>CUST-1194</t>
  </si>
  <si>
    <t>LN-0195</t>
  </si>
  <si>
    <t>CUST-1195</t>
  </si>
  <si>
    <t>LN-0196</t>
  </si>
  <si>
    <t>CUST-1196</t>
  </si>
  <si>
    <t>LN-0197</t>
  </si>
  <si>
    <t>CUST-1197</t>
  </si>
  <si>
    <t>LN-0198</t>
  </si>
  <si>
    <t>CUST-1198</t>
  </si>
  <si>
    <t>LN-0199</t>
  </si>
  <si>
    <t>CUST-1199</t>
  </si>
  <si>
    <t>LN-0200</t>
  </si>
  <si>
    <t>CUST-1200</t>
  </si>
  <si>
    <t>LN-0201</t>
  </si>
  <si>
    <t>CUST-1201</t>
  </si>
  <si>
    <t>LN-0202</t>
  </si>
  <si>
    <t>CUST-1202</t>
  </si>
  <si>
    <t>LN-0203</t>
  </si>
  <si>
    <t>CUST-1203</t>
  </si>
  <si>
    <t>LN-0204</t>
  </si>
  <si>
    <t>CUST-1204</t>
  </si>
  <si>
    <t>LN-0205</t>
  </si>
  <si>
    <t>CUST-1205</t>
  </si>
  <si>
    <t>LN-0206</t>
  </si>
  <si>
    <t>CUST-1206</t>
  </si>
  <si>
    <t>LN-0207</t>
  </si>
  <si>
    <t>CUST-1207</t>
  </si>
  <si>
    <t>LN-0208</t>
  </si>
  <si>
    <t>CUST-1208</t>
  </si>
  <si>
    <t>LN-0209</t>
  </si>
  <si>
    <t>CUST-1209</t>
  </si>
  <si>
    <t>LN-0210</t>
  </si>
  <si>
    <t>CUST-1210</t>
  </si>
  <si>
    <t>LN-0211</t>
  </si>
  <si>
    <t>CUST-1211</t>
  </si>
  <si>
    <t>LN-0212</t>
  </si>
  <si>
    <t>CUST-1212</t>
  </si>
  <si>
    <t>LN-0213</t>
  </si>
  <si>
    <t>CUST-1213</t>
  </si>
  <si>
    <t>LN-0214</t>
  </si>
  <si>
    <t>CUST-1214</t>
  </si>
  <si>
    <t>LN-0215</t>
  </si>
  <si>
    <t>CUST-1215</t>
  </si>
  <si>
    <t>LN-0216</t>
  </si>
  <si>
    <t>CUST-1216</t>
  </si>
  <si>
    <t>LN-0217</t>
  </si>
  <si>
    <t>CUST-1217</t>
  </si>
  <si>
    <t>LN-0218</t>
  </si>
  <si>
    <t>CUST-1218</t>
  </si>
  <si>
    <t>LN-0219</t>
  </si>
  <si>
    <t>CUST-1219</t>
  </si>
  <si>
    <t>LN-0220</t>
  </si>
  <si>
    <t>CUST-1220</t>
  </si>
  <si>
    <t>LN-0221</t>
  </si>
  <si>
    <t>CUST-1221</t>
  </si>
  <si>
    <t>LN-0222</t>
  </si>
  <si>
    <t>CUST-1222</t>
  </si>
  <si>
    <t>LN-0223</t>
  </si>
  <si>
    <t>CUST-1223</t>
  </si>
  <si>
    <t>LN-0224</t>
  </si>
  <si>
    <t>CUST-1224</t>
  </si>
  <si>
    <t>LN-0225</t>
  </si>
  <si>
    <t>CUST-1225</t>
  </si>
  <si>
    <t>LN-0226</t>
  </si>
  <si>
    <t>CUST-1226</t>
  </si>
  <si>
    <t>LN-0227</t>
  </si>
  <si>
    <t>CUST-1227</t>
  </si>
  <si>
    <t>LN-0228</t>
  </si>
  <si>
    <t>CUST-1228</t>
  </si>
  <si>
    <t>LN-0229</t>
  </si>
  <si>
    <t>CUST-1229</t>
  </si>
  <si>
    <t>LN-0230</t>
  </si>
  <si>
    <t>CUST-1230</t>
  </si>
  <si>
    <t>LN-0231</t>
  </si>
  <si>
    <t>CUST-1231</t>
  </si>
  <si>
    <t>LN-0232</t>
  </si>
  <si>
    <t>CUST-1232</t>
  </si>
  <si>
    <t>LN-0233</t>
  </si>
  <si>
    <t>CUST-1233</t>
  </si>
  <si>
    <t>LN-0234</t>
  </si>
  <si>
    <t>CUST-1234</t>
  </si>
  <si>
    <t>LN-0235</t>
  </si>
  <si>
    <t>CUST-1235</t>
  </si>
  <si>
    <t>LN-0236</t>
  </si>
  <si>
    <t>CUST-1236</t>
  </si>
  <si>
    <t>LN-0237</t>
  </si>
  <si>
    <t>CUST-1237</t>
  </si>
  <si>
    <t>LN-0238</t>
  </si>
  <si>
    <t>CUST-1238</t>
  </si>
  <si>
    <t>LN-0239</t>
  </si>
  <si>
    <t>CUST-1239</t>
  </si>
  <si>
    <t>LN-0240</t>
  </si>
  <si>
    <t>CUST-1240</t>
  </si>
  <si>
    <t>LN-0241</t>
  </si>
  <si>
    <t>CUST-1241</t>
  </si>
  <si>
    <t>LN-0242</t>
  </si>
  <si>
    <t>CUST-1242</t>
  </si>
  <si>
    <t>LN-0243</t>
  </si>
  <si>
    <t>CUST-1243</t>
  </si>
  <si>
    <t>LN-0244</t>
  </si>
  <si>
    <t>CUST-1244</t>
  </si>
  <si>
    <t>LN-0245</t>
  </si>
  <si>
    <t>CUST-1245</t>
  </si>
  <si>
    <t>LN-0246</t>
  </si>
  <si>
    <t>CUST-1246</t>
  </si>
  <si>
    <t>LN-0247</t>
  </si>
  <si>
    <t>CUST-1247</t>
  </si>
  <si>
    <t>LN-0248</t>
  </si>
  <si>
    <t>CUST-1248</t>
  </si>
  <si>
    <t>LN-0249</t>
  </si>
  <si>
    <t>CUST-1249</t>
  </si>
  <si>
    <t>LN-0250</t>
  </si>
  <si>
    <t>CUST-1250</t>
  </si>
  <si>
    <t>LN-0251</t>
  </si>
  <si>
    <t>CUST-1251</t>
  </si>
  <si>
    <t>LN-0252</t>
  </si>
  <si>
    <t>CUST-1252</t>
  </si>
  <si>
    <t>LN-0253</t>
  </si>
  <si>
    <t>CUST-1253</t>
  </si>
  <si>
    <t>LN-0254</t>
  </si>
  <si>
    <t>CUST-1254</t>
  </si>
  <si>
    <t>LN-0255</t>
  </si>
  <si>
    <t>CUST-1255</t>
  </si>
  <si>
    <t>LN-0256</t>
  </si>
  <si>
    <t>CUST-1256</t>
  </si>
  <si>
    <t>LN-0257</t>
  </si>
  <si>
    <t>CUST-1257</t>
  </si>
  <si>
    <t>LN-0258</t>
  </si>
  <si>
    <t>CUST-1258</t>
  </si>
  <si>
    <t>LN-0259</t>
  </si>
  <si>
    <t>CUST-1259</t>
  </si>
  <si>
    <t>LN-0260</t>
  </si>
  <si>
    <t>CUST-1260</t>
  </si>
  <si>
    <t>LN-0261</t>
  </si>
  <si>
    <t>CUST-1261</t>
  </si>
  <si>
    <t>LN-0262</t>
  </si>
  <si>
    <t>CUST-1262</t>
  </si>
  <si>
    <t>LN-0263</t>
  </si>
  <si>
    <t>CUST-1263</t>
  </si>
  <si>
    <t>LN-0264</t>
  </si>
  <si>
    <t>CUST-1264</t>
  </si>
  <si>
    <t>LN-0265</t>
  </si>
  <si>
    <t>CUST-1265</t>
  </si>
  <si>
    <t>LN-0266</t>
  </si>
  <si>
    <t>CUST-1266</t>
  </si>
  <si>
    <t>LN-0267</t>
  </si>
  <si>
    <t>CUST-1267</t>
  </si>
  <si>
    <t>LN-0268</t>
  </si>
  <si>
    <t>CUST-1268</t>
  </si>
  <si>
    <t>LN-0269</t>
  </si>
  <si>
    <t>CUST-1269</t>
  </si>
  <si>
    <t>LN-0270</t>
  </si>
  <si>
    <t>CUST-1270</t>
  </si>
  <si>
    <t>LN-0271</t>
  </si>
  <si>
    <t>CUST-1271</t>
  </si>
  <si>
    <t>LN-0272</t>
  </si>
  <si>
    <t>CUST-1272</t>
  </si>
  <si>
    <t>LN-0273</t>
  </si>
  <si>
    <t>CUST-1273</t>
  </si>
  <si>
    <t>LN-0274</t>
  </si>
  <si>
    <t>CUST-1274</t>
  </si>
  <si>
    <t>LN-0275</t>
  </si>
  <si>
    <t>CUST-1275</t>
  </si>
  <si>
    <t>LN-0276</t>
  </si>
  <si>
    <t>CUST-1276</t>
  </si>
  <si>
    <t>LN-0277</t>
  </si>
  <si>
    <t>CUST-1277</t>
  </si>
  <si>
    <t>LN-0278</t>
  </si>
  <si>
    <t>CUST-1278</t>
  </si>
  <si>
    <t>LN-0279</t>
  </si>
  <si>
    <t>CUST-1279</t>
  </si>
  <si>
    <t>LN-0280</t>
  </si>
  <si>
    <t>CUST-1280</t>
  </si>
  <si>
    <t>LN-0281</t>
  </si>
  <si>
    <t>CUST-1281</t>
  </si>
  <si>
    <t>LN-0282</t>
  </si>
  <si>
    <t>CUST-1282</t>
  </si>
  <si>
    <t>LN-0283</t>
  </si>
  <si>
    <t>CUST-1283</t>
  </si>
  <si>
    <t>LN-0284</t>
  </si>
  <si>
    <t>CUST-1284</t>
  </si>
  <si>
    <t>LN-0285</t>
  </si>
  <si>
    <t>CUST-1285</t>
  </si>
  <si>
    <t>LN-0286</t>
  </si>
  <si>
    <t>CUST-1286</t>
  </si>
  <si>
    <t>LN-0287</t>
  </si>
  <si>
    <t>CUST-1287</t>
  </si>
  <si>
    <t>LN-0288</t>
  </si>
  <si>
    <t>CUST-1288</t>
  </si>
  <si>
    <t>LN-0289</t>
  </si>
  <si>
    <t>CUST-1289</t>
  </si>
  <si>
    <t>LN-0290</t>
  </si>
  <si>
    <t>CUST-1290</t>
  </si>
  <si>
    <t>LN-0291</t>
  </si>
  <si>
    <t>CUST-1291</t>
  </si>
  <si>
    <t>LN-0292</t>
  </si>
  <si>
    <t>CUST-1292</t>
  </si>
  <si>
    <t>LN-0293</t>
  </si>
  <si>
    <t>CUST-1293</t>
  </si>
  <si>
    <t>LN-0294</t>
  </si>
  <si>
    <t>CUST-1294</t>
  </si>
  <si>
    <t>LN-0295</t>
  </si>
  <si>
    <t>CUST-1295</t>
  </si>
  <si>
    <t>LN-0296</t>
  </si>
  <si>
    <t>CUST-1296</t>
  </si>
  <si>
    <t>LN-0297</t>
  </si>
  <si>
    <t>CUST-1297</t>
  </si>
  <si>
    <t>LN-0298</t>
  </si>
  <si>
    <t>CUST-1298</t>
  </si>
  <si>
    <t>LN-0299</t>
  </si>
  <si>
    <t>CUST-1299</t>
  </si>
  <si>
    <t>LN-0300</t>
  </si>
  <si>
    <t>CUST-1300</t>
  </si>
  <si>
    <t>LN-0301</t>
  </si>
  <si>
    <t>CUST-1301</t>
  </si>
  <si>
    <t>LN-0302</t>
  </si>
  <si>
    <t>CUST-1302</t>
  </si>
  <si>
    <t>LN-0303</t>
  </si>
  <si>
    <t>CUST-1303</t>
  </si>
  <si>
    <t>LN-0304</t>
  </si>
  <si>
    <t>CUST-1304</t>
  </si>
  <si>
    <t>LN-0305</t>
  </si>
  <si>
    <t>CUST-1305</t>
  </si>
  <si>
    <t>LN-0306</t>
  </si>
  <si>
    <t>CUST-1306</t>
  </si>
  <si>
    <t>LN-0307</t>
  </si>
  <si>
    <t>CUST-1307</t>
  </si>
  <si>
    <t>LN-0308</t>
  </si>
  <si>
    <t>CUST-1308</t>
  </si>
  <si>
    <t>LN-0309</t>
  </si>
  <si>
    <t>CUST-1309</t>
  </si>
  <si>
    <t>LN-0310</t>
  </si>
  <si>
    <t>CUST-1310</t>
  </si>
  <si>
    <t>LN-0311</t>
  </si>
  <si>
    <t>CUST-1311</t>
  </si>
  <si>
    <t>LN-0312</t>
  </si>
  <si>
    <t>CUST-1312</t>
  </si>
  <si>
    <t>LN-0313</t>
  </si>
  <si>
    <t>CUST-1313</t>
  </si>
  <si>
    <t>LN-0314</t>
  </si>
  <si>
    <t>CUST-1314</t>
  </si>
  <si>
    <t>LN-0315</t>
  </si>
  <si>
    <t>CUST-1315</t>
  </si>
  <si>
    <t>LN-0316</t>
  </si>
  <si>
    <t>CUST-1316</t>
  </si>
  <si>
    <t>LN-0317</t>
  </si>
  <si>
    <t>CUST-1317</t>
  </si>
  <si>
    <t>LN-0318</t>
  </si>
  <si>
    <t>CUST-1318</t>
  </si>
  <si>
    <t>LN-0319</t>
  </si>
  <si>
    <t>CUST-1319</t>
  </si>
  <si>
    <t>LN-0320</t>
  </si>
  <si>
    <t>CUST-1320</t>
  </si>
  <si>
    <t>LN-0321</t>
  </si>
  <si>
    <t>CUST-1321</t>
  </si>
  <si>
    <t>LN-0322</t>
  </si>
  <si>
    <t>CUST-1322</t>
  </si>
  <si>
    <t>LN-0323</t>
  </si>
  <si>
    <t>CUST-1323</t>
  </si>
  <si>
    <t>LN-0324</t>
  </si>
  <si>
    <t>CUST-1324</t>
  </si>
  <si>
    <t>LN-0325</t>
  </si>
  <si>
    <t>CUST-1325</t>
  </si>
  <si>
    <t>LN-0326</t>
  </si>
  <si>
    <t>CUST-1326</t>
  </si>
  <si>
    <t>LN-0327</t>
  </si>
  <si>
    <t>CUST-1327</t>
  </si>
  <si>
    <t>LN-0328</t>
  </si>
  <si>
    <t>CUST-1328</t>
  </si>
  <si>
    <t>LN-0329</t>
  </si>
  <si>
    <t>CUST-1329</t>
  </si>
  <si>
    <t>LN-0330</t>
  </si>
  <si>
    <t>CUST-1330</t>
  </si>
  <si>
    <t>LN-0331</t>
  </si>
  <si>
    <t>CUST-1331</t>
  </si>
  <si>
    <t>LN-0332</t>
  </si>
  <si>
    <t>CUST-1332</t>
  </si>
  <si>
    <t>LN-0333</t>
  </si>
  <si>
    <t>CUST-1333</t>
  </si>
  <si>
    <t>LN-0334</t>
  </si>
  <si>
    <t>CUST-1334</t>
  </si>
  <si>
    <t>LN-0335</t>
  </si>
  <si>
    <t>CUST-1335</t>
  </si>
  <si>
    <t>LN-0336</t>
  </si>
  <si>
    <t>CUST-1336</t>
  </si>
  <si>
    <t>LN-0337</t>
  </si>
  <si>
    <t>CUST-1337</t>
  </si>
  <si>
    <t>LN-0338</t>
  </si>
  <si>
    <t>CUST-1338</t>
  </si>
  <si>
    <t>LN-0339</t>
  </si>
  <si>
    <t>CUST-1339</t>
  </si>
  <si>
    <t>LN-0340</t>
  </si>
  <si>
    <t>CUST-1340</t>
  </si>
  <si>
    <t>LN-0341</t>
  </si>
  <si>
    <t>CUST-1341</t>
  </si>
  <si>
    <t>LN-0342</t>
  </si>
  <si>
    <t>CUST-1342</t>
  </si>
  <si>
    <t>LN-0343</t>
  </si>
  <si>
    <t>CUST-1343</t>
  </si>
  <si>
    <t>LN-0344</t>
  </si>
  <si>
    <t>CUST-1344</t>
  </si>
  <si>
    <t>LN-0345</t>
  </si>
  <si>
    <t>CUST-1345</t>
  </si>
  <si>
    <t>LN-0346</t>
  </si>
  <si>
    <t>CUST-1346</t>
  </si>
  <si>
    <t>LN-0347</t>
  </si>
  <si>
    <t>CUST-1347</t>
  </si>
  <si>
    <t>LN-0348</t>
  </si>
  <si>
    <t>CUST-1348</t>
  </si>
  <si>
    <t>LN-0349</t>
  </si>
  <si>
    <t>CUST-1349</t>
  </si>
  <si>
    <t>LN-0350</t>
  </si>
  <si>
    <t>CUST-1350</t>
  </si>
  <si>
    <t>LN-0351</t>
  </si>
  <si>
    <t>CUST-1351</t>
  </si>
  <si>
    <t>LN-0352</t>
  </si>
  <si>
    <t>CUST-1352</t>
  </si>
  <si>
    <t>LN-0353</t>
  </si>
  <si>
    <t>CUST-1353</t>
  </si>
  <si>
    <t>LN-0354</t>
  </si>
  <si>
    <t>CUST-1354</t>
  </si>
  <si>
    <t>LN-0355</t>
  </si>
  <si>
    <t>CUST-1355</t>
  </si>
  <si>
    <t>LN-0356</t>
  </si>
  <si>
    <t>CUST-1356</t>
  </si>
  <si>
    <t>LN-0357</t>
  </si>
  <si>
    <t>CUST-1357</t>
  </si>
  <si>
    <t>LN-0358</t>
  </si>
  <si>
    <t>CUST-1358</t>
  </si>
  <si>
    <t>LN-0359</t>
  </si>
  <si>
    <t>CUST-1359</t>
  </si>
  <si>
    <t>LN-0360</t>
  </si>
  <si>
    <t>CUST-1360</t>
  </si>
  <si>
    <t>LN-0361</t>
  </si>
  <si>
    <t>CUST-1361</t>
  </si>
  <si>
    <t>LN-0362</t>
  </si>
  <si>
    <t>CUST-1362</t>
  </si>
  <si>
    <t>LN-0363</t>
  </si>
  <si>
    <t>CUST-1363</t>
  </si>
  <si>
    <t>LN-0364</t>
  </si>
  <si>
    <t>CUST-1364</t>
  </si>
  <si>
    <t>LN-0365</t>
  </si>
  <si>
    <t>CUST-1365</t>
  </si>
  <si>
    <t>LN-0366</t>
  </si>
  <si>
    <t>CUST-1366</t>
  </si>
  <si>
    <t>LN-0367</t>
  </si>
  <si>
    <t>CUST-1367</t>
  </si>
  <si>
    <t>LN-0368</t>
  </si>
  <si>
    <t>CUST-1368</t>
  </si>
  <si>
    <t>LN-0369</t>
  </si>
  <si>
    <t>CUST-1369</t>
  </si>
  <si>
    <t>LN-0370</t>
  </si>
  <si>
    <t>CUST-1370</t>
  </si>
  <si>
    <t>LN-0371</t>
  </si>
  <si>
    <t>CUST-1371</t>
  </si>
  <si>
    <t>LN-0372</t>
  </si>
  <si>
    <t>CUST-1372</t>
  </si>
  <si>
    <t>LN-0373</t>
  </si>
  <si>
    <t>CUST-1373</t>
  </si>
  <si>
    <t>LN-0374</t>
  </si>
  <si>
    <t>CUST-1374</t>
  </si>
  <si>
    <t>LN-0375</t>
  </si>
  <si>
    <t>CUST-1375</t>
  </si>
  <si>
    <t>LN-0376</t>
  </si>
  <si>
    <t>CUST-1376</t>
  </si>
  <si>
    <t>LN-0377</t>
  </si>
  <si>
    <t>CUST-1377</t>
  </si>
  <si>
    <t>LN-0378</t>
  </si>
  <si>
    <t>CUST-1378</t>
  </si>
  <si>
    <t>LN-0379</t>
  </si>
  <si>
    <t>CUST-1379</t>
  </si>
  <si>
    <t>LN-0380</t>
  </si>
  <si>
    <t>CUST-1380</t>
  </si>
  <si>
    <t>LN-0381</t>
  </si>
  <si>
    <t>CUST-1381</t>
  </si>
  <si>
    <t>LN-0382</t>
  </si>
  <si>
    <t>CUST-1382</t>
  </si>
  <si>
    <t>LN-0383</t>
  </si>
  <si>
    <t>CUST-1383</t>
  </si>
  <si>
    <t>LN-0384</t>
  </si>
  <si>
    <t>CUST-1384</t>
  </si>
  <si>
    <t>LN-0385</t>
  </si>
  <si>
    <t>CUST-1385</t>
  </si>
  <si>
    <t>LN-0386</t>
  </si>
  <si>
    <t>CUST-1386</t>
  </si>
  <si>
    <t>LN-0387</t>
  </si>
  <si>
    <t>CUST-1387</t>
  </si>
  <si>
    <t>LN-0388</t>
  </si>
  <si>
    <t>CUST-1388</t>
  </si>
  <si>
    <t>LN-0389</t>
  </si>
  <si>
    <t>CUST-1389</t>
  </si>
  <si>
    <t>LN-0390</t>
  </si>
  <si>
    <t>CUST-1390</t>
  </si>
  <si>
    <t>LN-0391</t>
  </si>
  <si>
    <t>CUST-1391</t>
  </si>
  <si>
    <t>LN-0392</t>
  </si>
  <si>
    <t>CUST-1392</t>
  </si>
  <si>
    <t>LN-0393</t>
  </si>
  <si>
    <t>CUST-1393</t>
  </si>
  <si>
    <t>LN-0394</t>
  </si>
  <si>
    <t>CUST-1394</t>
  </si>
  <si>
    <t>LN-0395</t>
  </si>
  <si>
    <t>CUST-1395</t>
  </si>
  <si>
    <t>LN-0396</t>
  </si>
  <si>
    <t>CUST-1396</t>
  </si>
  <si>
    <t>LN-0397</t>
  </si>
  <si>
    <t>CUST-1397</t>
  </si>
  <si>
    <t>LN-0398</t>
  </si>
  <si>
    <t>CUST-1398</t>
  </si>
  <si>
    <t>LN-0399</t>
  </si>
  <si>
    <t>CUST-1399</t>
  </si>
  <si>
    <t>LN-0400</t>
  </si>
  <si>
    <t>CUST-1400</t>
  </si>
  <si>
    <t>LN-0401</t>
  </si>
  <si>
    <t>CUST-1401</t>
  </si>
  <si>
    <t>LN-0402</t>
  </si>
  <si>
    <t>CUST-1402</t>
  </si>
  <si>
    <t>LN-0403</t>
  </si>
  <si>
    <t>CUST-1403</t>
  </si>
  <si>
    <t>LN-0404</t>
  </si>
  <si>
    <t>CUST-1404</t>
  </si>
  <si>
    <t>LN-0405</t>
  </si>
  <si>
    <t>CUST-1405</t>
  </si>
  <si>
    <t>LN-0406</t>
  </si>
  <si>
    <t>CUST-1406</t>
  </si>
  <si>
    <t>LN-0407</t>
  </si>
  <si>
    <t>CUST-1407</t>
  </si>
  <si>
    <t>LN-0408</t>
  </si>
  <si>
    <t>CUST-1408</t>
  </si>
  <si>
    <t>LN-0409</t>
  </si>
  <si>
    <t>CUST-1409</t>
  </si>
  <si>
    <t>LN-0410</t>
  </si>
  <si>
    <t>CUST-1410</t>
  </si>
  <si>
    <t>LN-0411</t>
  </si>
  <si>
    <t>CUST-1411</t>
  </si>
  <si>
    <t>LN-0412</t>
  </si>
  <si>
    <t>CUST-1412</t>
  </si>
  <si>
    <t>LN-0413</t>
  </si>
  <si>
    <t>CUST-1413</t>
  </si>
  <si>
    <t>LN-0414</t>
  </si>
  <si>
    <t>CUST-1414</t>
  </si>
  <si>
    <t>LN-0415</t>
  </si>
  <si>
    <t>CUST-1415</t>
  </si>
  <si>
    <t>LN-0416</t>
  </si>
  <si>
    <t>CUST-1416</t>
  </si>
  <si>
    <t>LN-0417</t>
  </si>
  <si>
    <t>CUST-1417</t>
  </si>
  <si>
    <t>LN-0418</t>
  </si>
  <si>
    <t>CUST-1418</t>
  </si>
  <si>
    <t>LN-0419</t>
  </si>
  <si>
    <t>CUST-1419</t>
  </si>
  <si>
    <t>LN-0420</t>
  </si>
  <si>
    <t>CUST-1420</t>
  </si>
  <si>
    <t>LN-0421</t>
  </si>
  <si>
    <t>CUST-1421</t>
  </si>
  <si>
    <t>LN-0422</t>
  </si>
  <si>
    <t>CUST-1422</t>
  </si>
  <si>
    <t>LN-0423</t>
  </si>
  <si>
    <t>CUST-1423</t>
  </si>
  <si>
    <t>LN-0424</t>
  </si>
  <si>
    <t>CUST-1424</t>
  </si>
  <si>
    <t>LN-0425</t>
  </si>
  <si>
    <t>CUST-1425</t>
  </si>
  <si>
    <t>LN-0426</t>
  </si>
  <si>
    <t>CUST-1426</t>
  </si>
  <si>
    <t>LN-0427</t>
  </si>
  <si>
    <t>CUST-1427</t>
  </si>
  <si>
    <t>LN-0428</t>
  </si>
  <si>
    <t>CUST-1428</t>
  </si>
  <si>
    <t>LN-0429</t>
  </si>
  <si>
    <t>CUST-1429</t>
  </si>
  <si>
    <t>LN-0430</t>
  </si>
  <si>
    <t>CUST-1430</t>
  </si>
  <si>
    <t>LN-0431</t>
  </si>
  <si>
    <t>CUST-1431</t>
  </si>
  <si>
    <t>LN-0432</t>
  </si>
  <si>
    <t>CUST-1432</t>
  </si>
  <si>
    <t>LN-0433</t>
  </si>
  <si>
    <t>CUST-1433</t>
  </si>
  <si>
    <t>LN-0434</t>
  </si>
  <si>
    <t>CUST-1434</t>
  </si>
  <si>
    <t>LN-0435</t>
  </si>
  <si>
    <t>CUST-1435</t>
  </si>
  <si>
    <t>LN-0436</t>
  </si>
  <si>
    <t>CUST-1436</t>
  </si>
  <si>
    <t>LN-0437</t>
  </si>
  <si>
    <t>CUST-1437</t>
  </si>
  <si>
    <t>LN-0438</t>
  </si>
  <si>
    <t>CUST-1438</t>
  </si>
  <si>
    <t>LN-0439</t>
  </si>
  <si>
    <t>CUST-1439</t>
  </si>
  <si>
    <t>LN-0440</t>
  </si>
  <si>
    <t>CUST-1440</t>
  </si>
  <si>
    <t>LN-0441</t>
  </si>
  <si>
    <t>CUST-1441</t>
  </si>
  <si>
    <t>LN-0442</t>
  </si>
  <si>
    <t>CUST-1442</t>
  </si>
  <si>
    <t>LN-0443</t>
  </si>
  <si>
    <t>CUST-1443</t>
  </si>
  <si>
    <t>LN-0444</t>
  </si>
  <si>
    <t>CUST-1444</t>
  </si>
  <si>
    <t>LN-0445</t>
  </si>
  <si>
    <t>CUST-1445</t>
  </si>
  <si>
    <t>LN-0446</t>
  </si>
  <si>
    <t>CUST-1446</t>
  </si>
  <si>
    <t>LN-0447</t>
  </si>
  <si>
    <t>CUST-1447</t>
  </si>
  <si>
    <t>LN-0448</t>
  </si>
  <si>
    <t>CUST-1448</t>
  </si>
  <si>
    <t>LN-0449</t>
  </si>
  <si>
    <t>CUST-1449</t>
  </si>
  <si>
    <t>LN-0450</t>
  </si>
  <si>
    <t>CUST-1450</t>
  </si>
  <si>
    <t>LN-0451</t>
  </si>
  <si>
    <t>CUST-1451</t>
  </si>
  <si>
    <t>LN-0452</t>
  </si>
  <si>
    <t>CUST-1452</t>
  </si>
  <si>
    <t>LN-0453</t>
  </si>
  <si>
    <t>CUST-1453</t>
  </si>
  <si>
    <t>LN-0454</t>
  </si>
  <si>
    <t>CUST-1454</t>
  </si>
  <si>
    <t>LN-0455</t>
  </si>
  <si>
    <t>CUST-1455</t>
  </si>
  <si>
    <t>LN-0456</t>
  </si>
  <si>
    <t>CUST-1456</t>
  </si>
  <si>
    <t>LN-0457</t>
  </si>
  <si>
    <t>CUST-1457</t>
  </si>
  <si>
    <t>LN-0458</t>
  </si>
  <si>
    <t>CUST-1458</t>
  </si>
  <si>
    <t>LN-0459</t>
  </si>
  <si>
    <t>CUST-1459</t>
  </si>
  <si>
    <t>LN-0460</t>
  </si>
  <si>
    <t>CUST-1460</t>
  </si>
  <si>
    <t>LN-0461</t>
  </si>
  <si>
    <t>CUST-1461</t>
  </si>
  <si>
    <t>LN-0462</t>
  </si>
  <si>
    <t>CUST-1462</t>
  </si>
  <si>
    <t>LN-0463</t>
  </si>
  <si>
    <t>CUST-1463</t>
  </si>
  <si>
    <t>LN-0464</t>
  </si>
  <si>
    <t>CUST-1464</t>
  </si>
  <si>
    <t>LN-0465</t>
  </si>
  <si>
    <t>CUST-1465</t>
  </si>
  <si>
    <t>LN-0466</t>
  </si>
  <si>
    <t>CUST-1466</t>
  </si>
  <si>
    <t>LN-0467</t>
  </si>
  <si>
    <t>CUST-1467</t>
  </si>
  <si>
    <t>LN-0468</t>
  </si>
  <si>
    <t>CUST-1468</t>
  </si>
  <si>
    <t>LN-0469</t>
  </si>
  <si>
    <t>CUST-1469</t>
  </si>
  <si>
    <t>LN-0470</t>
  </si>
  <si>
    <t>CUST-1470</t>
  </si>
  <si>
    <t>LN-0471</t>
  </si>
  <si>
    <t>CUST-1471</t>
  </si>
  <si>
    <t>LN-0472</t>
  </si>
  <si>
    <t>CUST-1472</t>
  </si>
  <si>
    <t>LN-0473</t>
  </si>
  <si>
    <t>CUST-1473</t>
  </si>
  <si>
    <t>LN-0474</t>
  </si>
  <si>
    <t>CUST-1474</t>
  </si>
  <si>
    <t>LN-0475</t>
  </si>
  <si>
    <t>CUST-1475</t>
  </si>
  <si>
    <t>LN-0476</t>
  </si>
  <si>
    <t>CUST-1476</t>
  </si>
  <si>
    <t>LN-0477</t>
  </si>
  <si>
    <t>CUST-1477</t>
  </si>
  <si>
    <t>LN-0478</t>
  </si>
  <si>
    <t>CUST-1478</t>
  </si>
  <si>
    <t>LN-0479</t>
  </si>
  <si>
    <t>CUST-1479</t>
  </si>
  <si>
    <t>LN-0480</t>
  </si>
  <si>
    <t>CUST-1480</t>
  </si>
  <si>
    <t>LN-0481</t>
  </si>
  <si>
    <t>CUST-1481</t>
  </si>
  <si>
    <t>LN-0482</t>
  </si>
  <si>
    <t>CUST-1482</t>
  </si>
  <si>
    <t>LN-0483</t>
  </si>
  <si>
    <t>CUST-1483</t>
  </si>
  <si>
    <t>LN-0484</t>
  </si>
  <si>
    <t>CUST-1484</t>
  </si>
  <si>
    <t>LN-0485</t>
  </si>
  <si>
    <t>CUST-1485</t>
  </si>
  <si>
    <t>LN-0486</t>
  </si>
  <si>
    <t>CUST-1486</t>
  </si>
  <si>
    <t>LN-0487</t>
  </si>
  <si>
    <t>CUST-1487</t>
  </si>
  <si>
    <t>LN-0488</t>
  </si>
  <si>
    <t>CUST-1488</t>
  </si>
  <si>
    <t>LN-0489</t>
  </si>
  <si>
    <t>CUST-1489</t>
  </si>
  <si>
    <t>LN-0490</t>
  </si>
  <si>
    <t>CUST-1490</t>
  </si>
  <si>
    <t>LN-0491</t>
  </si>
  <si>
    <t>CUST-1491</t>
  </si>
  <si>
    <t>LN-0492</t>
  </si>
  <si>
    <t>CUST-1492</t>
  </si>
  <si>
    <t>LN-0493</t>
  </si>
  <si>
    <t>CUST-1493</t>
  </si>
  <si>
    <t>LN-0494</t>
  </si>
  <si>
    <t>CUST-1494</t>
  </si>
  <si>
    <t>LN-0495</t>
  </si>
  <si>
    <t>CUST-1495</t>
  </si>
  <si>
    <t>LN-0496</t>
  </si>
  <si>
    <t>CUST-1496</t>
  </si>
  <si>
    <t>LN-0497</t>
  </si>
  <si>
    <t>CUST-1497</t>
  </si>
  <si>
    <t>LN-0498</t>
  </si>
  <si>
    <t>CUST-1498</t>
  </si>
  <si>
    <t>LN-0499</t>
  </si>
  <si>
    <t>CUST-1499</t>
  </si>
  <si>
    <t>LN-0500</t>
  </si>
  <si>
    <t>CUST-1500</t>
  </si>
  <si>
    <t>Added Column</t>
  </si>
  <si>
    <t>Business Purpose</t>
  </si>
  <si>
    <t>Groups loan exposure into Small, Medium, Large and Very Large.</t>
  </si>
  <si>
    <t>Groups annual interest rates into Low, Medium and High pricing bands.</t>
  </si>
  <si>
    <t>Groups loan duration into Short, Medium and Long Term.</t>
  </si>
  <si>
    <t>Total Interest Income + Processing Fee.</t>
  </si>
  <si>
    <t>Cost of Funds + Default Loss.</t>
  </si>
  <si>
    <t>Calculated Revenue - Calculated Cost; used to validate the supplied Net Bank Profit.</t>
  </si>
  <si>
    <t>Net Bank Profit relative to loan principal.</t>
  </si>
  <si>
    <t>Default Loss relative to loan principal; useful for comparing loss severity.</t>
  </si>
  <si>
    <t>Checks whether calculated profit agrees with the supplied Net Bank Profit.</t>
  </si>
  <si>
    <t>Metric</t>
  </si>
  <si>
    <t>Value</t>
  </si>
  <si>
    <t>Total Loans</t>
  </si>
  <si>
    <t>Total Loan Amount</t>
  </si>
  <si>
    <t>Total Interest Income</t>
  </si>
  <si>
    <t>Processing Fee</t>
  </si>
  <si>
    <t>Total Revenue</t>
  </si>
  <si>
    <t>Cost of Funds</t>
  </si>
  <si>
    <t>Default Loss</t>
  </si>
  <si>
    <t>Total Cost</t>
  </si>
  <si>
    <t>Net Bank Profit</t>
  </si>
  <si>
    <t>result — The business is loss-making</t>
  </si>
  <si>
    <t>Row Labels</t>
  </si>
  <si>
    <t>Grand Total</t>
  </si>
  <si>
    <t>Sum of Default Loss (Rs.)</t>
  </si>
  <si>
    <t>Sum of Net Bank Profit (Rs.)</t>
  </si>
  <si>
    <t>Net Profit</t>
  </si>
  <si>
    <t>Product  X Intrest Rate Analysis</t>
  </si>
  <si>
    <t>Column Labels</t>
  </si>
  <si>
    <t>Product × Loan Size</t>
  </si>
  <si>
    <t>Product Profitability</t>
  </si>
  <si>
    <t>Pricing Analysis</t>
  </si>
  <si>
    <t>Product × Tenure</t>
  </si>
  <si>
    <t>Regional Profitability</t>
  </si>
  <si>
    <t>Recovery &amp; Risk Priority</t>
  </si>
  <si>
    <t>Current diagnosis</t>
  </si>
  <si>
    <r>
      <t>Problem:</t>
    </r>
    <r>
      <rPr>
        <sz val="11"/>
        <color theme="1"/>
        <rFont val="Calibri"/>
        <family val="2"/>
        <scheme val="minor"/>
      </rPr>
      <t xml:space="preserve"> Overall loss of </t>
    </r>
    <r>
      <rPr>
        <b/>
        <sz val="11"/>
        <color theme="1"/>
        <rFont val="Calibri"/>
        <family val="2"/>
        <scheme val="minor"/>
      </rPr>
      <t>₹36.05M</t>
    </r>
  </si>
  <si>
    <r>
      <t>Primary issue:</t>
    </r>
    <r>
      <rPr>
        <sz val="11"/>
        <color theme="1"/>
        <rFont val="Calibri"/>
        <family val="2"/>
        <scheme val="minor"/>
      </rPr>
      <t xml:space="preserve"> The loss is overwhelmingly concentrated in </t>
    </r>
    <r>
      <rPr>
        <b/>
        <sz val="11"/>
        <color theme="1"/>
        <rFont val="Calibri"/>
        <family val="2"/>
        <scheme val="minor"/>
      </rPr>
      <t>Car loans</t>
    </r>
    <r>
      <rPr>
        <sz val="11"/>
        <color theme="1"/>
        <rFont val="Calibri"/>
        <family val="2"/>
        <scheme val="minor"/>
      </rPr>
      <t>, particularly:</t>
    </r>
  </si>
  <si>
    <r>
      <t>Long-term Car loans:</t>
    </r>
    <r>
      <rPr>
        <sz val="11"/>
        <color theme="1"/>
        <rFont val="Calibri"/>
        <family val="2"/>
        <scheme val="minor"/>
      </rPr>
      <t xml:space="preserve"> −₹33.82M</t>
    </r>
  </si>
  <si>
    <r>
      <t>Very-large Car loans:</t>
    </r>
    <r>
      <rPr>
        <sz val="11"/>
        <color theme="1"/>
        <rFont val="Calibri"/>
        <family val="2"/>
        <scheme val="minor"/>
      </rPr>
      <t xml:space="preserve"> −₹33.88M</t>
    </r>
  </si>
  <si>
    <r>
      <t>Low-rate Car loans:</t>
    </r>
    <r>
      <rPr>
        <sz val="11"/>
        <color theme="1"/>
        <rFont val="Calibri"/>
        <family val="2"/>
        <scheme val="minor"/>
      </rPr>
      <t xml:space="preserve"> −₹26.69M</t>
    </r>
  </si>
  <si>
    <r>
      <t>Medium-rate Car loans:</t>
    </r>
    <r>
      <rPr>
        <sz val="11"/>
        <color theme="1"/>
        <rFont val="Calibri"/>
        <family val="2"/>
        <scheme val="minor"/>
      </rPr>
      <t xml:space="preserve"> −₹10.72M</t>
    </r>
  </si>
  <si>
    <r>
      <t>Secondary issue:</t>
    </r>
    <r>
      <rPr>
        <sz val="11"/>
        <color theme="1"/>
        <rFont val="Calibri"/>
        <family val="2"/>
        <scheme val="minor"/>
      </rPr>
      <t xml:space="preserve"> Default loss is </t>
    </r>
    <r>
      <rPr>
        <b/>
        <sz val="11"/>
        <color theme="1"/>
        <rFont val="Calibri"/>
        <family val="2"/>
        <scheme val="minor"/>
      </rPr>
      <t>₹1.59M</t>
    </r>
    <r>
      <rPr>
        <sz val="11"/>
        <color theme="1"/>
        <rFont val="Calibri"/>
        <family val="2"/>
        <scheme val="minor"/>
      </rPr>
      <t xml:space="preserve">, so recovery matters, but it is </t>
    </r>
    <r>
      <rPr>
        <b/>
        <sz val="11"/>
        <color theme="1"/>
        <rFont val="Calibri"/>
        <family val="2"/>
        <scheme val="minor"/>
      </rPr>
      <t>not large enough to explain the ₹36.05M loss by itself</t>
    </r>
    <r>
      <rPr>
        <sz val="11"/>
        <color theme="1"/>
        <rFont val="Calibri"/>
        <family val="2"/>
        <scheme val="minor"/>
      </rPr>
      <t>.</t>
    </r>
  </si>
  <si>
    <t>Therefore, our initial business strategy is:</t>
  </si>
  <si>
    <t>Problem</t>
  </si>
  <si>
    <t>Potential action</t>
  </si>
  <si>
    <t>Large Car-loan losses</t>
  </si>
  <si>
    <t>Review/restrict this segment</t>
  </si>
  <si>
    <t>Low-rate lending</t>
  </si>
  <si>
    <t>Reassess pricing</t>
  </si>
  <si>
    <t>Long-term loans</t>
  </si>
  <si>
    <t>Review maximum tenure</t>
  </si>
  <si>
    <t>Very-large exposure</t>
  </si>
  <si>
    <t>Tighten approval/limits</t>
  </si>
  <si>
    <t>Laptop profitability</t>
  </si>
  <si>
    <t>Investigate possibility of increasing lending</t>
  </si>
  <si>
    <t>Bike profitability</t>
  </si>
  <si>
    <t>Maintain/selectively grow</t>
  </si>
  <si>
    <t>Defaults</t>
  </si>
  <si>
    <t>Improve collection/recovery, especially East</t>
  </si>
  <si>
    <t>Count of Loan ID</t>
  </si>
  <si>
    <t>Sum of Loan Amount / Principal (Rs.)</t>
  </si>
  <si>
    <t>Sum of Calculated Revenue (Rs.)</t>
  </si>
  <si>
    <t>Sum of Cost of Funds (Rs.)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</si>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</sst>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quot;M&quot;"/>
  </numFmts>
  <fonts count="5" x14ac:knownFonts="1">
    <font>
      <sz val="11"/>
      <color theme="1"/>
      <name val="Calibri"/>
      <family val="2"/>
      <scheme val="minor"/>
    </font>
    <font>
      <b/>
      <sz val="11"/>
      <name val="Calibri"/>
      <family val="2"/>
    </font>
    <font>
      <b/>
      <sz val="11"/>
      <color theme="1"/>
      <name val="Calibri"/>
      <family val="2"/>
      <scheme val="minor"/>
    </font>
    <font>
      <b/>
      <sz val="13.5"/>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9" fontId="4" fillId="0" borderId="0" applyFont="0" applyFill="0" applyBorder="0" applyAlignment="0" applyProtection="0"/>
  </cellStyleXfs>
  <cellXfs count="20">
    <xf numFmtId="0" fontId="0" fillId="0" borderId="0" xfId="0"/>
    <xf numFmtId="0" fontId="1" fillId="0" borderId="1" xfId="0" applyFont="1" applyBorder="1" applyAlignment="1">
      <alignment horizontal="center" vertical="top"/>
    </xf>
    <xf numFmtId="164" fontId="0" fillId="0" borderId="0" xfId="0" applyNumberFormat="1"/>
    <xf numFmtId="10" fontId="0" fillId="0" borderId="0" xfId="0" applyNumberFormat="1"/>
    <xf numFmtId="0" fontId="2" fillId="0" borderId="0" xfId="0" applyFont="1"/>
    <xf numFmtId="0" fontId="2" fillId="0" borderId="0" xfId="0" applyFont="1" applyAlignment="1">
      <alignment horizontal="center" vertical="center" wrapText="1"/>
    </xf>
    <xf numFmtId="0" fontId="0" fillId="0" borderId="0" xfId="0" applyAlignment="1">
      <alignment horizontal="right" vertical="center" wrapText="1"/>
    </xf>
    <xf numFmtId="0" fontId="2" fillId="0" borderId="0" xfId="0" applyFont="1" applyAlignment="1">
      <alignment horizontal="right" vertical="center" wrapText="1"/>
    </xf>
    <xf numFmtId="0" fontId="0" fillId="0" borderId="0" xfId="0" applyAlignment="1">
      <alignment vertical="center" wrapText="1"/>
    </xf>
    <xf numFmtId="0" fontId="2" fillId="0" borderId="0" xfId="0" applyFont="1" applyAlignment="1">
      <alignment vertical="center" wrapText="1"/>
    </xf>
    <xf numFmtId="0" fontId="1" fillId="2" borderId="2" xfId="0" applyFont="1" applyFill="1" applyBorder="1" applyAlignment="1">
      <alignment horizontal="center" vertical="top"/>
    </xf>
    <xf numFmtId="164" fontId="0" fillId="0" borderId="0" xfId="0" applyNumberFormat="1" applyAlignment="1">
      <alignment horizontal="right" vertical="center" wrapText="1"/>
    </xf>
    <xf numFmtId="0" fontId="0" fillId="0" borderId="0" xfId="0" pivotButton="1"/>
    <xf numFmtId="0" fontId="0" fillId="0" borderId="0" xfId="0" applyAlignment="1">
      <alignment horizontal="left"/>
    </xf>
    <xf numFmtId="0" fontId="3" fillId="0" borderId="0" xfId="0" applyFont="1" applyAlignment="1">
      <alignment vertical="center"/>
    </xf>
    <xf numFmtId="0" fontId="0" fillId="0" borderId="0" xfId="0" applyAlignment="1">
      <alignment horizontal="left" vertical="center" indent="1"/>
    </xf>
    <xf numFmtId="0" fontId="2" fillId="0" borderId="0" xfId="0" applyFont="1" applyAlignment="1">
      <alignment horizontal="left" vertical="center" indent="1"/>
    </xf>
    <xf numFmtId="10" fontId="0" fillId="0" borderId="0" xfId="1" applyNumberFormat="1" applyFont="1"/>
    <xf numFmtId="165" fontId="0" fillId="0" borderId="0" xfId="0" applyNumberFormat="1"/>
    <xf numFmtId="0" fontId="0" fillId="0" borderId="0" xfId="0" applyAlignment="1">
      <alignment horizontal="center"/>
    </xf>
  </cellXfs>
  <cellStyles count="2">
    <cellStyle name="Normal" xfId="0" builtinId="0"/>
    <cellStyle name="Percent" xfId="1" builtinId="5"/>
  </cellStyles>
  <dxfs count="22">
    <dxf>
      <numFmt numFmtId="165" formatCode="\₹0.00,,&quot;M&quot;"/>
    </dxf>
    <dxf>
      <numFmt numFmtId="14" formatCode="0.00%"/>
    </dxf>
    <dxf>
      <numFmt numFmtId="1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4" formatCode="0.00%"/>
    </dxf>
    <dxf>
      <numFmt numFmtId="14" formatCode="0.00%"/>
    </dxf>
    <dxf>
      <numFmt numFmtId="164" formatCode="\₹#,##0.00"/>
    </dxf>
    <dxf>
      <numFmt numFmtId="164" formatCode="\₹#,##0.00"/>
    </dxf>
    <dxf>
      <numFmt numFmtId="14" formatCode="0.00%"/>
    </dxf>
    <dxf>
      <numFmt numFmtId="164" formatCode="\₹#,##0.0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fill>
        <patternFill patternType="solid">
          <fgColor indexed="64"/>
          <bgColor theme="3" tint="0.59999389629810485"/>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[Loan_Business_Analysis_Updated (2).xlsx]Product Analysis!PivotTable10</c:name>
    <c:fmtId val="3"/>
  </c:pivotSource>
  <c:chart>
    <c:title>
      <c:layout>
        <c:manualLayout>
          <c:xMode val="edge"/>
          <c:yMode val="edge"/>
          <c:x val="0.44692344706911635"/>
          <c:y val="2.212744240303295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dLbl>
          <c:idx val="0"/>
          <c:layout>
            <c:manualLayout>
              <c:x val="6.4478783902012254E-2"/>
              <c:y val="5.080672207640709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dLbl>
          <c:idx val="0"/>
          <c:layout>
            <c:manualLayout>
              <c:x val="1.8794181977252741E-2"/>
              <c:y val="3.028652668416439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dLbl>
          <c:idx val="0"/>
          <c:layout>
            <c:manualLayout>
              <c:x val="-0.24542847769028872"/>
              <c:y val="-7.747849227179935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dLbl>
          <c:idx val="0"/>
          <c:layout>
            <c:manualLayout>
              <c:x val="-5.4630358705161919E-3"/>
              <c:y val="-7.008347914843977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27664151356080491"/>
          <c:w val="0.93888888888888888"/>
          <c:h val="0.66317330125400986"/>
        </c:manualLayout>
      </c:layout>
      <c:pie3DChart>
        <c:varyColors val="1"/>
        <c:ser>
          <c:idx val="0"/>
          <c:order val="0"/>
          <c:tx>
            <c:strRef>
              <c:f>'Product Analysis'!$B$37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E259-412A-A050-D832E6B9E1D2}"/>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259-412A-A050-D832E6B9E1D2}"/>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E259-412A-A050-D832E6B9E1D2}"/>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E259-412A-A050-D832E6B9E1D2}"/>
              </c:ext>
            </c:extLst>
          </c:dPt>
          <c:dLbls>
            <c:dLbl>
              <c:idx val="0"/>
              <c:layout>
                <c:manualLayout>
                  <c:x val="6.4478783902012254E-2"/>
                  <c:y val="5.0806722076407095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259-412A-A050-D832E6B9E1D2}"/>
                </c:ext>
              </c:extLst>
            </c:dLbl>
            <c:dLbl>
              <c:idx val="1"/>
              <c:layout>
                <c:manualLayout>
                  <c:x val="1.8794181977252741E-2"/>
                  <c:y val="3.0286526684164393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259-412A-A050-D832E6B9E1D2}"/>
                </c:ext>
              </c:extLst>
            </c:dLbl>
            <c:dLbl>
              <c:idx val="2"/>
              <c:layout>
                <c:manualLayout>
                  <c:x val="-0.24542847769028872"/>
                  <c:y val="-7.7478492271799357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E259-412A-A050-D832E6B9E1D2}"/>
                </c:ext>
              </c:extLst>
            </c:dLbl>
            <c:dLbl>
              <c:idx val="3"/>
              <c:layout>
                <c:manualLayout>
                  <c:x val="-5.4630358705161919E-3"/>
                  <c:y val="-7.0083479148439778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259-412A-A050-D832E6B9E1D2}"/>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'Product Analysis'!$A$38:$A$42</c:f>
              <c:strCache>
                <c:ptCount val="4"/>
                <c:pt idx="0">
                  <c:v>North</c:v>
                </c:pt>
                <c:pt idx="1">
                  <c:v>West</c:v>
                </c:pt>
                <c:pt idx="2">
                  <c:v>South</c:v>
                </c:pt>
                <c:pt idx="3">
                  <c:v>East</c:v>
                </c:pt>
              </c:strCache>
            </c:strRef>
          </c:cat>
          <c:val>
            <c:numRef>
              <c:f>'Product Analysis'!$B$38:$B$42</c:f>
              <c:numCache>
                <c:formatCode>\₹#,##0.00</c:formatCode>
                <c:ptCount val="4"/>
                <c:pt idx="0">
                  <c:v>-518432.75842005986</c:v>
                </c:pt>
                <c:pt idx="1">
                  <c:v>-835441.13016215619</c:v>
                </c:pt>
                <c:pt idx="2">
                  <c:v>-1078907.5023543828</c:v>
                </c:pt>
                <c:pt idx="3">
                  <c:v>-1171743.4804250626</c:v>
                </c:pt>
              </c:numCache>
            </c:numRef>
          </c:val>
          <c:extLst>
            <c:ext xmlns:c16="http://schemas.microsoft.com/office/drawing/2014/chart" uri="{C3380CC4-5D6E-409C-BE32-E72D297353CC}">
              <c16:uniqueId val="{00000000-E259-412A-A050-D832E6B9E1D2}"/>
            </c:ext>
          </c:extLst>
        </c:ser>
        <c:dLbls>
          <c:dLblPos val="ctr"/>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[Loan_Business_Analysis_Updated (2).xlsx]Product Analysis!PivotTable1</c:name>
    <c:fmtId val="2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PROFIT BY PRODUCT</a:t>
            </a:r>
          </a:p>
        </c:rich>
      </c:tx>
      <c:layout>
        <c:manualLayout>
          <c:xMode val="edge"/>
          <c:yMode val="edge"/>
          <c:x val="0.16119118421239845"/>
          <c:y val="0"/>
        </c:manualLayout>
      </c:layout>
      <c:overlay val="0"/>
      <c:spPr>
        <a:noFill/>
        <a:ln>
          <a:noFill/>
        </a:ln>
        <a:effectLst/>
      </c:sp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dLbl>
          <c:idx val="0"/>
          <c:layout>
            <c:manualLayout>
              <c:x val="-9.6633858267716529E-3"/>
              <c:y val="-0.1157407407407408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dLbl>
          <c:idx val="0"/>
          <c:layout>
            <c:manualLayout>
              <c:x val="-4.6651356080490954E-3"/>
              <c:y val="-8.3333333333333329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dLbl>
          <c:idx val="0"/>
          <c:layout>
            <c:manualLayout>
              <c:x val="4.5757436570428696E-2"/>
              <c:y val="-5.5555555555555552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dLbl>
          <c:idx val="0"/>
          <c:layout>
            <c:manualLayout>
              <c:x val="-4.6651356080490954E-3"/>
              <c:y val="-8.3333333333333329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dLbl>
          <c:idx val="0"/>
          <c:layout>
            <c:manualLayout>
              <c:x val="-9.6633858267716529E-3"/>
              <c:y val="-0.1157407407407408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dLbl>
          <c:idx val="0"/>
          <c:layout>
            <c:manualLayout>
              <c:x val="4.5757436570428696E-2"/>
              <c:y val="-5.5555555555555552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1">
              <a:alpha val="85000"/>
            </a:schemeClr>
          </a:solidFill>
          <a:ln w="9525" cap="flat" cmpd="sng" algn="ctr">
            <a:solidFill>
              <a:schemeClr val="lt1">
                <a:alpha val="50000"/>
              </a:schemeClr>
            </a:solidFill>
            <a:round/>
          </a:ln>
          <a:effectLst/>
        </c:spPr>
        <c:dLbl>
          <c:idx val="0"/>
          <c:layout>
            <c:manualLayout>
              <c:x val="-1.5216737014277839E-2"/>
              <c:y val="-7.7727031996131174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4444198851884194"/>
                  <c:h val="0.12005151454890513"/>
                </c:manualLayout>
              </c15:layout>
            </c:ext>
          </c:extLst>
        </c:dLbl>
      </c:pivotFmt>
      <c:pivotFmt>
        <c:idx val="10"/>
        <c:spPr>
          <a:solidFill>
            <a:schemeClr val="accent1">
              <a:alpha val="85000"/>
            </a:schemeClr>
          </a:solidFill>
          <a:ln w="9525" cap="flat" cmpd="sng" algn="ctr">
            <a:solidFill>
              <a:schemeClr val="lt1">
                <a:alpha val="50000"/>
              </a:schemeClr>
            </a:solidFill>
            <a:round/>
          </a:ln>
          <a:effectLst/>
        </c:spPr>
        <c:dLbl>
          <c:idx val="0"/>
          <c:layout>
            <c:manualLayout>
              <c:x val="-1.9239792367760696E-2"/>
              <c:y val="2.497621690836787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5203421780846802"/>
                  <c:h val="0.11834141868884109"/>
                </c:manualLayout>
              </c15:layout>
            </c:ext>
          </c:extLst>
        </c:dLbl>
      </c:pivotFmt>
      <c:pivotFmt>
        <c:idx val="11"/>
        <c:spPr>
          <a:solidFill>
            <a:schemeClr val="accent1">
              <a:alpha val="85000"/>
            </a:schemeClr>
          </a:solidFill>
          <a:ln w="9525" cap="flat" cmpd="sng" algn="ctr">
            <a:solidFill>
              <a:schemeClr val="lt1">
                <a:alpha val="50000"/>
              </a:schemeClr>
            </a:solidFill>
            <a:round/>
          </a:ln>
          <a:effectLst/>
        </c:spPr>
        <c:dLbl>
          <c:idx val="0"/>
          <c:layout>
            <c:manualLayout>
              <c:x val="8.2790201146196285E-2"/>
              <c:y val="9.7951559716235051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6980721461969864"/>
                  <c:h val="0.10590283870342425"/>
                </c:manualLayout>
              </c15:layout>
            </c:ext>
          </c:extLst>
        </c:dLbl>
      </c:pivotFmt>
      <c:pivotFmt>
        <c:idx val="12"/>
        <c:spPr>
          <a:solidFill>
            <a:schemeClr val="accent1">
              <a:alpha val="85000"/>
            </a:schemeClr>
          </a:solidFill>
          <a:ln w="9525" cap="flat" cmpd="sng" algn="ctr">
            <a:solidFill>
              <a:schemeClr val="lt1">
                <a:alpha val="50000"/>
              </a:schemeClr>
            </a:solidFill>
            <a:round/>
          </a:ln>
          <a:effectLst/>
        </c:spPr>
        <c:dLbl>
          <c:idx val="0"/>
          <c:layout>
            <c:manualLayout>
              <c:x val="-3.0816939754196408E-2"/>
              <c:y val="6.612584188799039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689926671870433"/>
                  <c:h val="0.12618947750722612"/>
                </c:manualLayout>
              </c15:layout>
            </c:ext>
          </c:extLst>
        </c:dLbl>
      </c:pivotFmt>
    </c:pivotFmts>
    <c:plotArea>
      <c:layout>
        <c:manualLayout>
          <c:layoutTarget val="inner"/>
          <c:xMode val="edge"/>
          <c:yMode val="edge"/>
          <c:x val="5.5555555555555558E-3"/>
          <c:y val="0.2061574074074074"/>
          <c:w val="0.93611111111111112"/>
          <c:h val="0.6718751822688831"/>
        </c:manualLayout>
      </c:layout>
      <c:barChart>
        <c:barDir val="bar"/>
        <c:grouping val="clustered"/>
        <c:varyColors val="0"/>
        <c:ser>
          <c:idx val="0"/>
          <c:order val="0"/>
          <c:tx>
            <c:strRef>
              <c:f>'Product Analysis'!$B$2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0-5EE9-4CCA-9545-5DE714024D1C}"/>
              </c:ext>
            </c:extLst>
          </c:dPt>
          <c:dPt>
            <c:idx val="1"/>
            <c:invertIfNegative val="0"/>
            <c:bubble3D val="0"/>
            <c:extLst>
              <c:ext xmlns:c16="http://schemas.microsoft.com/office/drawing/2014/chart" uri="{C3380CC4-5D6E-409C-BE32-E72D297353CC}">
                <c16:uniqueId val="{00000002-E3E5-4D14-A008-4F87CBF15125}"/>
              </c:ext>
            </c:extLst>
          </c:dPt>
          <c:dPt>
            <c:idx val="2"/>
            <c:invertIfNegative val="0"/>
            <c:bubble3D val="0"/>
            <c:extLst>
              <c:ext xmlns:c16="http://schemas.microsoft.com/office/drawing/2014/chart" uri="{C3380CC4-5D6E-409C-BE32-E72D297353CC}">
                <c16:uniqueId val="{00000005-52D0-476D-A320-576DF8BA7A7A}"/>
              </c:ext>
            </c:extLst>
          </c:dPt>
          <c:dPt>
            <c:idx val="3"/>
            <c:invertIfNegative val="0"/>
            <c:bubble3D val="0"/>
            <c:extLst>
              <c:ext xmlns:c16="http://schemas.microsoft.com/office/drawing/2014/chart" uri="{C3380CC4-5D6E-409C-BE32-E72D297353CC}">
                <c16:uniqueId val="{00000007-52D0-476D-A320-576DF8BA7A7A}"/>
              </c:ext>
            </c:extLst>
          </c:dPt>
          <c:dLbls>
            <c:dLbl>
              <c:idx val="0"/>
              <c:layout>
                <c:manualLayout>
                  <c:x val="-1.5216737014277839E-2"/>
                  <c:y val="-7.7727031996131174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444198851884194"/>
                      <c:h val="0.12005151454890513"/>
                    </c:manualLayout>
                  </c15:layout>
                </c:ext>
                <c:ext xmlns:c16="http://schemas.microsoft.com/office/drawing/2014/chart" uri="{C3380CC4-5D6E-409C-BE32-E72D297353CC}">
                  <c16:uniqueId val="{00000000-5EE9-4CCA-9545-5DE714024D1C}"/>
                </c:ext>
              </c:extLst>
            </c:dLbl>
            <c:dLbl>
              <c:idx val="1"/>
              <c:layout>
                <c:manualLayout>
                  <c:x val="-1.9239792367760696E-2"/>
                  <c:y val="2.497621690836787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5203421780846802"/>
                      <c:h val="0.11834141868884109"/>
                    </c:manualLayout>
                  </c15:layout>
                </c:ext>
                <c:ext xmlns:c16="http://schemas.microsoft.com/office/drawing/2014/chart" uri="{C3380CC4-5D6E-409C-BE32-E72D297353CC}">
                  <c16:uniqueId val="{00000002-E3E5-4D14-A008-4F87CBF15125}"/>
                </c:ext>
              </c:extLst>
            </c:dLbl>
            <c:dLbl>
              <c:idx val="2"/>
              <c:layout>
                <c:manualLayout>
                  <c:x val="8.2790201146196285E-2"/>
                  <c:y val="9.7951559716235051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6980721461969864"/>
                      <c:h val="0.10590283870342425"/>
                    </c:manualLayout>
                  </c15:layout>
                </c:ext>
                <c:ext xmlns:c16="http://schemas.microsoft.com/office/drawing/2014/chart" uri="{C3380CC4-5D6E-409C-BE32-E72D297353CC}">
                  <c16:uniqueId val="{00000005-52D0-476D-A320-576DF8BA7A7A}"/>
                </c:ext>
              </c:extLst>
            </c:dLbl>
            <c:dLbl>
              <c:idx val="3"/>
              <c:layout>
                <c:manualLayout>
                  <c:x val="-3.0816939754196408E-2"/>
                  <c:y val="6.612584188799039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689926671870433"/>
                      <c:h val="0.12618947750722612"/>
                    </c:manualLayout>
                  </c15:layout>
                </c:ext>
                <c:ext xmlns:c16="http://schemas.microsoft.com/office/drawing/2014/chart" uri="{C3380CC4-5D6E-409C-BE32-E72D297353CC}">
                  <c16:uniqueId val="{00000007-52D0-476D-A320-576DF8BA7A7A}"/>
                </c:ext>
              </c:extLst>
            </c:dLbl>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dk1">
                          <a:lumMod val="50000"/>
                          <a:lumOff val="50000"/>
                        </a:schemeClr>
                      </a:solidFill>
                    </a:ln>
                    <a:effectLst/>
                  </c:spPr>
                </c15:leaderLines>
              </c:ext>
            </c:extLst>
          </c:dLbls>
          <c:cat>
            <c:strRef>
              <c:f>'Product Analysis'!$A$3:$A$7</c:f>
              <c:strCache>
                <c:ptCount val="4"/>
                <c:pt idx="0">
                  <c:v>Laptop</c:v>
                </c:pt>
                <c:pt idx="1">
                  <c:v>Bike</c:v>
                </c:pt>
                <c:pt idx="2">
                  <c:v>Mobile Phone</c:v>
                </c:pt>
                <c:pt idx="3">
                  <c:v>Car</c:v>
                </c:pt>
              </c:strCache>
            </c:strRef>
          </c:cat>
          <c:val>
            <c:numRef>
              <c:f>'Product Analysis'!$B$3:$B$7</c:f>
              <c:numCache>
                <c:formatCode>\₹#,##0.00</c:formatCode>
                <c:ptCount val="4"/>
                <c:pt idx="0">
                  <c:v>164303.92267011473</c:v>
                </c:pt>
                <c:pt idx="1">
                  <c:v>46453.855527096428</c:v>
                </c:pt>
                <c:pt idx="2">
                  <c:v>-73807.374809622546</c:v>
                </c:pt>
                <c:pt idx="3">
                  <c:v>-3741475.2747492492</c:v>
                </c:pt>
              </c:numCache>
            </c:numRef>
          </c:val>
          <c:extLst>
            <c:ext xmlns:c16="http://schemas.microsoft.com/office/drawing/2014/chart" uri="{C3380CC4-5D6E-409C-BE32-E72D297353CC}">
              <c16:uniqueId val="{00000003-5EE9-4CCA-9545-5DE714024D1C}"/>
            </c:ext>
          </c:extLst>
        </c:ser>
        <c:dLbls>
          <c:dLblPos val="inEnd"/>
          <c:showLegendKey val="0"/>
          <c:showVal val="1"/>
          <c:showCatName val="0"/>
          <c:showSerName val="0"/>
          <c:showPercent val="0"/>
          <c:showBubbleSize val="0"/>
        </c:dLbls>
        <c:gapWidth val="65"/>
        <c:axId val="2004903264"/>
        <c:axId val="2004897984"/>
      </c:barChart>
      <c:catAx>
        <c:axId val="200490326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2004897984"/>
        <c:crosses val="autoZero"/>
        <c:auto val="1"/>
        <c:lblAlgn val="ctr"/>
        <c:lblOffset val="100"/>
        <c:noMultiLvlLbl val="0"/>
      </c:catAx>
      <c:valAx>
        <c:axId val="2004897984"/>
        <c:scaling>
          <c:orientation val="minMax"/>
        </c:scaling>
        <c:delete val="1"/>
        <c:axPos val="b"/>
        <c:numFmt formatCode="\₹#,##0.00" sourceLinked="1"/>
        <c:majorTickMark val="none"/>
        <c:minorTickMark val="none"/>
        <c:tickLblPos val="nextTo"/>
        <c:crossAx val="2004903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[Loan_Business_Analysis_Updated (2).xlsx]Product Analysis!PivotTable2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a:solidFill>
                  <a:schemeClr val="tx1"/>
                </a:solidFill>
              </a:rPr>
              <a:t>PROFIT BY INTREST RATE</a:t>
            </a:r>
          </a:p>
        </c:rich>
      </c:tx>
      <c:layout>
        <c:manualLayout>
          <c:xMode val="edge"/>
          <c:yMode val="edge"/>
          <c:x val="0.12229806386354966"/>
          <c:y val="1.603826373130224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5555555555555558E-3"/>
              <c:y val="-4.254957713619135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6.9262175561388156E-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0185067526415994E-16"/>
              <c:y val="1.844925634295729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5555555555555558E-3"/>
              <c:y val="-4.254957713619135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6.9262175561388156E-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0185067526415994E-16"/>
              <c:y val="1.844925634295729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47783857255971E-2"/>
              <c:y val="-5.6292651808231335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784208126931772"/>
                  <c:h val="0.13577303598461091"/>
                </c:manualLayout>
              </c15:layout>
            </c:ext>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8761052149038483E-3"/>
              <c:y val="3.1524135798707734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773835362999864"/>
                  <c:h val="0.13446175323003118"/>
                </c:manualLayout>
              </c15:layout>
            </c:ext>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7528214825308377E-2"/>
              <c:y val="2.867697624415524E-7"/>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29573660090275"/>
                  <c:h val="0.11260989734216047"/>
                </c:manualLayout>
              </c15:layout>
            </c:ext>
          </c:extLst>
        </c:dLbl>
      </c:pivotFmt>
    </c:pivotFmts>
    <c:plotArea>
      <c:layout/>
      <c:barChart>
        <c:barDir val="col"/>
        <c:grouping val="clustered"/>
        <c:varyColors val="0"/>
        <c:ser>
          <c:idx val="0"/>
          <c:order val="0"/>
          <c:tx>
            <c:strRef>
              <c:f>'Product Analysis'!$B$11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DA0A-426D-80EA-CC5CB29959D8}"/>
              </c:ext>
            </c:extLst>
          </c:dPt>
          <c:dPt>
            <c:idx val="1"/>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A0A-426D-80EA-CC5CB29959D8}"/>
              </c:ext>
            </c:extLst>
          </c:dPt>
          <c:dPt>
            <c:idx val="2"/>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46A-4C63-B73C-3200F00A87D9}"/>
              </c:ext>
            </c:extLst>
          </c:dPt>
          <c:dLbls>
            <c:dLbl>
              <c:idx val="0"/>
              <c:layout>
                <c:manualLayout>
                  <c:x val="1.347783857255971E-2"/>
                  <c:y val="-5.6292651808231335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784208126931772"/>
                      <c:h val="0.13577303598461091"/>
                    </c:manualLayout>
                  </c15:layout>
                </c:ext>
                <c:ext xmlns:c16="http://schemas.microsoft.com/office/drawing/2014/chart" uri="{C3380CC4-5D6E-409C-BE32-E72D297353CC}">
                  <c16:uniqueId val="{00000000-DA0A-426D-80EA-CC5CB29959D8}"/>
                </c:ext>
              </c:extLst>
            </c:dLbl>
            <c:dLbl>
              <c:idx val="1"/>
              <c:layout>
                <c:manualLayout>
                  <c:x val="-1.8761052149038483E-3"/>
                  <c:y val="3.1524135798707734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773835362999864"/>
                      <c:h val="0.13446175323003118"/>
                    </c:manualLayout>
                  </c15:layout>
                </c:ext>
                <c:ext xmlns:c16="http://schemas.microsoft.com/office/drawing/2014/chart" uri="{C3380CC4-5D6E-409C-BE32-E72D297353CC}">
                  <c16:uniqueId val="{00000001-DA0A-426D-80EA-CC5CB29959D8}"/>
                </c:ext>
              </c:extLst>
            </c:dLbl>
            <c:dLbl>
              <c:idx val="2"/>
              <c:layout>
                <c:manualLayout>
                  <c:x val="1.7528214825308377E-2"/>
                  <c:y val="2.867697624415524E-7"/>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29573660090275"/>
                      <c:h val="0.11260989734216047"/>
                    </c:manualLayout>
                  </c15:layout>
                </c:ext>
                <c:ext xmlns:c16="http://schemas.microsoft.com/office/drawing/2014/chart" uri="{C3380CC4-5D6E-409C-BE32-E72D297353CC}">
                  <c16:uniqueId val="{00000005-546A-4C63-B73C-3200F00A87D9}"/>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'Product Analysis'!$A$12:$A$15</c:f>
              <c:strCache>
                <c:ptCount val="3"/>
                <c:pt idx="0">
                  <c:v>High Rate</c:v>
                </c:pt>
                <c:pt idx="1">
                  <c:v>Medium Rate</c:v>
                </c:pt>
                <c:pt idx="2">
                  <c:v>Low Rate</c:v>
                </c:pt>
              </c:strCache>
            </c:strRef>
          </c:cat>
          <c:val>
            <c:numRef>
              <c:f>'Product Analysis'!$B$12:$B$15</c:f>
              <c:numCache>
                <c:formatCode>\₹#,##0.00</c:formatCode>
                <c:ptCount val="3"/>
                <c:pt idx="0">
                  <c:v>249787.63112490394</c:v>
                </c:pt>
                <c:pt idx="1">
                  <c:v>-1184863.5995789084</c:v>
                </c:pt>
                <c:pt idx="2">
                  <c:v>-2669448.9029076565</c:v>
                </c:pt>
              </c:numCache>
            </c:numRef>
          </c:val>
          <c:extLst>
            <c:ext xmlns:c16="http://schemas.microsoft.com/office/drawing/2014/chart" uri="{C3380CC4-5D6E-409C-BE32-E72D297353CC}">
              <c16:uniqueId val="{00000003-DA0A-426D-80EA-CC5CB29959D8}"/>
            </c:ext>
          </c:extLst>
        </c:ser>
        <c:dLbls>
          <c:dLblPos val="inEnd"/>
          <c:showLegendKey val="0"/>
          <c:showVal val="1"/>
          <c:showCatName val="0"/>
          <c:showSerName val="0"/>
          <c:showPercent val="0"/>
          <c:showBubbleSize val="0"/>
        </c:dLbls>
        <c:gapWidth val="100"/>
        <c:overlap val="-24"/>
        <c:axId val="1488176784"/>
        <c:axId val="1488175824"/>
      </c:barChart>
      <c:catAx>
        <c:axId val="14881767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488175824"/>
        <c:crosses val="autoZero"/>
        <c:auto val="1"/>
        <c:lblAlgn val="ctr"/>
        <c:lblOffset val="100"/>
        <c:noMultiLvlLbl val="0"/>
      </c:catAx>
      <c:valAx>
        <c:axId val="1488175824"/>
        <c:scaling>
          <c:orientation val="minMax"/>
        </c:scaling>
        <c:delete val="1"/>
        <c:axPos val="l"/>
        <c:numFmt formatCode="\₹#,##0.00" sourceLinked="1"/>
        <c:majorTickMark val="none"/>
        <c:minorTickMark val="none"/>
        <c:tickLblPos val="nextTo"/>
        <c:crossAx val="148817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[Loan_Business_Analysis_Updated (2).xlsx]Product Analysis!PivotTable3</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600"/>
              <a:t>PRODUCT</a:t>
            </a:r>
            <a:r>
              <a:rPr lang="en-IN" sz="1600" baseline="0"/>
              <a:t> X INTREST</a:t>
            </a:r>
            <a:endParaRPr lang="en-IN" sz="1600"/>
          </a:p>
        </c:rich>
      </c:tx>
      <c:overlay val="0"/>
      <c:spPr>
        <a:noFill/>
        <a:ln>
          <a:noFill/>
        </a:ln>
        <a:effectLst/>
      </c:sp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lt1">
                <a:alpha val="50000"/>
              </a:schemeClr>
            </a:solidFill>
            <a:round/>
          </a:ln>
          <a:effectLst/>
        </c:spPr>
        <c:dLbl>
          <c:idx val="0"/>
          <c:layout>
            <c:manualLayout>
              <c:x val="0.12883101714643966"/>
              <c:y val="8.23937777978844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alpha val="85000"/>
            </a:schemeClr>
          </a:solidFill>
          <a:ln w="9525" cap="flat" cmpd="sng" algn="ctr">
            <a:solidFill>
              <a:schemeClr val="lt1">
                <a:alpha val="50000"/>
              </a:schemeClr>
            </a:solidFill>
            <a:round/>
          </a:ln>
          <a:effectLst/>
        </c:spPr>
        <c:dLbl>
          <c:idx val="0"/>
          <c:layout>
            <c:manualLayout>
              <c:x val="6.8204656136350433E-2"/>
              <c:y val="-6.7153185605750007E-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alpha val="85000"/>
            </a:schemeClr>
          </a:solidFill>
          <a:ln w="9525" cap="flat" cmpd="sng" algn="ctr">
            <a:solidFill>
              <a:schemeClr val="lt1">
                <a:alpha val="50000"/>
              </a:schemeClr>
            </a:solidFill>
            <a:round/>
          </a:ln>
          <a:effectLst/>
        </c:spPr>
        <c:dLbl>
          <c:idx val="0"/>
          <c:layout>
            <c:manualLayout>
              <c:x val="7.5782951262611366E-3"/>
              <c:y val="-5.32111239605393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dLbl>
          <c:idx val="0"/>
          <c:layout>
            <c:manualLayout>
              <c:x val="0"/>
              <c:y val="-1.068937339715949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alpha val="85000"/>
            </a:schemeClr>
          </a:solidFill>
          <a:ln w="9525" cap="flat" cmpd="sng" algn="ctr">
            <a:solidFill>
              <a:schemeClr val="lt1">
                <a:alpha val="50000"/>
              </a:schemeClr>
            </a:solidFill>
            <a:round/>
          </a:ln>
          <a:effectLst/>
        </c:spPr>
        <c:dLbl>
          <c:idx val="0"/>
          <c:layout>
            <c:manualLayout>
              <c:x val="0"/>
              <c:y val="-3.37154938657332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dLbl>
          <c:idx val="0"/>
          <c:layout>
            <c:manualLayout>
              <c:x val="2.273488537878348E-2"/>
              <c:y val="-8.66180666103051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alpha val="85000"/>
            </a:schemeClr>
          </a:solidFill>
          <a:ln w="9525" cap="flat" cmpd="sng" algn="ctr">
            <a:solidFill>
              <a:schemeClr val="lt1">
                <a:alpha val="50000"/>
              </a:schemeClr>
            </a:solidFill>
            <a:round/>
          </a:ln>
          <a:effectLst/>
        </c:spPr>
        <c:dLbl>
          <c:idx val="0"/>
          <c:layout>
            <c:manualLayout>
              <c:x val="0"/>
              <c:y val="-3.11923012760519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dLbl>
          <c:idx val="0"/>
          <c:layout>
            <c:manualLayout>
              <c:x val="0"/>
              <c:y val="-1.068937339715949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dLbl>
          <c:idx val="0"/>
          <c:layout>
            <c:manualLayout>
              <c:x val="2.273488537878348E-2"/>
              <c:y val="-8.66180666103051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alpha val="85000"/>
            </a:schemeClr>
          </a:solidFill>
          <a:ln w="9525" cap="flat" cmpd="sng" algn="ctr">
            <a:solidFill>
              <a:schemeClr val="lt1">
                <a:alpha val="50000"/>
              </a:schemeClr>
            </a:solidFill>
            <a:round/>
          </a:ln>
          <a:effectLst/>
        </c:spPr>
        <c:dLbl>
          <c:idx val="0"/>
          <c:layout>
            <c:manualLayout>
              <c:x val="0.12883101714643966"/>
              <c:y val="8.23937777978844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alpha val="85000"/>
            </a:schemeClr>
          </a:solidFill>
          <a:ln w="9525" cap="flat" cmpd="sng" algn="ctr">
            <a:solidFill>
              <a:schemeClr val="lt1">
                <a:alpha val="50000"/>
              </a:schemeClr>
            </a:solidFill>
            <a:round/>
          </a:ln>
          <a:effectLst/>
        </c:spPr>
        <c:dLbl>
          <c:idx val="0"/>
          <c:layout>
            <c:manualLayout>
              <c:x val="7.5782951262611366E-3"/>
              <c:y val="-5.32111239605393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alpha val="85000"/>
            </a:schemeClr>
          </a:solidFill>
          <a:ln w="9525" cap="flat" cmpd="sng" algn="ctr">
            <a:solidFill>
              <a:schemeClr val="lt1">
                <a:alpha val="50000"/>
              </a:schemeClr>
            </a:solidFill>
            <a:round/>
          </a:ln>
          <a:effectLst/>
        </c:spPr>
        <c:dLbl>
          <c:idx val="0"/>
          <c:layout>
            <c:manualLayout>
              <c:x val="6.8204656136350433E-2"/>
              <c:y val="-6.7153185605750007E-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3">
              <a:alpha val="85000"/>
            </a:schemeClr>
          </a:solidFill>
          <a:ln w="9525" cap="flat" cmpd="sng" algn="ctr">
            <a:solidFill>
              <a:schemeClr val="lt1">
                <a:alpha val="50000"/>
              </a:schemeClr>
            </a:solidFill>
            <a:round/>
          </a:ln>
          <a:effectLst/>
        </c:spPr>
        <c:dLbl>
          <c:idx val="0"/>
          <c:layout>
            <c:manualLayout>
              <c:x val="0"/>
              <c:y val="-3.37154938657332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3">
              <a:alpha val="85000"/>
            </a:schemeClr>
          </a:solidFill>
          <a:ln w="9525" cap="flat" cmpd="sng" algn="ctr">
            <a:solidFill>
              <a:schemeClr val="lt1">
                <a:alpha val="50000"/>
              </a:schemeClr>
            </a:solidFill>
            <a:round/>
          </a:ln>
          <a:effectLst/>
        </c:spPr>
        <c:dLbl>
          <c:idx val="0"/>
          <c:layout>
            <c:manualLayout>
              <c:x val="0"/>
              <c:y val="-3.11923012760519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1"/>
        <c:spPr>
          <a:solidFill>
            <a:schemeClr val="accent1">
              <a:alpha val="85000"/>
            </a:schemeClr>
          </a:solidFill>
          <a:ln w="9525" cap="flat" cmpd="sng" algn="ctr">
            <a:solidFill>
              <a:schemeClr val="lt1">
                <a:alpha val="50000"/>
              </a:schemeClr>
            </a:solidFill>
            <a:round/>
          </a:ln>
          <a:effectLst/>
        </c:spPr>
        <c:dLbl>
          <c:idx val="0"/>
          <c:layout>
            <c:manualLayout>
              <c:x val="-1.0221639755342111E-2"/>
              <c:y val="-1.468173295046478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2980552888337877"/>
                  <c:h val="7.5513881142515005E-2"/>
                </c:manualLayout>
              </c15:layout>
            </c:ext>
          </c:extLst>
        </c:dLbl>
      </c:pivotFmt>
      <c:pivotFmt>
        <c:idx val="22"/>
        <c:spPr>
          <a:solidFill>
            <a:schemeClr val="accent1">
              <a:alpha val="85000"/>
            </a:schemeClr>
          </a:solidFill>
          <a:ln w="9525" cap="flat" cmpd="sng" algn="ctr">
            <a:solidFill>
              <a:schemeClr val="lt1">
                <a:alpha val="50000"/>
              </a:schemeClr>
            </a:solidFill>
            <a:round/>
          </a:ln>
          <a:effectLst/>
        </c:spPr>
        <c:dLbl>
          <c:idx val="0"/>
          <c:layout>
            <c:manualLayout>
              <c:x val="1.2136455193642646E-2"/>
              <c:y val="-0.1730822811003796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3285195731216393"/>
                  <c:h val="8.4974737834670314E-2"/>
                </c:manualLayout>
              </c15:layout>
            </c:ext>
          </c:extLst>
        </c:dLbl>
      </c:pivotFmt>
      <c:pivotFmt>
        <c:idx val="23"/>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alpha val="85000"/>
            </a:schemeClr>
          </a:solidFill>
          <a:ln w="9525" cap="flat" cmpd="sng" algn="ctr">
            <a:solidFill>
              <a:schemeClr val="lt1">
                <a:alpha val="50000"/>
              </a:schemeClr>
            </a:solidFill>
            <a:round/>
          </a:ln>
          <a:effectLst/>
        </c:spPr>
        <c:dLbl>
          <c:idx val="0"/>
          <c:layout>
            <c:manualLayout>
              <c:x val="-0.16214833114441118"/>
              <c:y val="1.369652359994796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62693619177055"/>
                  <c:h val="5.2001281979942963E-2"/>
                </c:manualLayout>
              </c15:layout>
            </c:ext>
          </c:extLst>
        </c:dLbl>
      </c:pivotFmt>
      <c:pivotFmt>
        <c:idx val="25"/>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6"/>
        <c:spPr>
          <a:solidFill>
            <a:schemeClr val="accent3">
              <a:alpha val="85000"/>
            </a:schemeClr>
          </a:solidFill>
          <a:ln w="9525" cap="flat" cmpd="sng" algn="ctr">
            <a:solidFill>
              <a:schemeClr val="lt1">
                <a:alpha val="50000"/>
              </a:schemeClr>
            </a:solidFill>
            <a:round/>
          </a:ln>
          <a:effectLst/>
        </c:spPr>
        <c:dLbl>
          <c:idx val="0"/>
          <c:layout>
            <c:manualLayout>
              <c:x val="5.7342130752810931E-3"/>
              <c:y val="-7.440444224167050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3389413807190015"/>
                  <c:h val="5.80889612986129E-2"/>
                </c:manualLayout>
              </c15:layout>
            </c:ext>
          </c:extLst>
        </c:dLbl>
      </c:pivotFmt>
      <c:pivotFmt>
        <c:idx val="27"/>
        <c:spPr>
          <a:solidFill>
            <a:schemeClr val="accent3">
              <a:alpha val="85000"/>
            </a:schemeClr>
          </a:solidFill>
          <a:ln w="9525" cap="flat" cmpd="sng" algn="ctr">
            <a:solidFill>
              <a:schemeClr val="lt1">
                <a:alpha val="50000"/>
              </a:schemeClr>
            </a:solidFill>
            <a:round/>
          </a:ln>
          <a:effectLst/>
        </c:spPr>
        <c:dLbl>
          <c:idx val="0"/>
          <c:layout>
            <c:manualLayout>
              <c:x val="0.13354389396188179"/>
              <c:y val="-6.282909866464424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2248316966828896"/>
                  <c:h val="8.3374419668988634E-2"/>
                </c:manualLayout>
              </c15:layout>
            </c:ext>
          </c:extLst>
        </c:dLbl>
      </c:pivotFmt>
      <c:pivotFmt>
        <c:idx val="28"/>
        <c:spPr>
          <a:solidFill>
            <a:schemeClr val="accent3">
              <a:alpha val="85000"/>
            </a:schemeClr>
          </a:solidFill>
          <a:ln w="9525" cap="flat" cmpd="sng" algn="ctr">
            <a:solidFill>
              <a:schemeClr val="lt1">
                <a:alpha val="50000"/>
              </a:schemeClr>
            </a:solidFill>
            <a:round/>
          </a:ln>
          <a:effectLst/>
        </c:spPr>
        <c:dLbl>
          <c:idx val="0"/>
          <c:layout>
            <c:manualLayout>
              <c:x val="-4.88419000149325E-2"/>
              <c:y val="-0.10540226142680328"/>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5024902466680277"/>
                  <c:h val="9.034842535899619E-2"/>
                </c:manualLayout>
              </c15:layout>
            </c:ext>
          </c:extLst>
        </c:dLbl>
      </c:pivotFmt>
      <c:pivotFmt>
        <c:idx val="29"/>
        <c:spPr>
          <a:solidFill>
            <a:schemeClr val="accent3">
              <a:alpha val="85000"/>
            </a:schemeClr>
          </a:solidFill>
          <a:ln w="9525" cap="flat" cmpd="sng" algn="ctr">
            <a:solidFill>
              <a:schemeClr val="lt1">
                <a:alpha val="50000"/>
              </a:schemeClr>
            </a:solidFill>
            <a:round/>
          </a:ln>
          <a:effectLst/>
        </c:spPr>
        <c:dLbl>
          <c:idx val="0"/>
          <c:layout>
            <c:manualLayout>
              <c:x val="0"/>
              <c:y val="-3.119230127605190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0"/>
        <c:dLbl>
          <c:idx val="0"/>
          <c:layout>
            <c:manualLayout>
              <c:x val="0"/>
              <c:y val="-1.165044845232103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7245482618214056"/>
                  <c:h val="8.925418703190155E-2"/>
                </c:manualLayout>
              </c15:layout>
            </c:ext>
          </c:extLst>
        </c:dLbl>
      </c:pivotFmt>
    </c:pivotFmts>
    <c:plotArea>
      <c:layout>
        <c:manualLayout>
          <c:layoutTarget val="inner"/>
          <c:xMode val="edge"/>
          <c:yMode val="edge"/>
          <c:x val="3.0555555555555555E-2"/>
          <c:y val="0.22263888888888889"/>
          <c:w val="0.87968978422280353"/>
          <c:h val="0.77736111111111106"/>
        </c:manualLayout>
      </c:layout>
      <c:barChart>
        <c:barDir val="col"/>
        <c:grouping val="clustered"/>
        <c:varyColors val="0"/>
        <c:ser>
          <c:idx val="0"/>
          <c:order val="0"/>
          <c:tx>
            <c:strRef>
              <c:f>'Product Analysis'!$B$19:$B$20</c:f>
              <c:strCache>
                <c:ptCount val="1"/>
                <c:pt idx="0">
                  <c:v>High Rate</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4-AE30-49BF-BE3F-297014EA9A75}"/>
              </c:ext>
            </c:extLst>
          </c:dPt>
          <c:dPt>
            <c:idx val="2"/>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6-F370-4562-BA00-385CCA538061}"/>
              </c:ext>
            </c:extLst>
          </c:dPt>
          <c:dPt>
            <c:idx val="3"/>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9-F370-4562-BA00-385CCA538061}"/>
              </c:ext>
            </c:extLst>
          </c:dPt>
          <c:dLbls>
            <c:dLbl>
              <c:idx val="0"/>
              <c:layout>
                <c:manualLayout>
                  <c:x val="0"/>
                  <c:y val="-1.1650448452321039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7245482618214056"/>
                      <c:h val="8.925418703190155E-2"/>
                    </c:manualLayout>
                  </c15:layout>
                </c:ext>
                <c:ext xmlns:c16="http://schemas.microsoft.com/office/drawing/2014/chart" uri="{C3380CC4-5D6E-409C-BE32-E72D297353CC}">
                  <c16:uniqueId val="{00000004-AE30-49BF-BE3F-297014EA9A75}"/>
                </c:ext>
              </c:extLst>
            </c:dLbl>
            <c:dLbl>
              <c:idx val="2"/>
              <c:layout>
                <c:manualLayout>
                  <c:x val="-1.0221639755342111E-2"/>
                  <c:y val="-1.4681732950464786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2980552888337877"/>
                      <c:h val="7.5513881142515005E-2"/>
                    </c:manualLayout>
                  </c15:layout>
                </c:ext>
                <c:ext xmlns:c16="http://schemas.microsoft.com/office/drawing/2014/chart" uri="{C3380CC4-5D6E-409C-BE32-E72D297353CC}">
                  <c16:uniqueId val="{00000006-F370-4562-BA00-385CCA538061}"/>
                </c:ext>
              </c:extLst>
            </c:dLbl>
            <c:dLbl>
              <c:idx val="3"/>
              <c:layout>
                <c:manualLayout>
                  <c:x val="1.2136455193642646E-2"/>
                  <c:y val="-0.17308228110037965"/>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285195731216393"/>
                      <c:h val="8.4974737834670314E-2"/>
                    </c:manualLayout>
                  </c15:layout>
                </c:ext>
                <c:ext xmlns:c16="http://schemas.microsoft.com/office/drawing/2014/chart" uri="{C3380CC4-5D6E-409C-BE32-E72D297353CC}">
                  <c16:uniqueId val="{00000009-F370-4562-BA00-385CCA538061}"/>
                </c:ext>
              </c:extLst>
            </c:dLbl>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dk1">
                          <a:lumMod val="50000"/>
                          <a:lumOff val="50000"/>
                        </a:schemeClr>
                      </a:solidFill>
                    </a:ln>
                    <a:effectLst/>
                  </c:spPr>
                </c15:leaderLines>
              </c:ext>
            </c:extLst>
          </c:dLbls>
          <c:cat>
            <c:strRef>
              <c:f>'Product Analysis'!$A$21:$A$25</c:f>
              <c:strCache>
                <c:ptCount val="4"/>
                <c:pt idx="0">
                  <c:v>Bike</c:v>
                </c:pt>
                <c:pt idx="1">
                  <c:v>Car</c:v>
                </c:pt>
                <c:pt idx="2">
                  <c:v>Laptop</c:v>
                </c:pt>
                <c:pt idx="3">
                  <c:v>Mobile Phone</c:v>
                </c:pt>
              </c:strCache>
            </c:strRef>
          </c:cat>
          <c:val>
            <c:numRef>
              <c:f>'Product Analysis'!$B$21:$B$25</c:f>
              <c:numCache>
                <c:formatCode>\₹#,##0.00</c:formatCode>
                <c:ptCount val="4"/>
                <c:pt idx="0">
                  <c:v>69602.780802355963</c:v>
                </c:pt>
                <c:pt idx="2">
                  <c:v>275229.57010968431</c:v>
                </c:pt>
                <c:pt idx="3">
                  <c:v>-95044.719787136259</c:v>
                </c:pt>
              </c:numCache>
            </c:numRef>
          </c:val>
          <c:extLst>
            <c:ext xmlns:c16="http://schemas.microsoft.com/office/drawing/2014/chart" uri="{C3380CC4-5D6E-409C-BE32-E72D297353CC}">
              <c16:uniqueId val="{00000002-7E87-41A3-8839-94A868FCA20A}"/>
            </c:ext>
          </c:extLst>
        </c:ser>
        <c:ser>
          <c:idx val="1"/>
          <c:order val="1"/>
          <c:tx>
            <c:strRef>
              <c:f>'Product Analysis'!$C$19:$C$20</c:f>
              <c:strCache>
                <c:ptCount val="1"/>
                <c:pt idx="0">
                  <c:v>Low Rate</c:v>
                </c:pt>
              </c:strCache>
            </c:strRef>
          </c:tx>
          <c:spPr>
            <a:solidFill>
              <a:schemeClr val="accent2">
                <a:alpha val="85000"/>
              </a:schemeClr>
            </a:solidFill>
            <a:ln w="9525" cap="flat" cmpd="sng" algn="ctr">
              <a:solidFill>
                <a:schemeClr val="lt1">
                  <a:alpha val="50000"/>
                </a:schemeClr>
              </a:solidFill>
              <a:round/>
            </a:ln>
            <a:effectLst/>
          </c:spPr>
          <c:invertIfNegative val="0"/>
          <c:dPt>
            <c:idx val="1"/>
            <c:invertIfNegative val="0"/>
            <c:bubble3D val="0"/>
            <c:extLst>
              <c:ext xmlns:c16="http://schemas.microsoft.com/office/drawing/2014/chart" uri="{C3380CC4-5D6E-409C-BE32-E72D297353CC}">
                <c16:uniqueId val="{00000006-CF06-4BFB-B80D-7FE33EA177C6}"/>
              </c:ext>
            </c:extLst>
          </c:dPt>
          <c:dLbls>
            <c:dLbl>
              <c:idx val="1"/>
              <c:layout>
                <c:manualLayout>
                  <c:x val="-0.16214833114441118"/>
                  <c:y val="1.3696523599947968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362693619177055"/>
                      <c:h val="5.2001281979942963E-2"/>
                    </c:manualLayout>
                  </c15:layout>
                </c:ext>
                <c:ext xmlns:c16="http://schemas.microsoft.com/office/drawing/2014/chart" uri="{C3380CC4-5D6E-409C-BE32-E72D297353CC}">
                  <c16:uniqueId val="{00000006-CF06-4BFB-B80D-7FE33EA177C6}"/>
                </c:ext>
              </c:extLst>
            </c:dLbl>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'Product Analysis'!$A$21:$A$25</c:f>
              <c:strCache>
                <c:ptCount val="4"/>
                <c:pt idx="0">
                  <c:v>Bike</c:v>
                </c:pt>
                <c:pt idx="1">
                  <c:v>Car</c:v>
                </c:pt>
                <c:pt idx="2">
                  <c:v>Laptop</c:v>
                </c:pt>
                <c:pt idx="3">
                  <c:v>Mobile Phone</c:v>
                </c:pt>
              </c:strCache>
            </c:strRef>
          </c:cat>
          <c:val>
            <c:numRef>
              <c:f>'Product Analysis'!$C$21:$C$25</c:f>
              <c:numCache>
                <c:formatCode>\₹#,##0.00</c:formatCode>
                <c:ptCount val="4"/>
                <c:pt idx="1">
                  <c:v>-2669448.9029076565</c:v>
                </c:pt>
              </c:numCache>
            </c:numRef>
          </c:val>
          <c:extLst>
            <c:ext xmlns:c16="http://schemas.microsoft.com/office/drawing/2014/chart" uri="{C3380CC4-5D6E-409C-BE32-E72D297353CC}">
              <c16:uniqueId val="{00000022-F370-4562-BA00-385CCA538061}"/>
            </c:ext>
          </c:extLst>
        </c:ser>
        <c:ser>
          <c:idx val="2"/>
          <c:order val="2"/>
          <c:tx>
            <c:strRef>
              <c:f>'Product Analysis'!$D$19:$D$20</c:f>
              <c:strCache>
                <c:ptCount val="1"/>
                <c:pt idx="0">
                  <c:v>Medium Rate</c:v>
                </c:pt>
              </c:strCache>
            </c:strRef>
          </c:tx>
          <c:spPr>
            <a:solidFill>
              <a:schemeClr val="accent3">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3">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8-CF06-4BFB-B80D-7FE33EA177C6}"/>
              </c:ext>
            </c:extLst>
          </c:dPt>
          <c:dPt>
            <c:idx val="1"/>
            <c:invertIfNegative val="0"/>
            <c:bubble3D val="0"/>
            <c:spPr>
              <a:solidFill>
                <a:schemeClr val="accent3">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A-CF06-4BFB-B80D-7FE33EA177C6}"/>
              </c:ext>
            </c:extLst>
          </c:dPt>
          <c:dPt>
            <c:idx val="2"/>
            <c:invertIfNegative val="0"/>
            <c:bubble3D val="0"/>
            <c:spPr>
              <a:solidFill>
                <a:schemeClr val="accent3">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C-CF06-4BFB-B80D-7FE33EA177C6}"/>
              </c:ext>
            </c:extLst>
          </c:dPt>
          <c:dPt>
            <c:idx val="3"/>
            <c:invertIfNegative val="0"/>
            <c:bubble3D val="0"/>
            <c:spPr>
              <a:solidFill>
                <a:schemeClr val="accent3">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E-CF06-4BFB-B80D-7FE33EA177C6}"/>
              </c:ext>
            </c:extLst>
          </c:dPt>
          <c:dLbls>
            <c:dLbl>
              <c:idx val="0"/>
              <c:layout>
                <c:manualLayout>
                  <c:x val="5.7342130752810931E-3"/>
                  <c:y val="-7.4404442241670504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389413807190015"/>
                      <c:h val="5.80889612986129E-2"/>
                    </c:manualLayout>
                  </c15:layout>
                </c:ext>
                <c:ext xmlns:c16="http://schemas.microsoft.com/office/drawing/2014/chart" uri="{C3380CC4-5D6E-409C-BE32-E72D297353CC}">
                  <c16:uniqueId val="{00000008-CF06-4BFB-B80D-7FE33EA177C6}"/>
                </c:ext>
              </c:extLst>
            </c:dLbl>
            <c:dLbl>
              <c:idx val="1"/>
              <c:layout>
                <c:manualLayout>
                  <c:x val="0.13354389396188179"/>
                  <c:y val="-6.2829098664644242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2248316966828896"/>
                      <c:h val="8.3374419668988634E-2"/>
                    </c:manualLayout>
                  </c15:layout>
                </c:ext>
                <c:ext xmlns:c16="http://schemas.microsoft.com/office/drawing/2014/chart" uri="{C3380CC4-5D6E-409C-BE32-E72D297353CC}">
                  <c16:uniqueId val="{0000000A-CF06-4BFB-B80D-7FE33EA177C6}"/>
                </c:ext>
              </c:extLst>
            </c:dLbl>
            <c:dLbl>
              <c:idx val="2"/>
              <c:layout>
                <c:manualLayout>
                  <c:x val="-4.88419000149325E-2"/>
                  <c:y val="-0.10540226142680328"/>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5024902466680277"/>
                      <c:h val="9.034842535899619E-2"/>
                    </c:manualLayout>
                  </c15:layout>
                </c:ext>
                <c:ext xmlns:c16="http://schemas.microsoft.com/office/drawing/2014/chart" uri="{C3380CC4-5D6E-409C-BE32-E72D297353CC}">
                  <c16:uniqueId val="{0000000C-CF06-4BFB-B80D-7FE33EA177C6}"/>
                </c:ext>
              </c:extLst>
            </c:dLbl>
            <c:dLbl>
              <c:idx val="3"/>
              <c:layout>
                <c:manualLayout>
                  <c:x val="0"/>
                  <c:y val="-3.119230127605190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F06-4BFB-B80D-7FE33EA177C6}"/>
                </c:ext>
              </c:extLst>
            </c:dLbl>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'Product Analysis'!$A$21:$A$25</c:f>
              <c:strCache>
                <c:ptCount val="4"/>
                <c:pt idx="0">
                  <c:v>Bike</c:v>
                </c:pt>
                <c:pt idx="1">
                  <c:v>Car</c:v>
                </c:pt>
                <c:pt idx="2">
                  <c:v>Laptop</c:v>
                </c:pt>
                <c:pt idx="3">
                  <c:v>Mobile Phone</c:v>
                </c:pt>
              </c:strCache>
            </c:strRef>
          </c:cat>
          <c:val>
            <c:numRef>
              <c:f>'Product Analysis'!$D$21:$D$25</c:f>
              <c:numCache>
                <c:formatCode>\₹#,##0.00</c:formatCode>
                <c:ptCount val="4"/>
                <c:pt idx="0">
                  <c:v>-23148.925275259593</c:v>
                </c:pt>
                <c:pt idx="1">
                  <c:v>-1072026.3718415932</c:v>
                </c:pt>
                <c:pt idx="2">
                  <c:v>-110925.64743956961</c:v>
                </c:pt>
                <c:pt idx="3">
                  <c:v>21237.344977513683</c:v>
                </c:pt>
              </c:numCache>
            </c:numRef>
          </c:val>
          <c:extLst>
            <c:ext xmlns:c16="http://schemas.microsoft.com/office/drawing/2014/chart" uri="{C3380CC4-5D6E-409C-BE32-E72D297353CC}">
              <c16:uniqueId val="{00000023-F370-4562-BA00-385CCA538061}"/>
            </c:ext>
          </c:extLst>
        </c:ser>
        <c:dLbls>
          <c:dLblPos val="inEnd"/>
          <c:showLegendKey val="0"/>
          <c:showVal val="1"/>
          <c:showCatName val="0"/>
          <c:showSerName val="0"/>
          <c:showPercent val="0"/>
          <c:showBubbleSize val="0"/>
        </c:dLbls>
        <c:gapWidth val="65"/>
        <c:axId val="64394848"/>
        <c:axId val="64395328"/>
      </c:barChart>
      <c:catAx>
        <c:axId val="64394848"/>
        <c:scaling>
          <c:orientation val="minMax"/>
        </c:scaling>
        <c:delete val="0"/>
        <c:axPos val="b"/>
        <c:numFmt formatCode="General" sourceLinked="1"/>
        <c:majorTickMark val="none"/>
        <c:minorTickMark val="none"/>
        <c:tickLblPos val="nextTo"/>
        <c:spPr>
          <a:noFill/>
          <a:ln w="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all" baseline="0">
                <a:solidFill>
                  <a:schemeClr val="dk1">
                    <a:lumMod val="75000"/>
                    <a:lumOff val="25000"/>
                  </a:schemeClr>
                </a:solidFill>
                <a:latin typeface="+mn-lt"/>
                <a:ea typeface="+mn-ea"/>
                <a:cs typeface="+mn-cs"/>
              </a:defRPr>
            </a:pPr>
            <a:endParaRPr lang="en-US"/>
          </a:p>
        </c:txPr>
        <c:crossAx val="64395328"/>
        <c:crosses val="autoZero"/>
        <c:auto val="1"/>
        <c:lblAlgn val="ctr"/>
        <c:lblOffset val="100"/>
        <c:noMultiLvlLbl val="0"/>
      </c:catAx>
      <c:valAx>
        <c:axId val="64395328"/>
        <c:scaling>
          <c:orientation val="minMax"/>
        </c:scaling>
        <c:delete val="1"/>
        <c:axPos val="l"/>
        <c:numFmt formatCode="\₹#,##0.00" sourceLinked="1"/>
        <c:majorTickMark val="none"/>
        <c:minorTickMark val="none"/>
        <c:tickLblPos val="nextTo"/>
        <c:crossAx val="64394848"/>
        <c:crosses val="autoZero"/>
        <c:crossBetween val="between"/>
      </c:valAx>
      <c:spPr>
        <a:noFill/>
        <a:ln>
          <a:noFill/>
        </a:ln>
        <a:effectLst/>
      </c:spPr>
    </c:plotArea>
    <c:legend>
      <c:legendPos val="r"/>
      <c:layout>
        <c:manualLayout>
          <c:xMode val="edge"/>
          <c:yMode val="edge"/>
          <c:x val="0.78405243600091512"/>
          <c:y val="0.78238112010970073"/>
          <c:w val="0.19831960689192973"/>
          <c:h val="0.1882022940768375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[Loan_Business_Analysis_Updated (2).xlsx]Product Analysis!PivotTable4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solidFill>
                  <a:schemeClr val="tx1"/>
                </a:solidFill>
              </a:rPr>
              <a:t>PROFITABILITY BY TENURE </a:t>
            </a:r>
          </a:p>
        </c:rich>
      </c:tx>
      <c:layout>
        <c:manualLayout>
          <c:xMode val="edge"/>
          <c:yMode val="edge"/>
          <c:x val="0.16093780552958326"/>
          <c:y val="3.391277296555628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6948886942895331E-2"/>
              <c:y val="-1.0252480049435709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1987320315660544E-2"/>
              <c:y val="2.23693057897310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3226713370512049E-3"/>
              <c:y val="-5.03309380268951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9711276008459955E-4"/>
              <c:y val="-6.15155909217607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918319480931823"/>
              <c:y val="-0.1062542025012230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5402897481986859E-2"/>
              <c:y val="3.35539586845967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2737961725379343E-2"/>
              <c:y val="-1.67769793422984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140920659794237"/>
              <c:y val="1.11846528948655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3806056136793106E-3"/>
              <c:y val="-5.592326447432792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059805995905634E-2"/>
          <c:y val="0.22106466446701825"/>
          <c:w val="0.75698737626218149"/>
          <c:h val="0.71741974461122104"/>
        </c:manualLayout>
      </c:layout>
      <c:barChart>
        <c:barDir val="bar"/>
        <c:grouping val="clustered"/>
        <c:varyColors val="0"/>
        <c:ser>
          <c:idx val="0"/>
          <c:order val="0"/>
          <c:tx>
            <c:strRef>
              <c:f>'Product Analysis'!$B$28:$B$29</c:f>
              <c:strCache>
                <c:ptCount val="1"/>
                <c:pt idx="0">
                  <c:v>Long Term</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4-E589-4DC0-AE3D-49DD57EE441E}"/>
              </c:ext>
            </c:extLst>
          </c:dPt>
          <c:dPt>
            <c:idx val="1"/>
            <c:invertIfNegative val="0"/>
            <c:bubble3D val="0"/>
            <c:extLst>
              <c:ext xmlns:c16="http://schemas.microsoft.com/office/drawing/2014/chart" uri="{C3380CC4-5D6E-409C-BE32-E72D297353CC}">
                <c16:uniqueId val="{00000007-E589-4DC0-AE3D-49DD57EE441E}"/>
              </c:ext>
            </c:extLst>
          </c:dPt>
          <c:dLbls>
            <c:dLbl>
              <c:idx val="0"/>
              <c:layout>
                <c:manualLayout>
                  <c:x val="1.1987320315660544E-2"/>
                  <c:y val="2.236930578973106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589-4DC0-AE3D-49DD57EE441E}"/>
                </c:ext>
              </c:extLst>
            </c:dLbl>
            <c:dLbl>
              <c:idx val="1"/>
              <c:layout>
                <c:manualLayout>
                  <c:x val="-0.13918319480931823"/>
                  <c:y val="-0.1062542025012230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589-4DC0-AE3D-49DD57EE441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15875">
                      <a:solidFill>
                        <a:schemeClr val="tx1">
                          <a:lumMod val="95000"/>
                          <a:lumOff val="5000"/>
                          <a:alpha val="54000"/>
                        </a:schemeClr>
                      </a:solidFill>
                    </a:ln>
                    <a:effectLst/>
                  </c:spPr>
                </c15:leaderLines>
              </c:ext>
            </c:extLst>
          </c:dLbls>
          <c:cat>
            <c:strRef>
              <c:f>'Product Analysis'!$A$30:$A$34</c:f>
              <c:strCache>
                <c:ptCount val="4"/>
                <c:pt idx="0">
                  <c:v>Bike</c:v>
                </c:pt>
                <c:pt idx="1">
                  <c:v>Car</c:v>
                </c:pt>
                <c:pt idx="2">
                  <c:v>Laptop</c:v>
                </c:pt>
                <c:pt idx="3">
                  <c:v>Mobile Phone</c:v>
                </c:pt>
              </c:strCache>
            </c:strRef>
          </c:cat>
          <c:val>
            <c:numRef>
              <c:f>'Product Analysis'!$B$30:$B$34</c:f>
              <c:numCache>
                <c:formatCode>\₹#,##0.00</c:formatCode>
                <c:ptCount val="4"/>
                <c:pt idx="0">
                  <c:v>207107.15361408959</c:v>
                </c:pt>
                <c:pt idx="1">
                  <c:v>-3382232.8918078081</c:v>
                </c:pt>
              </c:numCache>
            </c:numRef>
          </c:val>
          <c:extLst>
            <c:ext xmlns:c16="http://schemas.microsoft.com/office/drawing/2014/chart" uri="{C3380CC4-5D6E-409C-BE32-E72D297353CC}">
              <c16:uniqueId val="{00000000-E589-4DC0-AE3D-49DD57EE441E}"/>
            </c:ext>
          </c:extLst>
        </c:ser>
        <c:ser>
          <c:idx val="1"/>
          <c:order val="1"/>
          <c:tx>
            <c:strRef>
              <c:f>'Product Analysis'!$C$28:$C$29</c:f>
              <c:strCache>
                <c:ptCount val="1"/>
                <c:pt idx="0">
                  <c:v>Medium Term</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3-E589-4DC0-AE3D-49DD57EE441E}"/>
              </c:ext>
            </c:extLst>
          </c:dPt>
          <c:dPt>
            <c:idx val="1"/>
            <c:invertIfNegative val="0"/>
            <c:bubble3D val="0"/>
            <c:extLst>
              <c:ext xmlns:c16="http://schemas.microsoft.com/office/drawing/2014/chart" uri="{C3380CC4-5D6E-409C-BE32-E72D297353CC}">
                <c16:uniqueId val="{00000006-E589-4DC0-AE3D-49DD57EE441E}"/>
              </c:ext>
            </c:extLst>
          </c:dPt>
          <c:dPt>
            <c:idx val="2"/>
            <c:invertIfNegative val="0"/>
            <c:bubble3D val="0"/>
            <c:extLst>
              <c:ext xmlns:c16="http://schemas.microsoft.com/office/drawing/2014/chart" uri="{C3380CC4-5D6E-409C-BE32-E72D297353CC}">
                <c16:uniqueId val="{00000008-E589-4DC0-AE3D-49DD57EE441E}"/>
              </c:ext>
            </c:extLst>
          </c:dPt>
          <c:dPt>
            <c:idx val="3"/>
            <c:invertIfNegative val="0"/>
            <c:bubble3D val="0"/>
            <c:extLst>
              <c:ext xmlns:c16="http://schemas.microsoft.com/office/drawing/2014/chart" uri="{C3380CC4-5D6E-409C-BE32-E72D297353CC}">
                <c16:uniqueId val="{0000000A-E589-4DC0-AE3D-49DD57EE441E}"/>
              </c:ext>
            </c:extLst>
          </c:dPt>
          <c:dLbls>
            <c:dLbl>
              <c:idx val="0"/>
              <c:layout>
                <c:manualLayout>
                  <c:x val="3.6948886942895331E-2"/>
                  <c:y val="-1.0252480049435709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589-4DC0-AE3D-49DD57EE441E}"/>
                </c:ext>
              </c:extLst>
            </c:dLbl>
            <c:dLbl>
              <c:idx val="1"/>
              <c:layout>
                <c:manualLayout>
                  <c:x val="-5.9711276008459955E-4"/>
                  <c:y val="-6.151559092176071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589-4DC0-AE3D-49DD57EE441E}"/>
                </c:ext>
              </c:extLst>
            </c:dLbl>
            <c:dLbl>
              <c:idx val="2"/>
              <c:layout>
                <c:manualLayout>
                  <c:x val="8.5402897481986859E-2"/>
                  <c:y val="3.355395868459674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589-4DC0-AE3D-49DD57EE441E}"/>
                </c:ext>
              </c:extLst>
            </c:dLbl>
            <c:dLbl>
              <c:idx val="3"/>
              <c:layout>
                <c:manualLayout>
                  <c:x val="0.14140920659794237"/>
                  <c:y val="1.118465289486553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589-4DC0-AE3D-49DD57EE441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15875">
                      <a:solidFill>
                        <a:schemeClr val="tx1">
                          <a:lumMod val="95000"/>
                          <a:lumOff val="5000"/>
                          <a:alpha val="54000"/>
                        </a:schemeClr>
                      </a:solidFill>
                    </a:ln>
                    <a:effectLst/>
                  </c:spPr>
                </c15:leaderLines>
              </c:ext>
            </c:extLst>
          </c:dLbls>
          <c:cat>
            <c:strRef>
              <c:f>'Product Analysis'!$A$30:$A$34</c:f>
              <c:strCache>
                <c:ptCount val="4"/>
                <c:pt idx="0">
                  <c:v>Bike</c:v>
                </c:pt>
                <c:pt idx="1">
                  <c:v>Car</c:v>
                </c:pt>
                <c:pt idx="2">
                  <c:v>Laptop</c:v>
                </c:pt>
                <c:pt idx="3">
                  <c:v>Mobile Phone</c:v>
                </c:pt>
              </c:strCache>
            </c:strRef>
          </c:cat>
          <c:val>
            <c:numRef>
              <c:f>'Product Analysis'!$C$30:$C$34</c:f>
              <c:numCache>
                <c:formatCode>\₹#,##0.00</c:formatCode>
                <c:ptCount val="4"/>
                <c:pt idx="0">
                  <c:v>136044.14282257479</c:v>
                </c:pt>
                <c:pt idx="1">
                  <c:v>-359242.38294144091</c:v>
                </c:pt>
                <c:pt idx="2">
                  <c:v>250092.23467660643</c:v>
                </c:pt>
                <c:pt idx="3">
                  <c:v>25409.656545601199</c:v>
                </c:pt>
              </c:numCache>
            </c:numRef>
          </c:val>
          <c:extLst>
            <c:ext xmlns:c16="http://schemas.microsoft.com/office/drawing/2014/chart" uri="{C3380CC4-5D6E-409C-BE32-E72D297353CC}">
              <c16:uniqueId val="{00000001-E589-4DC0-AE3D-49DD57EE441E}"/>
            </c:ext>
          </c:extLst>
        </c:ser>
        <c:ser>
          <c:idx val="2"/>
          <c:order val="2"/>
          <c:tx>
            <c:strRef>
              <c:f>'Product Analysis'!$D$28:$D$29</c:f>
              <c:strCache>
                <c:ptCount val="1"/>
                <c:pt idx="0">
                  <c:v>Short Term</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0037-4919-ADCB-C1035FD3E1BC}"/>
              </c:ext>
            </c:extLst>
          </c:dPt>
          <c:dPt>
            <c:idx val="2"/>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037-4919-ADCB-C1035FD3E1BC}"/>
              </c:ext>
            </c:extLst>
          </c:dPt>
          <c:dPt>
            <c:idx val="3"/>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0037-4919-ADCB-C1035FD3E1BC}"/>
              </c:ext>
            </c:extLst>
          </c:dPt>
          <c:dLbls>
            <c:dLbl>
              <c:idx val="0"/>
              <c:layout>
                <c:manualLayout>
                  <c:x val="7.3226713370512049E-3"/>
                  <c:y val="-5.033093802689512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037-4919-ADCB-C1035FD3E1BC}"/>
                </c:ext>
              </c:extLst>
            </c:dLbl>
            <c:dLbl>
              <c:idx val="2"/>
              <c:layout>
                <c:manualLayout>
                  <c:x val="6.3806056136793106E-3"/>
                  <c:y val="-5.592326447432792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037-4919-ADCB-C1035FD3E1BC}"/>
                </c:ext>
              </c:extLst>
            </c:dLbl>
            <c:dLbl>
              <c:idx val="3"/>
              <c:layout>
                <c:manualLayout>
                  <c:x val="3.2737961725379343E-2"/>
                  <c:y val="-1.677697934229840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037-4919-ADCB-C1035FD3E1B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'Product Analysis'!$A$30:$A$34</c:f>
              <c:strCache>
                <c:ptCount val="4"/>
                <c:pt idx="0">
                  <c:v>Bike</c:v>
                </c:pt>
                <c:pt idx="1">
                  <c:v>Car</c:v>
                </c:pt>
                <c:pt idx="2">
                  <c:v>Laptop</c:v>
                </c:pt>
                <c:pt idx="3">
                  <c:v>Mobile Phone</c:v>
                </c:pt>
              </c:strCache>
            </c:strRef>
          </c:cat>
          <c:val>
            <c:numRef>
              <c:f>'Product Analysis'!$D$30:$D$34</c:f>
              <c:numCache>
                <c:formatCode>\₹#,##0.00</c:formatCode>
                <c:ptCount val="4"/>
                <c:pt idx="0">
                  <c:v>-296697.44090956799</c:v>
                </c:pt>
                <c:pt idx="2">
                  <c:v>-85788.31200649176</c:v>
                </c:pt>
                <c:pt idx="3">
                  <c:v>-99217.031355223764</c:v>
                </c:pt>
              </c:numCache>
            </c:numRef>
          </c:val>
          <c:extLst>
            <c:ext xmlns:c16="http://schemas.microsoft.com/office/drawing/2014/chart" uri="{C3380CC4-5D6E-409C-BE32-E72D297353CC}">
              <c16:uniqueId val="{00000013-E589-4DC0-AE3D-49DD57EE441E}"/>
            </c:ext>
          </c:extLst>
        </c:ser>
        <c:dLbls>
          <c:dLblPos val="inEnd"/>
          <c:showLegendKey val="0"/>
          <c:showVal val="1"/>
          <c:showCatName val="0"/>
          <c:showSerName val="0"/>
          <c:showPercent val="0"/>
          <c:showBubbleSize val="0"/>
        </c:dLbls>
        <c:gapWidth val="115"/>
        <c:overlap val="-20"/>
        <c:axId val="100660288"/>
        <c:axId val="100660768"/>
      </c:barChart>
      <c:catAx>
        <c:axId val="1006602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0660768"/>
        <c:crosses val="autoZero"/>
        <c:auto val="1"/>
        <c:lblAlgn val="ctr"/>
        <c:lblOffset val="100"/>
        <c:noMultiLvlLbl val="0"/>
      </c:catAx>
      <c:valAx>
        <c:axId val="100660768"/>
        <c:scaling>
          <c:orientation val="minMax"/>
        </c:scaling>
        <c:delete val="1"/>
        <c:axPos val="b"/>
        <c:numFmt formatCode="\₹#,##0.00" sourceLinked="1"/>
        <c:majorTickMark val="none"/>
        <c:minorTickMark val="none"/>
        <c:tickLblPos val="nextTo"/>
        <c:crossAx val="100660288"/>
        <c:crosses val="autoZero"/>
        <c:crossBetween val="between"/>
      </c:valAx>
      <c:spPr>
        <a:noFill/>
        <a:ln>
          <a:noFill/>
        </a:ln>
        <a:effectLst/>
      </c:spPr>
    </c:plotArea>
    <c:legend>
      <c:legendPos val="r"/>
      <c:layout>
        <c:manualLayout>
          <c:xMode val="edge"/>
          <c:yMode val="edge"/>
          <c:x val="0.8074597102518013"/>
          <c:y val="7.6086463531646834E-3"/>
          <c:w val="0.17953285912542952"/>
          <c:h val="0.2327825699073831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[Loan_Business_Analysis_Updated (2).xlsx]Product Analysis!PivotTable10</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LOSS BY REGION</a:t>
            </a:r>
          </a:p>
        </c:rich>
      </c:tx>
      <c:layout>
        <c:manualLayout>
          <c:xMode val="edge"/>
          <c:yMode val="edge"/>
          <c:x val="0.26949083386650957"/>
          <c:y val="1.5715743360012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dLbl>
          <c:idx val="0"/>
          <c:layout>
            <c:manualLayout>
              <c:x val="6.4478783902012254E-2"/>
              <c:y val="5.080672207640709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a:sp3d/>
        </c:spPr>
        <c:dLbl>
          <c:idx val="0"/>
          <c:layout>
            <c:manualLayout>
              <c:x val="1.8794181977252741E-2"/>
              <c:y val="3.028652668416439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3"/>
          </a:solidFill>
          <a:ln>
            <a:noFill/>
          </a:ln>
          <a:effectLst>
            <a:outerShdw blurRad="254000" sx="102000" sy="102000" algn="ctr" rotWithShape="0">
              <a:prstClr val="black">
                <a:alpha val="20000"/>
              </a:prstClr>
            </a:outerShdw>
          </a:effectLst>
          <a:sp3d/>
        </c:spPr>
        <c:dLbl>
          <c:idx val="0"/>
          <c:layout>
            <c:manualLayout>
              <c:x val="-0.24542847769028872"/>
              <c:y val="-7.747849227179935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4"/>
          </a:solidFill>
          <a:ln>
            <a:noFill/>
          </a:ln>
          <a:effectLst>
            <a:outerShdw blurRad="254000" sx="102000" sy="102000" algn="ctr" rotWithShape="0">
              <a:prstClr val="black">
                <a:alpha val="20000"/>
              </a:prstClr>
            </a:outerShdw>
          </a:effectLst>
          <a:sp3d/>
        </c:spPr>
        <c:dLbl>
          <c:idx val="0"/>
          <c:layout>
            <c:manualLayout>
              <c:x val="-5.4630358705161919E-3"/>
              <c:y val="-7.008347914843977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dLbl>
          <c:idx val="0"/>
          <c:layout>
            <c:manualLayout>
              <c:x val="6.4478783902012254E-2"/>
              <c:y val="5.080672207640709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dLbl>
          <c:idx val="0"/>
          <c:layout>
            <c:manualLayout>
              <c:x val="1.8794181977252741E-2"/>
              <c:y val="3.028652668416439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a:sp3d/>
        </c:spPr>
        <c:dLbl>
          <c:idx val="0"/>
          <c:layout>
            <c:manualLayout>
              <c:x val="-0.24542847769028872"/>
              <c:y val="-7.747849227179935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a:sp3d/>
        </c:spPr>
        <c:dLbl>
          <c:idx val="0"/>
          <c:layout>
            <c:manualLayout>
              <c:x val="-5.4630358705161919E-3"/>
              <c:y val="-7.008347914843977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a:sp3d/>
        </c:spPr>
        <c:dLbl>
          <c:idx val="0"/>
          <c:layout>
            <c:manualLayout>
              <c:x val="0.12496709654168379"/>
              <c:y val="5.080656276679478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a:sp3d/>
        </c:spPr>
        <c:dLbl>
          <c:idx val="0"/>
          <c:layout>
            <c:manualLayout>
              <c:x val="1.8794181977252741E-2"/>
              <c:y val="3.028652668416439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a:sp3d/>
        </c:spPr>
        <c:dLbl>
          <c:idx val="0"/>
          <c:layout>
            <c:manualLayout>
              <c:x val="-0.24542847769028872"/>
              <c:y val="-7.747849227179935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a:sp3d/>
        </c:spPr>
        <c:dLbl>
          <c:idx val="0"/>
          <c:layout>
            <c:manualLayout>
              <c:x val="-1.7560682867816209E-2"/>
              <c:y val="6.8592292883940895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27664151356080491"/>
          <c:w val="0.93888888888888888"/>
          <c:h val="0.66317330125400986"/>
        </c:manualLayout>
      </c:layout>
      <c:pie3DChart>
        <c:varyColors val="1"/>
        <c:ser>
          <c:idx val="0"/>
          <c:order val="0"/>
          <c:tx>
            <c:strRef>
              <c:f>'Product Analysis'!$B$37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680A-41CE-A7AA-6499F34783C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680A-41CE-A7AA-6499F34783C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680A-41CE-A7AA-6499F34783C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680A-41CE-A7AA-6499F34783C4}"/>
              </c:ext>
            </c:extLst>
          </c:dPt>
          <c:dLbls>
            <c:dLbl>
              <c:idx val="0"/>
              <c:layout>
                <c:manualLayout>
                  <c:x val="0.12496709654168379"/>
                  <c:y val="5.0806562766794787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80A-41CE-A7AA-6499F34783C4}"/>
                </c:ext>
              </c:extLst>
            </c:dLbl>
            <c:dLbl>
              <c:idx val="1"/>
              <c:layout>
                <c:manualLayout>
                  <c:x val="1.8794181977252741E-2"/>
                  <c:y val="3.0286526684164393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80A-41CE-A7AA-6499F34783C4}"/>
                </c:ext>
              </c:extLst>
            </c:dLbl>
            <c:dLbl>
              <c:idx val="2"/>
              <c:layout>
                <c:manualLayout>
                  <c:x val="-0.24542847769028872"/>
                  <c:y val="-7.7478492271799357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80A-41CE-A7AA-6499F34783C4}"/>
                </c:ext>
              </c:extLst>
            </c:dLbl>
            <c:dLbl>
              <c:idx val="3"/>
              <c:layout>
                <c:manualLayout>
                  <c:x val="-1.7560682867816209E-2"/>
                  <c:y val="6.8592292883940895E-3"/>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80A-41CE-A7AA-6499F34783C4}"/>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15875">
                  <a:solidFill>
                    <a:schemeClr val="tx1">
                      <a:lumMod val="95000"/>
                      <a:lumOff val="5000"/>
                    </a:schemeClr>
                  </a:solidFill>
                </a:ln>
                <a:effectLst/>
              </c:spPr>
            </c:leaderLines>
            <c:extLst>
              <c:ext xmlns:c15="http://schemas.microsoft.com/office/drawing/2012/chart" uri="{CE6537A1-D6FC-4f65-9D91-7224C49458BB}"/>
            </c:extLst>
          </c:dLbls>
          <c:cat>
            <c:strRef>
              <c:f>'Product Analysis'!$A$38:$A$42</c:f>
              <c:strCache>
                <c:ptCount val="4"/>
                <c:pt idx="0">
                  <c:v>North</c:v>
                </c:pt>
                <c:pt idx="1">
                  <c:v>West</c:v>
                </c:pt>
                <c:pt idx="2">
                  <c:v>South</c:v>
                </c:pt>
                <c:pt idx="3">
                  <c:v>East</c:v>
                </c:pt>
              </c:strCache>
            </c:strRef>
          </c:cat>
          <c:val>
            <c:numRef>
              <c:f>'Product Analysis'!$B$38:$B$42</c:f>
              <c:numCache>
                <c:formatCode>\₹#,##0.00</c:formatCode>
                <c:ptCount val="4"/>
                <c:pt idx="0">
                  <c:v>-518432.75842005986</c:v>
                </c:pt>
                <c:pt idx="1">
                  <c:v>-835441.13016215619</c:v>
                </c:pt>
                <c:pt idx="2">
                  <c:v>-1078907.5023543828</c:v>
                </c:pt>
                <c:pt idx="3">
                  <c:v>-1171743.4804250626</c:v>
                </c:pt>
              </c:numCache>
            </c:numRef>
          </c:val>
          <c:extLst>
            <c:ext xmlns:c16="http://schemas.microsoft.com/office/drawing/2014/chart" uri="{C3380CC4-5D6E-409C-BE32-E72D297353CC}">
              <c16:uniqueId val="{00000008-680A-41CE-A7AA-6499F34783C4}"/>
            </c:ext>
          </c:extLst>
        </c:ser>
        <c:dLbls>
          <c:dLblPos val="ctr"/>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10.png"/><Relationship Id="rId3" Type="http://schemas.openxmlformats.org/officeDocument/2006/relationships/chart" Target="../charts/chart3.xml"/><Relationship Id="rId7" Type="http://schemas.openxmlformats.org/officeDocument/2006/relationships/image" Target="../media/image4.png"/><Relationship Id="rId12" Type="http://schemas.openxmlformats.org/officeDocument/2006/relationships/image" Target="../media/image9.svg"/><Relationship Id="rId2" Type="http://schemas.openxmlformats.org/officeDocument/2006/relationships/chart" Target="../charts/chart2.xml"/><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3.svg"/><Relationship Id="rId11" Type="http://schemas.openxmlformats.org/officeDocument/2006/relationships/image" Target="../media/image8.png"/><Relationship Id="rId5" Type="http://schemas.openxmlformats.org/officeDocument/2006/relationships/image" Target="../media/image2.png"/><Relationship Id="rId15" Type="http://schemas.openxmlformats.org/officeDocument/2006/relationships/chart" Target="../charts/chart5.xml"/><Relationship Id="rId10" Type="http://schemas.openxmlformats.org/officeDocument/2006/relationships/image" Target="../media/image7.svg"/><Relationship Id="rId4" Type="http://schemas.openxmlformats.org/officeDocument/2006/relationships/chart" Target="../charts/chart4.xml"/><Relationship Id="rId9" Type="http://schemas.openxmlformats.org/officeDocument/2006/relationships/image" Target="../media/image6.png"/><Relationship Id="rId14" Type="http://schemas.openxmlformats.org/officeDocument/2006/relationships/image" Target="../media/image11.svg"/></Relationships>
</file>

<file path=xl/drawings/drawing1.xml><?xml version="1.0" encoding="utf-8"?>
<xdr:wsDr xmlns:xdr="http://schemas.openxmlformats.org/drawingml/2006/spreadsheetDrawing" xmlns:a="http://schemas.openxmlformats.org/drawingml/2006/main">
  <xdr:twoCellAnchor editAs="oneCell">
    <xdr:from>
      <xdr:col>2</xdr:col>
      <xdr:colOff>1607820</xdr:colOff>
      <xdr:row>7</xdr:row>
      <xdr:rowOff>15241</xdr:rowOff>
    </xdr:from>
    <xdr:to>
      <xdr:col>3</xdr:col>
      <xdr:colOff>1470660</xdr:colOff>
      <xdr:row>14</xdr:row>
      <xdr:rowOff>106681</xdr:rowOff>
    </xdr:to>
    <mc:AlternateContent xmlns:mc="http://schemas.openxmlformats.org/markup-compatibility/2006" xmlns:a14="http://schemas.microsoft.com/office/drawing/2010/main">
      <mc:Choice Requires="a14">
        <xdr:graphicFrame macro="">
          <xdr:nvGraphicFramePr>
            <xdr:cNvPr id="2" name="Device Category">
              <a:extLst>
                <a:ext uri="{FF2B5EF4-FFF2-40B4-BE49-F238E27FC236}">
                  <a16:creationId xmlns:a16="http://schemas.microsoft.com/office/drawing/2014/main" id="{14D55C44-FCA1-8678-8EB2-580E6325957A}"/>
                </a:ext>
              </a:extLst>
            </xdr:cNvPr>
            <xdr:cNvGraphicFramePr/>
          </xdr:nvGraphicFramePr>
          <xdr:xfrm>
            <a:off x="0" y="0"/>
            <a:ext cx="0" cy="0"/>
          </xdr:xfrm>
          <a:graphic>
            <a:graphicData uri="http://schemas.microsoft.com/office/drawing/2010/slicer">
              <sle:slicer xmlns:sle="http://schemas.microsoft.com/office/drawing/2010/slicer" name="Device Category"/>
            </a:graphicData>
          </a:graphic>
        </xdr:graphicFrame>
      </mc:Choice>
      <mc:Fallback xmlns="">
        <xdr:sp macro="" textlink="">
          <xdr:nvSpPr>
            <xdr:cNvPr id="0" name=""/>
            <xdr:cNvSpPr>
              <a:spLocks noTextEdit="1"/>
            </xdr:cNvSpPr>
          </xdr:nvSpPr>
          <xdr:spPr>
            <a:xfrm>
              <a:off x="4892040" y="1478281"/>
              <a:ext cx="18288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769620</xdr:colOff>
      <xdr:row>5</xdr:row>
      <xdr:rowOff>99061</xdr:rowOff>
    </xdr:from>
    <xdr:to>
      <xdr:col>7</xdr:col>
      <xdr:colOff>289560</xdr:colOff>
      <xdr:row>11</xdr:row>
      <xdr:rowOff>106681</xdr:rowOff>
    </xdr:to>
    <mc:AlternateContent xmlns:mc="http://schemas.openxmlformats.org/markup-compatibility/2006" xmlns:a14="http://schemas.microsoft.com/office/drawing/2010/main">
      <mc:Choice Requires="a14">
        <xdr:graphicFrame macro="">
          <xdr:nvGraphicFramePr>
            <xdr:cNvPr id="3" name="Loan Status">
              <a:extLst>
                <a:ext uri="{FF2B5EF4-FFF2-40B4-BE49-F238E27FC236}">
                  <a16:creationId xmlns:a16="http://schemas.microsoft.com/office/drawing/2014/main" id="{B6BF156F-B2CA-FBF5-25A4-4A66DBCC72B8}"/>
                </a:ext>
              </a:extLst>
            </xdr:cNvPr>
            <xdr:cNvGraphicFramePr/>
          </xdr:nvGraphicFramePr>
          <xdr:xfrm>
            <a:off x="0" y="0"/>
            <a:ext cx="0" cy="0"/>
          </xdr:xfrm>
          <a:graphic>
            <a:graphicData uri="http://schemas.microsoft.com/office/drawing/2010/slicer">
              <sle:slicer xmlns:sle="http://schemas.microsoft.com/office/drawing/2010/slicer" name="Loan Status"/>
            </a:graphicData>
          </a:graphic>
        </xdr:graphicFrame>
      </mc:Choice>
      <mc:Fallback xmlns="">
        <xdr:sp macro="" textlink="">
          <xdr:nvSpPr>
            <xdr:cNvPr id="0" name=""/>
            <xdr:cNvSpPr>
              <a:spLocks noTextEdit="1"/>
            </xdr:cNvSpPr>
          </xdr:nvSpPr>
          <xdr:spPr>
            <a:xfrm>
              <a:off x="9136380" y="1196341"/>
              <a:ext cx="1828800"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22860</xdr:colOff>
      <xdr:row>9</xdr:row>
      <xdr:rowOff>106681</xdr:rowOff>
    </xdr:from>
    <xdr:to>
      <xdr:col>12</xdr:col>
      <xdr:colOff>22860</xdr:colOff>
      <xdr:row>17</xdr:row>
      <xdr:rowOff>106681</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1E639E56-12C6-7539-F9B1-C564573E089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917680" y="1935481"/>
              <a:ext cx="182880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15240</xdr:colOff>
      <xdr:row>18</xdr:row>
      <xdr:rowOff>38101</xdr:rowOff>
    </xdr:from>
    <xdr:to>
      <xdr:col>9</xdr:col>
      <xdr:colOff>15240</xdr:colOff>
      <xdr:row>25</xdr:row>
      <xdr:rowOff>129541</xdr:rowOff>
    </xdr:to>
    <mc:AlternateContent xmlns:mc="http://schemas.openxmlformats.org/markup-compatibility/2006" xmlns:a14="http://schemas.microsoft.com/office/drawing/2010/main">
      <mc:Choice Requires="a14">
        <xdr:graphicFrame macro="">
          <xdr:nvGraphicFramePr>
            <xdr:cNvPr id="5" name="Loan Size Segment">
              <a:extLst>
                <a:ext uri="{FF2B5EF4-FFF2-40B4-BE49-F238E27FC236}">
                  <a16:creationId xmlns:a16="http://schemas.microsoft.com/office/drawing/2014/main" id="{84B510AF-89C7-AB82-43E1-3D58C4D0D087}"/>
                </a:ext>
              </a:extLst>
            </xdr:cNvPr>
            <xdr:cNvGraphicFramePr/>
          </xdr:nvGraphicFramePr>
          <xdr:xfrm>
            <a:off x="0" y="0"/>
            <a:ext cx="0" cy="0"/>
          </xdr:xfrm>
          <a:graphic>
            <a:graphicData uri="http://schemas.microsoft.com/office/drawing/2010/slicer">
              <sle:slicer xmlns:sle="http://schemas.microsoft.com/office/drawing/2010/slicer" name="Loan Size Segment"/>
            </a:graphicData>
          </a:graphic>
        </xdr:graphicFrame>
      </mc:Choice>
      <mc:Fallback xmlns="">
        <xdr:sp macro="" textlink="">
          <xdr:nvSpPr>
            <xdr:cNvPr id="0" name=""/>
            <xdr:cNvSpPr>
              <a:spLocks noTextEdit="1"/>
            </xdr:cNvSpPr>
          </xdr:nvSpPr>
          <xdr:spPr>
            <a:xfrm>
              <a:off x="10081260" y="3512821"/>
              <a:ext cx="18288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15240</xdr:colOff>
      <xdr:row>1</xdr:row>
      <xdr:rowOff>228601</xdr:rowOff>
    </xdr:from>
    <xdr:to>
      <xdr:col>10</xdr:col>
      <xdr:colOff>15240</xdr:colOff>
      <xdr:row>7</xdr:row>
      <xdr:rowOff>160021</xdr:rowOff>
    </xdr:to>
    <mc:AlternateContent xmlns:mc="http://schemas.openxmlformats.org/markup-compatibility/2006" xmlns:a14="http://schemas.microsoft.com/office/drawing/2010/main">
      <mc:Choice Requires="a14">
        <xdr:graphicFrame macro="">
          <xdr:nvGraphicFramePr>
            <xdr:cNvPr id="6" name="Interest Rate Segment">
              <a:extLst>
                <a:ext uri="{FF2B5EF4-FFF2-40B4-BE49-F238E27FC236}">
                  <a16:creationId xmlns:a16="http://schemas.microsoft.com/office/drawing/2014/main" id="{83E4C616-081A-2E56-8D7C-B07C1677E060}"/>
                </a:ext>
              </a:extLst>
            </xdr:cNvPr>
            <xdr:cNvGraphicFramePr/>
          </xdr:nvGraphicFramePr>
          <xdr:xfrm>
            <a:off x="0" y="0"/>
            <a:ext cx="0" cy="0"/>
          </xdr:xfrm>
          <a:graphic>
            <a:graphicData uri="http://schemas.microsoft.com/office/drawing/2010/slicer">
              <sle:slicer xmlns:sle="http://schemas.microsoft.com/office/drawing/2010/slicer" name="Interest Rate Segment"/>
            </a:graphicData>
          </a:graphic>
        </xdr:graphicFrame>
      </mc:Choice>
      <mc:Fallback xmlns="">
        <xdr:sp macro="" textlink="">
          <xdr:nvSpPr>
            <xdr:cNvPr id="0" name=""/>
            <xdr:cNvSpPr>
              <a:spLocks noTextEdit="1"/>
            </xdr:cNvSpPr>
          </xdr:nvSpPr>
          <xdr:spPr>
            <a:xfrm>
              <a:off x="10690860" y="411481"/>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1554480</xdr:colOff>
      <xdr:row>4</xdr:row>
      <xdr:rowOff>114301</xdr:rowOff>
    </xdr:from>
    <xdr:to>
      <xdr:col>5</xdr:col>
      <xdr:colOff>266700</xdr:colOff>
      <xdr:row>10</xdr:row>
      <xdr:rowOff>167641</xdr:rowOff>
    </xdr:to>
    <mc:AlternateContent xmlns:mc="http://schemas.openxmlformats.org/markup-compatibility/2006" xmlns:a14="http://schemas.microsoft.com/office/drawing/2010/main">
      <mc:Choice Requires="a14">
        <xdr:graphicFrame macro="">
          <xdr:nvGraphicFramePr>
            <xdr:cNvPr id="7" name="Tenure Segment">
              <a:extLst>
                <a:ext uri="{FF2B5EF4-FFF2-40B4-BE49-F238E27FC236}">
                  <a16:creationId xmlns:a16="http://schemas.microsoft.com/office/drawing/2014/main" id="{BFA16F8C-B95A-D38C-BF05-9391F971C198}"/>
                </a:ext>
              </a:extLst>
            </xdr:cNvPr>
            <xdr:cNvGraphicFramePr/>
          </xdr:nvGraphicFramePr>
          <xdr:xfrm>
            <a:off x="0" y="0"/>
            <a:ext cx="0" cy="0"/>
          </xdr:xfrm>
          <a:graphic>
            <a:graphicData uri="http://schemas.microsoft.com/office/drawing/2010/slicer">
              <sle:slicer xmlns:sle="http://schemas.microsoft.com/office/drawing/2010/slicer" name="Tenure Segment"/>
            </a:graphicData>
          </a:graphic>
        </xdr:graphicFrame>
      </mc:Choice>
      <mc:Fallback xmlns="">
        <xdr:sp macro="" textlink="">
          <xdr:nvSpPr>
            <xdr:cNvPr id="0" name=""/>
            <xdr:cNvSpPr>
              <a:spLocks noTextEdit="1"/>
            </xdr:cNvSpPr>
          </xdr:nvSpPr>
          <xdr:spPr>
            <a:xfrm>
              <a:off x="6804660" y="1028701"/>
              <a:ext cx="182880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843642</xdr:colOff>
      <xdr:row>21</xdr:row>
      <xdr:rowOff>107042</xdr:rowOff>
    </xdr:from>
    <xdr:to>
      <xdr:col>9</xdr:col>
      <xdr:colOff>2095500</xdr:colOff>
      <xdr:row>36</xdr:row>
      <xdr:rowOff>128813</xdr:rowOff>
    </xdr:to>
    <xdr:graphicFrame macro="">
      <xdr:nvGraphicFramePr>
        <xdr:cNvPr id="3" name="Chart 2">
          <a:extLst>
            <a:ext uri="{FF2B5EF4-FFF2-40B4-BE49-F238E27FC236}">
              <a16:creationId xmlns:a16="http://schemas.microsoft.com/office/drawing/2014/main" id="{86851068-E1EA-5F5A-301A-DC8446DBD3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445200</xdr:colOff>
      <xdr:row>33</xdr:row>
      <xdr:rowOff>138960</xdr:rowOff>
    </xdr:to>
    <xdr:sp macro="" textlink="">
      <xdr:nvSpPr>
        <xdr:cNvPr id="2" name="Rectangle: Rounded Corners 1">
          <a:extLst>
            <a:ext uri="{FF2B5EF4-FFF2-40B4-BE49-F238E27FC236}">
              <a16:creationId xmlns:a16="http://schemas.microsoft.com/office/drawing/2014/main" id="{6C6D6816-6EDB-C83D-3F8E-03AAC09B55CB}"/>
            </a:ext>
          </a:extLst>
        </xdr:cNvPr>
        <xdr:cNvSpPr/>
      </xdr:nvSpPr>
      <xdr:spPr>
        <a:xfrm>
          <a:off x="0" y="0"/>
          <a:ext cx="11978522" cy="6105807"/>
        </a:xfrm>
        <a:prstGeom prst="roundRect">
          <a:avLst>
            <a:gd name="adj" fmla="val 2296"/>
          </a:avLst>
        </a:prstGeom>
        <a:gradFill>
          <a:gsLst>
            <a:gs pos="15000">
              <a:schemeClr val="accent1">
                <a:lumMod val="60000"/>
                <a:lumOff val="40000"/>
              </a:schemeClr>
            </a:gs>
            <a:gs pos="0">
              <a:schemeClr val="accent1">
                <a:lumMod val="40000"/>
                <a:lumOff val="60000"/>
              </a:schemeClr>
            </a:gs>
            <a:gs pos="100000">
              <a:schemeClr val="accent1">
                <a:lumMod val="40000"/>
                <a:lumOff val="60000"/>
              </a:schemeClr>
            </a:gs>
            <a:gs pos="61553">
              <a:srgbClr val="BACEE5"/>
            </a:gs>
            <a:gs pos="38000">
              <a:schemeClr val="accent1">
                <a:lumMod val="20000"/>
                <a:lumOff val="80000"/>
              </a:schemeClr>
            </a:gs>
            <a:gs pos="80000">
              <a:schemeClr val="accent1">
                <a:lumMod val="20000"/>
                <a:lumOff val="8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t>
          </a:r>
        </a:p>
      </xdr:txBody>
    </xdr:sp>
    <xdr:clientData/>
  </xdr:twoCellAnchor>
  <xdr:twoCellAnchor>
    <xdr:from>
      <xdr:col>1</xdr:col>
      <xdr:colOff>520485</xdr:colOff>
      <xdr:row>0</xdr:row>
      <xdr:rowOff>94283</xdr:rowOff>
    </xdr:from>
    <xdr:to>
      <xdr:col>19</xdr:col>
      <xdr:colOff>245390</xdr:colOff>
      <xdr:row>3</xdr:row>
      <xdr:rowOff>55536</xdr:rowOff>
    </xdr:to>
    <xdr:sp macro="" textlink="">
      <xdr:nvSpPr>
        <xdr:cNvPr id="4" name="Rectangle: Rounded Corners 3">
          <a:extLst>
            <a:ext uri="{FF2B5EF4-FFF2-40B4-BE49-F238E27FC236}">
              <a16:creationId xmlns:a16="http://schemas.microsoft.com/office/drawing/2014/main" id="{76577FE3-4582-4035-B784-257267883284}"/>
            </a:ext>
          </a:extLst>
        </xdr:cNvPr>
        <xdr:cNvSpPr/>
      </xdr:nvSpPr>
      <xdr:spPr>
        <a:xfrm>
          <a:off x="1127502" y="94283"/>
          <a:ext cx="10651210" cy="503694"/>
        </a:xfrm>
        <a:prstGeom prst="roundRect">
          <a:avLst/>
        </a:prstGeom>
        <a:gradFill>
          <a:gsLst>
            <a:gs pos="0">
              <a:schemeClr val="accent1">
                <a:lumMod val="20000"/>
                <a:lumOff val="80000"/>
              </a:schemeClr>
            </a:gs>
            <a:gs pos="0">
              <a:schemeClr val="accent1">
                <a:lumMod val="20000"/>
                <a:lumOff val="80000"/>
              </a:schemeClr>
            </a:gs>
            <a:gs pos="94000">
              <a:schemeClr val="accent1">
                <a:lumMod val="40000"/>
                <a:lumOff val="60000"/>
              </a:schemeClr>
            </a:gs>
            <a:gs pos="41000">
              <a:schemeClr val="accent1">
                <a:lumMod val="20000"/>
                <a:lumOff val="80000"/>
              </a:schemeClr>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68453</xdr:colOff>
      <xdr:row>3</xdr:row>
      <xdr:rowOff>126570</xdr:rowOff>
    </xdr:from>
    <xdr:to>
      <xdr:col>3</xdr:col>
      <xdr:colOff>51662</xdr:colOff>
      <xdr:row>33</xdr:row>
      <xdr:rowOff>75362</xdr:rowOff>
    </xdr:to>
    <xdr:sp macro="" textlink="">
      <xdr:nvSpPr>
        <xdr:cNvPr id="29" name="Rectangle: Rounded Corners 28">
          <a:extLst>
            <a:ext uri="{FF2B5EF4-FFF2-40B4-BE49-F238E27FC236}">
              <a16:creationId xmlns:a16="http://schemas.microsoft.com/office/drawing/2014/main" id="{E64FFAD0-3599-781A-B731-0EA97125E2EC}"/>
            </a:ext>
          </a:extLst>
        </xdr:cNvPr>
        <xdr:cNvSpPr/>
      </xdr:nvSpPr>
      <xdr:spPr>
        <a:xfrm>
          <a:off x="68453" y="679229"/>
          <a:ext cx="1817033" cy="5475386"/>
        </a:xfrm>
        <a:prstGeom prst="roundRect">
          <a:avLst>
            <a:gd name="adj" fmla="val 6239"/>
          </a:avLst>
        </a:prstGeom>
        <a:gradFill>
          <a:gsLst>
            <a:gs pos="0">
              <a:schemeClr val="accent1">
                <a:lumMod val="5000"/>
                <a:lumOff val="95000"/>
              </a:schemeClr>
            </a:gs>
            <a:gs pos="100000">
              <a:schemeClr val="accent1">
                <a:lumMod val="40000"/>
                <a:lumOff val="60000"/>
              </a:schemeClr>
            </a:gs>
            <a:gs pos="29000">
              <a:schemeClr val="accent1">
                <a:lumMod val="20000"/>
                <a:lumOff val="80000"/>
              </a:schemeClr>
            </a:gs>
            <a:gs pos="80000">
              <a:schemeClr val="accent1">
                <a:lumMod val="20000"/>
                <a:lumOff val="80000"/>
              </a:schemeClr>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535983</xdr:colOff>
      <xdr:row>8</xdr:row>
      <xdr:rowOff>6457</xdr:rowOff>
    </xdr:from>
    <xdr:to>
      <xdr:col>14</xdr:col>
      <xdr:colOff>6458</xdr:colOff>
      <xdr:row>19</xdr:row>
      <xdr:rowOff>45203</xdr:rowOff>
    </xdr:to>
    <xdr:sp macro="" textlink="">
      <xdr:nvSpPr>
        <xdr:cNvPr id="36" name="Rectangle: Rounded Corners 35">
          <a:extLst>
            <a:ext uri="{FF2B5EF4-FFF2-40B4-BE49-F238E27FC236}">
              <a16:creationId xmlns:a16="http://schemas.microsoft.com/office/drawing/2014/main" id="{577AFB1D-82EF-4E4D-8EF3-4791FE7822DD}"/>
            </a:ext>
          </a:extLst>
        </xdr:cNvPr>
        <xdr:cNvSpPr/>
      </xdr:nvSpPr>
      <xdr:spPr>
        <a:xfrm>
          <a:off x="5392119" y="1452965"/>
          <a:ext cx="3112576" cy="2027696"/>
        </a:xfrm>
        <a:prstGeom prst="roundRect">
          <a:avLst>
            <a:gd name="adj" fmla="val 11821"/>
          </a:avLst>
        </a:prstGeom>
        <a:gradFill>
          <a:gsLst>
            <a:gs pos="0">
              <a:schemeClr val="accent1">
                <a:lumMod val="20000"/>
                <a:lumOff val="80000"/>
              </a:schemeClr>
            </a:gs>
            <a:gs pos="100000">
              <a:schemeClr val="accent1">
                <a:lumMod val="20000"/>
                <a:lumOff val="80000"/>
              </a:schemeClr>
            </a:gs>
            <a:gs pos="100000">
              <a:schemeClr val="tx2">
                <a:lumMod val="20000"/>
                <a:lumOff val="80000"/>
              </a:schemeClr>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clientData/>
  </xdr:twoCellAnchor>
  <xdr:twoCellAnchor>
    <xdr:from>
      <xdr:col>3</xdr:col>
      <xdr:colOff>218265</xdr:colOff>
      <xdr:row>20</xdr:row>
      <xdr:rowOff>24540</xdr:rowOff>
    </xdr:from>
    <xdr:to>
      <xdr:col>11</xdr:col>
      <xdr:colOff>452033</xdr:colOff>
      <xdr:row>33</xdr:row>
      <xdr:rowOff>38746</xdr:rowOff>
    </xdr:to>
    <xdr:sp macro="" textlink="">
      <xdr:nvSpPr>
        <xdr:cNvPr id="37" name="Rectangle: Rounded Corners 36">
          <a:extLst>
            <a:ext uri="{FF2B5EF4-FFF2-40B4-BE49-F238E27FC236}">
              <a16:creationId xmlns:a16="http://schemas.microsoft.com/office/drawing/2014/main" id="{8BD46D7A-F8B9-4715-A075-D0EEDEB5CB00}"/>
            </a:ext>
          </a:extLst>
        </xdr:cNvPr>
        <xdr:cNvSpPr/>
      </xdr:nvSpPr>
      <xdr:spPr>
        <a:xfrm>
          <a:off x="2039316" y="3640811"/>
          <a:ext cx="5089903" cy="2364782"/>
        </a:xfrm>
        <a:prstGeom prst="roundRect">
          <a:avLst/>
        </a:prstGeom>
        <a:gradFill>
          <a:gsLst>
            <a:gs pos="0">
              <a:schemeClr val="accent1">
                <a:lumMod val="20000"/>
                <a:lumOff val="80000"/>
              </a:schemeClr>
            </a:gs>
            <a:gs pos="100000">
              <a:schemeClr val="accent1">
                <a:lumMod val="20000"/>
                <a:lumOff val="80000"/>
              </a:schemeClr>
            </a:gs>
            <a:gs pos="100000">
              <a:schemeClr val="tx2">
                <a:lumMod val="20000"/>
                <a:lumOff val="80000"/>
              </a:schemeClr>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clientData/>
  </xdr:twoCellAnchor>
  <xdr:twoCellAnchor>
    <xdr:from>
      <xdr:col>11</xdr:col>
      <xdr:colOff>568272</xdr:colOff>
      <xdr:row>20</xdr:row>
      <xdr:rowOff>1</xdr:rowOff>
    </xdr:from>
    <xdr:to>
      <xdr:col>19</xdr:col>
      <xdr:colOff>277677</xdr:colOff>
      <xdr:row>33</xdr:row>
      <xdr:rowOff>58119</xdr:rowOff>
    </xdr:to>
    <xdr:sp macro="" textlink="">
      <xdr:nvSpPr>
        <xdr:cNvPr id="39" name="Rectangle: Rounded Corners 38">
          <a:extLst>
            <a:ext uri="{FF2B5EF4-FFF2-40B4-BE49-F238E27FC236}">
              <a16:creationId xmlns:a16="http://schemas.microsoft.com/office/drawing/2014/main" id="{709B0642-78FF-41FD-9346-F9A897E8F124}"/>
            </a:ext>
          </a:extLst>
        </xdr:cNvPr>
        <xdr:cNvSpPr/>
      </xdr:nvSpPr>
      <xdr:spPr>
        <a:xfrm>
          <a:off x="7245458" y="3616272"/>
          <a:ext cx="4565541" cy="2408694"/>
        </a:xfrm>
        <a:prstGeom prst="roundRect">
          <a:avLst/>
        </a:prstGeom>
        <a:gradFill>
          <a:gsLst>
            <a:gs pos="0">
              <a:schemeClr val="accent1">
                <a:lumMod val="20000"/>
                <a:lumOff val="80000"/>
              </a:schemeClr>
            </a:gs>
            <a:gs pos="100000">
              <a:schemeClr val="accent1">
                <a:lumMod val="20000"/>
                <a:lumOff val="80000"/>
              </a:schemeClr>
            </a:gs>
            <a:gs pos="100000">
              <a:schemeClr val="tx2">
                <a:lumMod val="20000"/>
                <a:lumOff val="80000"/>
              </a:schemeClr>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clientData/>
  </xdr:twoCellAnchor>
  <xdr:twoCellAnchor>
    <xdr:from>
      <xdr:col>3</xdr:col>
      <xdr:colOff>207936</xdr:colOff>
      <xdr:row>8</xdr:row>
      <xdr:rowOff>1294</xdr:rowOff>
    </xdr:from>
    <xdr:to>
      <xdr:col>8</xdr:col>
      <xdr:colOff>322881</xdr:colOff>
      <xdr:row>19</xdr:row>
      <xdr:rowOff>38747</xdr:rowOff>
    </xdr:to>
    <xdr:sp macro="" textlink="">
      <xdr:nvSpPr>
        <xdr:cNvPr id="26" name="Rectangle: Rounded Corners 25">
          <a:extLst>
            <a:ext uri="{FF2B5EF4-FFF2-40B4-BE49-F238E27FC236}">
              <a16:creationId xmlns:a16="http://schemas.microsoft.com/office/drawing/2014/main" id="{66820351-3CDE-43D5-B570-82620F4C3977}"/>
            </a:ext>
          </a:extLst>
        </xdr:cNvPr>
        <xdr:cNvSpPr/>
      </xdr:nvSpPr>
      <xdr:spPr>
        <a:xfrm>
          <a:off x="2028987" y="1447802"/>
          <a:ext cx="3150030" cy="2026403"/>
        </a:xfrm>
        <a:prstGeom prst="roundRect">
          <a:avLst/>
        </a:prstGeom>
        <a:gradFill>
          <a:gsLst>
            <a:gs pos="0">
              <a:schemeClr val="accent1">
                <a:lumMod val="20000"/>
                <a:lumOff val="80000"/>
              </a:schemeClr>
            </a:gs>
            <a:gs pos="100000">
              <a:schemeClr val="accent1">
                <a:lumMod val="20000"/>
                <a:lumOff val="80000"/>
              </a:schemeClr>
            </a:gs>
            <a:gs pos="100000">
              <a:schemeClr val="tx2">
                <a:lumMod val="20000"/>
                <a:lumOff val="80000"/>
              </a:schemeClr>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clientData/>
  </xdr:twoCellAnchor>
  <xdr:twoCellAnchor>
    <xdr:from>
      <xdr:col>3</xdr:col>
      <xdr:colOff>258305</xdr:colOff>
      <xdr:row>3</xdr:row>
      <xdr:rowOff>178232</xdr:rowOff>
    </xdr:from>
    <xdr:to>
      <xdr:col>5</xdr:col>
      <xdr:colOff>387457</xdr:colOff>
      <xdr:row>6</xdr:row>
      <xdr:rowOff>139486</xdr:rowOff>
    </xdr:to>
    <xdr:grpSp>
      <xdr:nvGrpSpPr>
        <xdr:cNvPr id="53" name="Group 52">
          <a:extLst>
            <a:ext uri="{FF2B5EF4-FFF2-40B4-BE49-F238E27FC236}">
              <a16:creationId xmlns:a16="http://schemas.microsoft.com/office/drawing/2014/main" id="{47F712FB-745B-3067-936E-AB5A06085550}"/>
            </a:ext>
          </a:extLst>
        </xdr:cNvPr>
        <xdr:cNvGrpSpPr/>
      </xdr:nvGrpSpPr>
      <xdr:grpSpPr>
        <a:xfrm>
          <a:off x="2097044" y="724884"/>
          <a:ext cx="1354978" cy="507906"/>
          <a:chOff x="2066441" y="727131"/>
          <a:chExt cx="1233406" cy="503694"/>
        </a:xfrm>
      </xdr:grpSpPr>
      <xdr:sp macro="" textlink="">
        <xdr:nvSpPr>
          <xdr:cNvPr id="28" name="Rectangle: Rounded Corners 27">
            <a:extLst>
              <a:ext uri="{FF2B5EF4-FFF2-40B4-BE49-F238E27FC236}">
                <a16:creationId xmlns:a16="http://schemas.microsoft.com/office/drawing/2014/main" id="{CC609A07-B25C-7DB5-F95D-F80BF076AC99}"/>
              </a:ext>
            </a:extLst>
          </xdr:cNvPr>
          <xdr:cNvSpPr/>
        </xdr:nvSpPr>
        <xdr:spPr>
          <a:xfrm>
            <a:off x="2066441" y="727131"/>
            <a:ext cx="1175288" cy="503694"/>
          </a:xfrm>
          <a:prstGeom prst="roundRect">
            <a:avLst/>
          </a:prstGeom>
          <a:gradFill>
            <a:gsLst>
              <a:gs pos="76000">
                <a:schemeClr val="accent1">
                  <a:lumMod val="20000"/>
                  <a:lumOff val="80000"/>
                </a:schemeClr>
              </a:gs>
              <a:gs pos="0">
                <a:schemeClr val="accent1">
                  <a:lumMod val="40000"/>
                  <a:lumOff val="60000"/>
                </a:schemeClr>
              </a:gs>
              <a:gs pos="100000">
                <a:schemeClr val="accent1">
                  <a:lumMod val="40000"/>
                  <a:lumOff val="60000"/>
                </a:schemeClr>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sp macro="" textlink="">
        <xdr:nvSpPr>
          <xdr:cNvPr id="6" name="TextBox 5">
            <a:extLst>
              <a:ext uri="{FF2B5EF4-FFF2-40B4-BE49-F238E27FC236}">
                <a16:creationId xmlns:a16="http://schemas.microsoft.com/office/drawing/2014/main" id="{0B5A68C3-9C24-C6B4-BD9C-A7A467011E2A}"/>
              </a:ext>
            </a:extLst>
          </xdr:cNvPr>
          <xdr:cNvSpPr txBox="1"/>
        </xdr:nvSpPr>
        <xdr:spPr>
          <a:xfrm>
            <a:off x="2324745" y="755542"/>
            <a:ext cx="975102" cy="23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1">
                <a:solidFill>
                  <a:schemeClr val="tx1"/>
                </a:solidFill>
              </a:rPr>
              <a:t>Total</a:t>
            </a:r>
            <a:r>
              <a:rPr lang="en-IN" sz="1200" b="1" baseline="0">
                <a:solidFill>
                  <a:schemeClr val="tx1"/>
                </a:solidFill>
              </a:rPr>
              <a:t> Loans</a:t>
            </a:r>
            <a:endParaRPr lang="en-IN" sz="1200" b="1">
              <a:solidFill>
                <a:schemeClr val="tx1"/>
              </a:solidFill>
            </a:endParaRPr>
          </a:p>
        </xdr:txBody>
      </xdr:sp>
      <xdr:sp macro="" textlink="'Business helath'!A17">
        <xdr:nvSpPr>
          <xdr:cNvPr id="23" name="TextBox 22">
            <a:extLst>
              <a:ext uri="{FF2B5EF4-FFF2-40B4-BE49-F238E27FC236}">
                <a16:creationId xmlns:a16="http://schemas.microsoft.com/office/drawing/2014/main" id="{61CE8590-7923-4F47-7B4C-0F7EF7389574}"/>
              </a:ext>
            </a:extLst>
          </xdr:cNvPr>
          <xdr:cNvSpPr txBox="1"/>
        </xdr:nvSpPr>
        <xdr:spPr>
          <a:xfrm>
            <a:off x="2531389" y="1007391"/>
            <a:ext cx="581187" cy="1872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E944C91-6B0C-4B0D-BC13-B00885E61E91}" type="TxLink">
              <a:rPr lang="en-US" sz="1800" b="1" i="0" u="none" strike="noStrike">
                <a:solidFill>
                  <a:srgbClr val="000000"/>
                </a:solidFill>
                <a:latin typeface="Calibri"/>
                <a:ea typeface="Calibri"/>
                <a:cs typeface="Calibri"/>
              </a:rPr>
              <a:pPr/>
              <a:t>500</a:t>
            </a:fld>
            <a:endParaRPr lang="en-IN" sz="1800" b="1"/>
          </a:p>
        </xdr:txBody>
      </xdr:sp>
    </xdr:grpSp>
    <xdr:clientData/>
  </xdr:twoCellAnchor>
  <xdr:twoCellAnchor>
    <xdr:from>
      <xdr:col>0</xdr:col>
      <xdr:colOff>135610</xdr:colOff>
      <xdr:row>0</xdr:row>
      <xdr:rowOff>83949</xdr:rowOff>
    </xdr:from>
    <xdr:to>
      <xdr:col>1</xdr:col>
      <xdr:colOff>452034</xdr:colOff>
      <xdr:row>3</xdr:row>
      <xdr:rowOff>38745</xdr:rowOff>
    </xdr:to>
    <xdr:sp macro="" textlink="">
      <xdr:nvSpPr>
        <xdr:cNvPr id="46" name="Rectangle 45">
          <a:extLst>
            <a:ext uri="{FF2B5EF4-FFF2-40B4-BE49-F238E27FC236}">
              <a16:creationId xmlns:a16="http://schemas.microsoft.com/office/drawing/2014/main" id="{36B2CD0B-E593-BD16-E827-F4ADF4B2FC8D}"/>
            </a:ext>
          </a:extLst>
        </xdr:cNvPr>
        <xdr:cNvSpPr/>
      </xdr:nvSpPr>
      <xdr:spPr>
        <a:xfrm>
          <a:off x="135610" y="83949"/>
          <a:ext cx="923441" cy="49723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77493</xdr:colOff>
      <xdr:row>0</xdr:row>
      <xdr:rowOff>58118</xdr:rowOff>
    </xdr:from>
    <xdr:to>
      <xdr:col>1</xdr:col>
      <xdr:colOff>521918</xdr:colOff>
      <xdr:row>3</xdr:row>
      <xdr:rowOff>58118</xdr:rowOff>
    </xdr:to>
    <xdr:pic>
      <xdr:nvPicPr>
        <xdr:cNvPr id="22" name="Picture 21">
          <a:extLst>
            <a:ext uri="{FF2B5EF4-FFF2-40B4-BE49-F238E27FC236}">
              <a16:creationId xmlns:a16="http://schemas.microsoft.com/office/drawing/2014/main" id="{91A7921D-B27B-F7B2-3BA7-9A9FC064337A}"/>
            </a:ext>
          </a:extLst>
        </xdr:cNvPr>
        <xdr:cNvPicPr>
          <a:picLocks noChangeAspect="1"/>
        </xdr:cNvPicPr>
      </xdr:nvPicPr>
      <xdr:blipFill>
        <a:blip xmlns:r="http://schemas.openxmlformats.org/officeDocument/2006/relationships" r:embed="rId1"/>
        <a:stretch>
          <a:fillRect/>
        </a:stretch>
      </xdr:blipFill>
      <xdr:spPr>
        <a:xfrm>
          <a:off x="77493" y="58118"/>
          <a:ext cx="1051442" cy="542441"/>
        </a:xfrm>
        <a:prstGeom prst="rect">
          <a:avLst/>
        </a:prstGeom>
        <a:ln>
          <a:noFill/>
        </a:ln>
        <a:effectLst>
          <a:softEdge rad="112500"/>
        </a:effectLst>
      </xdr:spPr>
    </xdr:pic>
    <xdr:clientData/>
  </xdr:twoCellAnchor>
  <xdr:twoCellAnchor>
    <xdr:from>
      <xdr:col>14</xdr:col>
      <xdr:colOff>226018</xdr:colOff>
      <xdr:row>8</xdr:row>
      <xdr:rowOff>25831</xdr:rowOff>
    </xdr:from>
    <xdr:to>
      <xdr:col>19</xdr:col>
      <xdr:colOff>303509</xdr:colOff>
      <xdr:row>19</xdr:row>
      <xdr:rowOff>19373</xdr:rowOff>
    </xdr:to>
    <xdr:sp macro="" textlink="">
      <xdr:nvSpPr>
        <xdr:cNvPr id="47" name="Rectangle: Rounded Corners 46">
          <a:extLst>
            <a:ext uri="{FF2B5EF4-FFF2-40B4-BE49-F238E27FC236}">
              <a16:creationId xmlns:a16="http://schemas.microsoft.com/office/drawing/2014/main" id="{DB85B46F-D0C3-41EB-99CB-4DF3E7E49B3D}"/>
            </a:ext>
          </a:extLst>
        </xdr:cNvPr>
        <xdr:cNvSpPr/>
      </xdr:nvSpPr>
      <xdr:spPr>
        <a:xfrm>
          <a:off x="8724255" y="1472339"/>
          <a:ext cx="3112576" cy="1982492"/>
        </a:xfrm>
        <a:prstGeom prst="roundRect">
          <a:avLst>
            <a:gd name="adj" fmla="val 11821"/>
          </a:avLst>
        </a:prstGeom>
        <a:gradFill>
          <a:gsLst>
            <a:gs pos="0">
              <a:schemeClr val="accent1">
                <a:lumMod val="20000"/>
                <a:lumOff val="80000"/>
              </a:schemeClr>
            </a:gs>
            <a:gs pos="100000">
              <a:schemeClr val="accent1">
                <a:lumMod val="20000"/>
                <a:lumOff val="80000"/>
              </a:schemeClr>
            </a:gs>
            <a:gs pos="100000">
              <a:schemeClr val="tx2">
                <a:lumMod val="40000"/>
                <a:lumOff val="60000"/>
              </a:schemeClr>
            </a:gs>
            <a:gs pos="100000">
              <a:schemeClr val="accent2">
                <a:lumMod val="60000"/>
                <a:lumOff val="40000"/>
              </a:schemeClr>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clientData/>
  </xdr:twoCellAnchor>
  <xdr:twoCellAnchor>
    <xdr:from>
      <xdr:col>3</xdr:col>
      <xdr:colOff>361627</xdr:colOff>
      <xdr:row>8</xdr:row>
      <xdr:rowOff>33131</xdr:rowOff>
    </xdr:from>
    <xdr:to>
      <xdr:col>8</xdr:col>
      <xdr:colOff>348711</xdr:colOff>
      <xdr:row>18</xdr:row>
      <xdr:rowOff>174356</xdr:rowOff>
    </xdr:to>
    <xdr:graphicFrame macro="">
      <xdr:nvGraphicFramePr>
        <xdr:cNvPr id="49" name="Chart 48">
          <a:extLst>
            <a:ext uri="{FF2B5EF4-FFF2-40B4-BE49-F238E27FC236}">
              <a16:creationId xmlns:a16="http://schemas.microsoft.com/office/drawing/2014/main" id="{D4A2CE47-E6ED-466C-8D36-4140396AF6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587644</xdr:colOff>
      <xdr:row>8</xdr:row>
      <xdr:rowOff>49697</xdr:rowOff>
    </xdr:from>
    <xdr:to>
      <xdr:col>14</xdr:col>
      <xdr:colOff>129153</xdr:colOff>
      <xdr:row>18</xdr:row>
      <xdr:rowOff>96865</xdr:rowOff>
    </xdr:to>
    <xdr:graphicFrame macro="">
      <xdr:nvGraphicFramePr>
        <xdr:cNvPr id="50" name="Chart 49">
          <a:extLst>
            <a:ext uri="{FF2B5EF4-FFF2-40B4-BE49-F238E27FC236}">
              <a16:creationId xmlns:a16="http://schemas.microsoft.com/office/drawing/2014/main" id="{02BC2A58-CF1B-4E66-97DD-90DC02B8E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142068</xdr:colOff>
      <xdr:row>20</xdr:row>
      <xdr:rowOff>64575</xdr:rowOff>
    </xdr:from>
    <xdr:to>
      <xdr:col>19</xdr:col>
      <xdr:colOff>174356</xdr:colOff>
      <xdr:row>33</xdr:row>
      <xdr:rowOff>32288</xdr:rowOff>
    </xdr:to>
    <xdr:graphicFrame macro="">
      <xdr:nvGraphicFramePr>
        <xdr:cNvPr id="51" name="Chart 50">
          <a:extLst>
            <a:ext uri="{FF2B5EF4-FFF2-40B4-BE49-F238E27FC236}">
              <a16:creationId xmlns:a16="http://schemas.microsoft.com/office/drawing/2014/main" id="{09686882-5C49-4060-A9E9-2A8FD6DAD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135442</xdr:colOff>
      <xdr:row>4</xdr:row>
      <xdr:rowOff>33496</xdr:rowOff>
    </xdr:from>
    <xdr:to>
      <xdr:col>2</xdr:col>
      <xdr:colOff>586155</xdr:colOff>
      <xdr:row>9</xdr:row>
      <xdr:rowOff>83737</xdr:rowOff>
    </xdr:to>
    <mc:AlternateContent xmlns:mc="http://schemas.openxmlformats.org/markup-compatibility/2006" xmlns:a14="http://schemas.microsoft.com/office/drawing/2010/main">
      <mc:Choice Requires="a14">
        <xdr:graphicFrame macro="">
          <xdr:nvGraphicFramePr>
            <xdr:cNvPr id="54" name="Device Category 1">
              <a:extLst>
                <a:ext uri="{FF2B5EF4-FFF2-40B4-BE49-F238E27FC236}">
                  <a16:creationId xmlns:a16="http://schemas.microsoft.com/office/drawing/2014/main" id="{2B281249-7587-4194-9334-5A106376DBC3}"/>
                </a:ext>
              </a:extLst>
            </xdr:cNvPr>
            <xdr:cNvGraphicFramePr/>
          </xdr:nvGraphicFramePr>
          <xdr:xfrm>
            <a:off x="0" y="0"/>
            <a:ext cx="0" cy="0"/>
          </xdr:xfrm>
          <a:graphic>
            <a:graphicData uri="http://schemas.microsoft.com/office/drawing/2010/slicer">
              <sle:slicer xmlns:sle="http://schemas.microsoft.com/office/drawing/2010/slicer" name="Device Category 1"/>
            </a:graphicData>
          </a:graphic>
        </xdr:graphicFrame>
      </mc:Choice>
      <mc:Fallback xmlns="">
        <xdr:sp macro="" textlink="">
          <xdr:nvSpPr>
            <xdr:cNvPr id="0" name=""/>
            <xdr:cNvSpPr>
              <a:spLocks noTextEdit="1"/>
            </xdr:cNvSpPr>
          </xdr:nvSpPr>
          <xdr:spPr>
            <a:xfrm>
              <a:off x="135442" y="762366"/>
              <a:ext cx="1676539" cy="9613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133978</xdr:colOff>
      <xdr:row>9</xdr:row>
      <xdr:rowOff>175846</xdr:rowOff>
    </xdr:from>
    <xdr:to>
      <xdr:col>2</xdr:col>
      <xdr:colOff>569408</xdr:colOff>
      <xdr:row>14</xdr:row>
      <xdr:rowOff>175847</xdr:rowOff>
    </xdr:to>
    <mc:AlternateContent xmlns:mc="http://schemas.openxmlformats.org/markup-compatibility/2006" xmlns:a14="http://schemas.microsoft.com/office/drawing/2010/main">
      <mc:Choice Requires="a14">
        <xdr:graphicFrame macro="">
          <xdr:nvGraphicFramePr>
            <xdr:cNvPr id="55" name="Tenure Segment 1">
              <a:extLst>
                <a:ext uri="{FF2B5EF4-FFF2-40B4-BE49-F238E27FC236}">
                  <a16:creationId xmlns:a16="http://schemas.microsoft.com/office/drawing/2014/main" id="{436CEAB0-95D1-45AF-BF0D-230A0158FEA8}"/>
                </a:ext>
              </a:extLst>
            </xdr:cNvPr>
            <xdr:cNvGraphicFramePr/>
          </xdr:nvGraphicFramePr>
          <xdr:xfrm>
            <a:off x="0" y="0"/>
            <a:ext cx="0" cy="0"/>
          </xdr:xfrm>
          <a:graphic>
            <a:graphicData uri="http://schemas.microsoft.com/office/drawing/2010/slicer">
              <sle:slicer xmlns:sle="http://schemas.microsoft.com/office/drawing/2010/slicer" name="Tenure Segment 1"/>
            </a:graphicData>
          </a:graphic>
        </xdr:graphicFrame>
      </mc:Choice>
      <mc:Fallback xmlns="">
        <xdr:sp macro="" textlink="">
          <xdr:nvSpPr>
            <xdr:cNvPr id="0" name=""/>
            <xdr:cNvSpPr>
              <a:spLocks noTextEdit="1"/>
            </xdr:cNvSpPr>
          </xdr:nvSpPr>
          <xdr:spPr>
            <a:xfrm>
              <a:off x="133978" y="1815803"/>
              <a:ext cx="1661256" cy="9110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133978</xdr:colOff>
      <xdr:row>15</xdr:row>
      <xdr:rowOff>92110</xdr:rowOff>
    </xdr:from>
    <xdr:to>
      <xdr:col>2</xdr:col>
      <xdr:colOff>586154</xdr:colOff>
      <xdr:row>21</xdr:row>
      <xdr:rowOff>8374</xdr:rowOff>
    </xdr:to>
    <mc:AlternateContent xmlns:mc="http://schemas.openxmlformats.org/markup-compatibility/2006" xmlns:a14="http://schemas.microsoft.com/office/drawing/2010/main">
      <mc:Choice Requires="a14">
        <xdr:graphicFrame macro="">
          <xdr:nvGraphicFramePr>
            <xdr:cNvPr id="56" name="Loan Status 1">
              <a:extLst>
                <a:ext uri="{FF2B5EF4-FFF2-40B4-BE49-F238E27FC236}">
                  <a16:creationId xmlns:a16="http://schemas.microsoft.com/office/drawing/2014/main" id="{0AD889C9-FB58-40D5-BD05-797648BA28FC}"/>
                </a:ext>
              </a:extLst>
            </xdr:cNvPr>
            <xdr:cNvGraphicFramePr/>
          </xdr:nvGraphicFramePr>
          <xdr:xfrm>
            <a:off x="0" y="0"/>
            <a:ext cx="0" cy="0"/>
          </xdr:xfrm>
          <a:graphic>
            <a:graphicData uri="http://schemas.microsoft.com/office/drawing/2010/slicer">
              <sle:slicer xmlns:sle="http://schemas.microsoft.com/office/drawing/2010/slicer" name="Loan Status 1"/>
            </a:graphicData>
          </a:graphic>
        </xdr:graphicFrame>
      </mc:Choice>
      <mc:Fallback xmlns="">
        <xdr:sp macro="" textlink="">
          <xdr:nvSpPr>
            <xdr:cNvPr id="0" name=""/>
            <xdr:cNvSpPr>
              <a:spLocks noTextEdit="1"/>
            </xdr:cNvSpPr>
          </xdr:nvSpPr>
          <xdr:spPr>
            <a:xfrm>
              <a:off x="133978" y="2825371"/>
              <a:ext cx="1678002" cy="10095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125607</xdr:colOff>
      <xdr:row>21</xdr:row>
      <xdr:rowOff>117231</xdr:rowOff>
    </xdr:from>
    <xdr:to>
      <xdr:col>2</xdr:col>
      <xdr:colOff>586157</xdr:colOff>
      <xdr:row>27</xdr:row>
      <xdr:rowOff>8374</xdr:rowOff>
    </xdr:to>
    <mc:AlternateContent xmlns:mc="http://schemas.openxmlformats.org/markup-compatibility/2006" xmlns:a14="http://schemas.microsoft.com/office/drawing/2010/main">
      <mc:Choice Requires="a14">
        <xdr:graphicFrame macro="">
          <xdr:nvGraphicFramePr>
            <xdr:cNvPr id="57" name="Interest Rate Segment 1">
              <a:extLst>
                <a:ext uri="{FF2B5EF4-FFF2-40B4-BE49-F238E27FC236}">
                  <a16:creationId xmlns:a16="http://schemas.microsoft.com/office/drawing/2014/main" id="{39C9FB22-A8F8-423B-B397-A7DC9851231C}"/>
                </a:ext>
              </a:extLst>
            </xdr:cNvPr>
            <xdr:cNvGraphicFramePr/>
          </xdr:nvGraphicFramePr>
          <xdr:xfrm>
            <a:off x="0" y="0"/>
            <a:ext cx="0" cy="0"/>
          </xdr:xfrm>
          <a:graphic>
            <a:graphicData uri="http://schemas.microsoft.com/office/drawing/2010/slicer">
              <sle:slicer xmlns:sle="http://schemas.microsoft.com/office/drawing/2010/slicer" name="Interest Rate Segment 1"/>
            </a:graphicData>
          </a:graphic>
        </xdr:graphicFrame>
      </mc:Choice>
      <mc:Fallback xmlns="">
        <xdr:sp macro="" textlink="">
          <xdr:nvSpPr>
            <xdr:cNvPr id="0" name=""/>
            <xdr:cNvSpPr>
              <a:spLocks noTextEdit="1"/>
            </xdr:cNvSpPr>
          </xdr:nvSpPr>
          <xdr:spPr>
            <a:xfrm>
              <a:off x="125607" y="3943796"/>
              <a:ext cx="1686376" cy="9844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125604</xdr:colOff>
      <xdr:row>27</xdr:row>
      <xdr:rowOff>83736</xdr:rowOff>
    </xdr:from>
    <xdr:to>
      <xdr:col>2</xdr:col>
      <xdr:colOff>586155</xdr:colOff>
      <xdr:row>32</xdr:row>
      <xdr:rowOff>133978</xdr:rowOff>
    </xdr:to>
    <mc:AlternateContent xmlns:mc="http://schemas.openxmlformats.org/markup-compatibility/2006" xmlns:a14="http://schemas.microsoft.com/office/drawing/2010/main">
      <mc:Choice Requires="a14">
        <xdr:graphicFrame macro="">
          <xdr:nvGraphicFramePr>
            <xdr:cNvPr id="58" name="Region 1">
              <a:extLst>
                <a:ext uri="{FF2B5EF4-FFF2-40B4-BE49-F238E27FC236}">
                  <a16:creationId xmlns:a16="http://schemas.microsoft.com/office/drawing/2014/main" id="{8D45DD89-B592-4131-9B3F-7D00709EDA6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5604" y="5003606"/>
              <a:ext cx="1686377" cy="9613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270795</xdr:colOff>
      <xdr:row>4</xdr:row>
      <xdr:rowOff>66989</xdr:rowOff>
    </xdr:from>
    <xdr:to>
      <xdr:col>4</xdr:col>
      <xdr:colOff>57339</xdr:colOff>
      <xdr:row>6</xdr:row>
      <xdr:rowOff>92110</xdr:rowOff>
    </xdr:to>
    <xdr:pic>
      <xdr:nvPicPr>
        <xdr:cNvPr id="61" name="Graphic 60" descr="User">
          <a:extLst>
            <a:ext uri="{FF2B5EF4-FFF2-40B4-BE49-F238E27FC236}">
              <a16:creationId xmlns:a16="http://schemas.microsoft.com/office/drawing/2014/main" id="{CD4450BF-D5B1-695B-1200-64266C8BC69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091846" y="790243"/>
          <a:ext cx="393561" cy="386748"/>
        </a:xfrm>
        <a:prstGeom prst="rect">
          <a:avLst/>
        </a:prstGeom>
      </xdr:spPr>
    </xdr:pic>
    <xdr:clientData/>
  </xdr:twoCellAnchor>
  <xdr:twoCellAnchor>
    <xdr:from>
      <xdr:col>5</xdr:col>
      <xdr:colOff>458492</xdr:colOff>
      <xdr:row>4</xdr:row>
      <xdr:rowOff>1292</xdr:rowOff>
    </xdr:from>
    <xdr:to>
      <xdr:col>8</xdr:col>
      <xdr:colOff>64575</xdr:colOff>
      <xdr:row>6</xdr:row>
      <xdr:rowOff>143359</xdr:rowOff>
    </xdr:to>
    <xdr:grpSp>
      <xdr:nvGrpSpPr>
        <xdr:cNvPr id="19" name="Group 18">
          <a:extLst>
            <a:ext uri="{FF2B5EF4-FFF2-40B4-BE49-F238E27FC236}">
              <a16:creationId xmlns:a16="http://schemas.microsoft.com/office/drawing/2014/main" id="{AD1DA9B0-8121-A49A-700D-E5B86117FBC5}"/>
            </a:ext>
          </a:extLst>
        </xdr:cNvPr>
        <xdr:cNvGrpSpPr/>
      </xdr:nvGrpSpPr>
      <xdr:grpSpPr>
        <a:xfrm>
          <a:off x="3523057" y="730162"/>
          <a:ext cx="1444822" cy="506501"/>
          <a:chOff x="3319221" y="737462"/>
          <a:chExt cx="1427134" cy="503694"/>
        </a:xfrm>
      </xdr:grpSpPr>
      <xdr:sp macro="" textlink="">
        <xdr:nvSpPr>
          <xdr:cNvPr id="30" name="Rectangle: Rounded Corners 29">
            <a:extLst>
              <a:ext uri="{FF2B5EF4-FFF2-40B4-BE49-F238E27FC236}">
                <a16:creationId xmlns:a16="http://schemas.microsoft.com/office/drawing/2014/main" id="{B607D82D-DB81-C640-ABAD-8E8BFB18EC10}"/>
              </a:ext>
            </a:extLst>
          </xdr:cNvPr>
          <xdr:cNvSpPr/>
        </xdr:nvSpPr>
        <xdr:spPr>
          <a:xfrm>
            <a:off x="3319221" y="737462"/>
            <a:ext cx="1356102" cy="503694"/>
          </a:xfrm>
          <a:prstGeom prst="roundRect">
            <a:avLst/>
          </a:prstGeom>
          <a:gradFill>
            <a:gsLst>
              <a:gs pos="0">
                <a:schemeClr val="accent1">
                  <a:lumMod val="40000"/>
                  <a:lumOff val="60000"/>
                </a:schemeClr>
              </a:gs>
              <a:gs pos="31000">
                <a:schemeClr val="accent1">
                  <a:lumMod val="20000"/>
                  <a:lumOff val="80000"/>
                </a:schemeClr>
              </a:gs>
              <a:gs pos="77000">
                <a:schemeClr val="accent1">
                  <a:lumMod val="20000"/>
                  <a:lumOff val="80000"/>
                </a:schemeClr>
              </a:gs>
              <a:gs pos="100000">
                <a:schemeClr val="accent1">
                  <a:lumMod val="40000"/>
                  <a:lumOff val="60000"/>
                </a:schemeClr>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sp macro="" textlink="">
        <xdr:nvSpPr>
          <xdr:cNvPr id="8" name="TextBox 7">
            <a:extLst>
              <a:ext uri="{FF2B5EF4-FFF2-40B4-BE49-F238E27FC236}">
                <a16:creationId xmlns:a16="http://schemas.microsoft.com/office/drawing/2014/main" id="{707A0337-F72F-585E-20BA-E0C75C70C84B}"/>
              </a:ext>
            </a:extLst>
          </xdr:cNvPr>
          <xdr:cNvSpPr txBox="1"/>
        </xdr:nvSpPr>
        <xdr:spPr>
          <a:xfrm>
            <a:off x="3616270" y="749084"/>
            <a:ext cx="1130085" cy="251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Loan Exposure</a:t>
            </a:r>
          </a:p>
        </xdr:txBody>
      </xdr:sp>
      <xdr:sp macro="" textlink="'Business helath'!B17">
        <xdr:nvSpPr>
          <xdr:cNvPr id="25" name="TextBox 24">
            <a:extLst>
              <a:ext uri="{FF2B5EF4-FFF2-40B4-BE49-F238E27FC236}">
                <a16:creationId xmlns:a16="http://schemas.microsoft.com/office/drawing/2014/main" id="{49FDFCDE-77AD-4788-8412-115D6188C7E1}"/>
              </a:ext>
            </a:extLst>
          </xdr:cNvPr>
          <xdr:cNvSpPr txBox="1"/>
        </xdr:nvSpPr>
        <xdr:spPr>
          <a:xfrm>
            <a:off x="3700219" y="994476"/>
            <a:ext cx="1020305" cy="182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3FF7DDE-BE39-4C7E-ACB5-F981D4E6B73A}" type="TxLink">
              <a:rPr lang="en-US" sz="1400" b="1" i="0" u="none" strike="noStrike">
                <a:solidFill>
                  <a:srgbClr val="000000"/>
                </a:solidFill>
                <a:latin typeface="Calibri"/>
                <a:ea typeface="Calibri"/>
                <a:cs typeface="Calibri"/>
              </a:rPr>
              <a:pPr/>
              <a:t>₹127.37M</a:t>
            </a:fld>
            <a:endParaRPr lang="en-IN" sz="1400" b="1"/>
          </a:p>
        </xdr:txBody>
      </xdr:sp>
      <xdr:sp macro="" textlink="">
        <xdr:nvSpPr>
          <xdr:cNvPr id="66" name="Graphic 62" descr="Wallet">
            <a:extLst>
              <a:ext uri="{FF2B5EF4-FFF2-40B4-BE49-F238E27FC236}">
                <a16:creationId xmlns:a16="http://schemas.microsoft.com/office/drawing/2014/main" id="{09E6B4F4-2A54-9C2D-6365-DB5245E66B11}"/>
              </a:ext>
            </a:extLst>
          </xdr:cNvPr>
          <xdr:cNvSpPr/>
        </xdr:nvSpPr>
        <xdr:spPr>
          <a:xfrm>
            <a:off x="3372436" y="850286"/>
            <a:ext cx="311535" cy="293210"/>
          </a:xfrm>
          <a:custGeom>
            <a:avLst/>
            <a:gdLst>
              <a:gd name="connsiteX0" fmla="*/ 728052 w 873662"/>
              <a:gd name="connsiteY0" fmla="*/ 473234 h 728051"/>
              <a:gd name="connsiteX1" fmla="*/ 679515 w 873662"/>
              <a:gd name="connsiteY1" fmla="*/ 424697 h 728051"/>
              <a:gd name="connsiteX2" fmla="*/ 728052 w 873662"/>
              <a:gd name="connsiteY2" fmla="*/ 376160 h 728051"/>
              <a:gd name="connsiteX3" fmla="*/ 776589 w 873662"/>
              <a:gd name="connsiteY3" fmla="*/ 424697 h 728051"/>
              <a:gd name="connsiteX4" fmla="*/ 728052 w 873662"/>
              <a:gd name="connsiteY4" fmla="*/ 473234 h 728051"/>
              <a:gd name="connsiteX5" fmla="*/ 849394 w 873662"/>
              <a:gd name="connsiteY5" fmla="*/ 303355 h 728051"/>
              <a:gd name="connsiteX6" fmla="*/ 825125 w 873662"/>
              <a:gd name="connsiteY6" fmla="*/ 303355 h 728051"/>
              <a:gd name="connsiteX7" fmla="*/ 825125 w 873662"/>
              <a:gd name="connsiteY7" fmla="*/ 169879 h 728051"/>
              <a:gd name="connsiteX8" fmla="*/ 776589 w 873662"/>
              <a:gd name="connsiteY8" fmla="*/ 121342 h 728051"/>
              <a:gd name="connsiteX9" fmla="*/ 97074 w 873662"/>
              <a:gd name="connsiteY9" fmla="*/ 121342 h 728051"/>
              <a:gd name="connsiteX10" fmla="*/ 72805 w 873662"/>
              <a:gd name="connsiteY10" fmla="*/ 97074 h 728051"/>
              <a:gd name="connsiteX11" fmla="*/ 97074 w 873662"/>
              <a:gd name="connsiteY11" fmla="*/ 72805 h 728051"/>
              <a:gd name="connsiteX12" fmla="*/ 776589 w 873662"/>
              <a:gd name="connsiteY12" fmla="*/ 72805 h 728051"/>
              <a:gd name="connsiteX13" fmla="*/ 776589 w 873662"/>
              <a:gd name="connsiteY13" fmla="*/ 48537 h 728051"/>
              <a:gd name="connsiteX14" fmla="*/ 728052 w 873662"/>
              <a:gd name="connsiteY14" fmla="*/ 0 h 728051"/>
              <a:gd name="connsiteX15" fmla="*/ 97074 w 873662"/>
              <a:gd name="connsiteY15" fmla="*/ 0 h 728051"/>
              <a:gd name="connsiteX16" fmla="*/ 0 w 873662"/>
              <a:gd name="connsiteY16" fmla="*/ 97074 h 728051"/>
              <a:gd name="connsiteX17" fmla="*/ 0 w 873662"/>
              <a:gd name="connsiteY17" fmla="*/ 630978 h 728051"/>
              <a:gd name="connsiteX18" fmla="*/ 97074 w 873662"/>
              <a:gd name="connsiteY18" fmla="*/ 728052 h 728051"/>
              <a:gd name="connsiteX19" fmla="*/ 776589 w 873662"/>
              <a:gd name="connsiteY19" fmla="*/ 728052 h 728051"/>
              <a:gd name="connsiteX20" fmla="*/ 825125 w 873662"/>
              <a:gd name="connsiteY20" fmla="*/ 679515 h 728051"/>
              <a:gd name="connsiteX21" fmla="*/ 825125 w 873662"/>
              <a:gd name="connsiteY21" fmla="*/ 546039 h 728051"/>
              <a:gd name="connsiteX22" fmla="*/ 849394 w 873662"/>
              <a:gd name="connsiteY22" fmla="*/ 546039 h 728051"/>
              <a:gd name="connsiteX23" fmla="*/ 873662 w 873662"/>
              <a:gd name="connsiteY23" fmla="*/ 521771 h 728051"/>
              <a:gd name="connsiteX24" fmla="*/ 873662 w 873662"/>
              <a:gd name="connsiteY24" fmla="*/ 327623 h 728051"/>
              <a:gd name="connsiteX25" fmla="*/ 849394 w 873662"/>
              <a:gd name="connsiteY25" fmla="*/ 303355 h 72805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Lst>
            <a:rect l="l" t="t" r="r" b="b"/>
            <a:pathLst>
              <a:path w="873662" h="728051">
                <a:moveTo>
                  <a:pt x="728052" y="473234"/>
                </a:moveTo>
                <a:cubicBezTo>
                  <a:pt x="701357" y="473234"/>
                  <a:pt x="679515" y="451392"/>
                  <a:pt x="679515" y="424697"/>
                </a:cubicBezTo>
                <a:cubicBezTo>
                  <a:pt x="679515" y="398002"/>
                  <a:pt x="701357" y="376160"/>
                  <a:pt x="728052" y="376160"/>
                </a:cubicBezTo>
                <a:cubicBezTo>
                  <a:pt x="754747" y="376160"/>
                  <a:pt x="776589" y="398002"/>
                  <a:pt x="776589" y="424697"/>
                </a:cubicBezTo>
                <a:cubicBezTo>
                  <a:pt x="776589" y="451392"/>
                  <a:pt x="754747" y="473234"/>
                  <a:pt x="728052" y="473234"/>
                </a:cubicBezTo>
                <a:close/>
                <a:moveTo>
                  <a:pt x="849394" y="303355"/>
                </a:moveTo>
                <a:lnTo>
                  <a:pt x="825125" y="303355"/>
                </a:lnTo>
                <a:lnTo>
                  <a:pt x="825125" y="169879"/>
                </a:lnTo>
                <a:cubicBezTo>
                  <a:pt x="825125" y="143184"/>
                  <a:pt x="803284" y="121342"/>
                  <a:pt x="776589" y="121342"/>
                </a:cubicBezTo>
                <a:lnTo>
                  <a:pt x="97074" y="121342"/>
                </a:lnTo>
                <a:cubicBezTo>
                  <a:pt x="83726" y="121342"/>
                  <a:pt x="72805" y="110421"/>
                  <a:pt x="72805" y="97074"/>
                </a:cubicBezTo>
                <a:cubicBezTo>
                  <a:pt x="72805" y="83726"/>
                  <a:pt x="83726" y="72805"/>
                  <a:pt x="97074" y="72805"/>
                </a:cubicBezTo>
                <a:lnTo>
                  <a:pt x="776589" y="72805"/>
                </a:lnTo>
                <a:lnTo>
                  <a:pt x="776589" y="48537"/>
                </a:lnTo>
                <a:cubicBezTo>
                  <a:pt x="776589" y="21842"/>
                  <a:pt x="754747" y="0"/>
                  <a:pt x="728052" y="0"/>
                </a:cubicBezTo>
                <a:lnTo>
                  <a:pt x="97074" y="0"/>
                </a:lnTo>
                <a:cubicBezTo>
                  <a:pt x="43683" y="0"/>
                  <a:pt x="0" y="43683"/>
                  <a:pt x="0" y="97074"/>
                </a:cubicBezTo>
                <a:lnTo>
                  <a:pt x="0" y="630978"/>
                </a:lnTo>
                <a:cubicBezTo>
                  <a:pt x="0" y="684369"/>
                  <a:pt x="43683" y="728052"/>
                  <a:pt x="97074" y="728052"/>
                </a:cubicBezTo>
                <a:lnTo>
                  <a:pt x="776589" y="728052"/>
                </a:lnTo>
                <a:cubicBezTo>
                  <a:pt x="803284" y="728052"/>
                  <a:pt x="825125" y="706210"/>
                  <a:pt x="825125" y="679515"/>
                </a:cubicBezTo>
                <a:lnTo>
                  <a:pt x="825125" y="546039"/>
                </a:lnTo>
                <a:lnTo>
                  <a:pt x="849394" y="546039"/>
                </a:lnTo>
                <a:cubicBezTo>
                  <a:pt x="862741" y="546039"/>
                  <a:pt x="873662" y="535118"/>
                  <a:pt x="873662" y="521771"/>
                </a:cubicBezTo>
                <a:lnTo>
                  <a:pt x="873662" y="327623"/>
                </a:lnTo>
                <a:cubicBezTo>
                  <a:pt x="873662" y="314276"/>
                  <a:pt x="862741" y="303355"/>
                  <a:pt x="849394" y="303355"/>
                </a:cubicBezTo>
                <a:close/>
              </a:path>
            </a:pathLst>
          </a:custGeom>
          <a:solidFill>
            <a:schemeClr val="tx2">
              <a:lumMod val="75000"/>
            </a:schemeClr>
          </a:solidFill>
          <a:ln w="12105" cap="flat">
            <a:noFill/>
            <a:prstDash val="solid"/>
            <a:miter/>
          </a:ln>
        </xdr:spPr>
        <xdr:txBody>
          <a:bodyPr rtlCol="0" anchor="ctr"/>
          <a:lstStyle/>
          <a:p>
            <a:endParaRPr lang="en-IN"/>
          </a:p>
        </xdr:txBody>
      </xdr:sp>
    </xdr:grpSp>
    <xdr:clientData/>
  </xdr:twoCellAnchor>
  <xdr:twoCellAnchor>
    <xdr:from>
      <xdr:col>10</xdr:col>
      <xdr:colOff>264763</xdr:colOff>
      <xdr:row>4</xdr:row>
      <xdr:rowOff>9041</xdr:rowOff>
    </xdr:from>
    <xdr:to>
      <xdr:col>12</xdr:col>
      <xdr:colOff>400373</xdr:colOff>
      <xdr:row>6</xdr:row>
      <xdr:rowOff>151108</xdr:rowOff>
    </xdr:to>
    <xdr:grpSp>
      <xdr:nvGrpSpPr>
        <xdr:cNvPr id="16" name="Group 15">
          <a:extLst>
            <a:ext uri="{FF2B5EF4-FFF2-40B4-BE49-F238E27FC236}">
              <a16:creationId xmlns:a16="http://schemas.microsoft.com/office/drawing/2014/main" id="{537AAC50-129E-AB84-126B-79EC322444DE}"/>
            </a:ext>
          </a:extLst>
        </xdr:cNvPr>
        <xdr:cNvGrpSpPr/>
      </xdr:nvGrpSpPr>
      <xdr:grpSpPr>
        <a:xfrm>
          <a:off x="6393893" y="737911"/>
          <a:ext cx="1361437" cy="506501"/>
          <a:chOff x="6083085" y="738753"/>
          <a:chExt cx="1349644" cy="503694"/>
        </a:xfrm>
      </xdr:grpSpPr>
      <xdr:sp macro="" textlink="">
        <xdr:nvSpPr>
          <xdr:cNvPr id="32" name="Rectangle: Rounded Corners 31">
            <a:extLst>
              <a:ext uri="{FF2B5EF4-FFF2-40B4-BE49-F238E27FC236}">
                <a16:creationId xmlns:a16="http://schemas.microsoft.com/office/drawing/2014/main" id="{2EFEF058-CC5A-5885-1708-58CB2970E2C6}"/>
              </a:ext>
            </a:extLst>
          </xdr:cNvPr>
          <xdr:cNvSpPr/>
        </xdr:nvSpPr>
        <xdr:spPr>
          <a:xfrm>
            <a:off x="6083085" y="738753"/>
            <a:ext cx="1291525" cy="503694"/>
          </a:xfrm>
          <a:prstGeom prst="roundRect">
            <a:avLst/>
          </a:prstGeom>
          <a:gradFill>
            <a:gsLst>
              <a:gs pos="23000">
                <a:schemeClr val="accent1">
                  <a:lumMod val="20000"/>
                  <a:lumOff val="80000"/>
                </a:schemeClr>
              </a:gs>
              <a:gs pos="75000">
                <a:schemeClr val="accent1">
                  <a:lumMod val="20000"/>
                  <a:lumOff val="80000"/>
                </a:schemeClr>
              </a:gs>
              <a:gs pos="1000">
                <a:schemeClr val="accent1">
                  <a:lumMod val="40000"/>
                  <a:lumOff val="60000"/>
                </a:schemeClr>
              </a:gs>
              <a:gs pos="100000">
                <a:schemeClr val="accent1">
                  <a:lumMod val="40000"/>
                  <a:lumOff val="60000"/>
                </a:schemeClr>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sp macro="" textlink="">
        <xdr:nvSpPr>
          <xdr:cNvPr id="10" name="TextBox 9">
            <a:extLst>
              <a:ext uri="{FF2B5EF4-FFF2-40B4-BE49-F238E27FC236}">
                <a16:creationId xmlns:a16="http://schemas.microsoft.com/office/drawing/2014/main" id="{60F165F8-271B-4612-86F5-C9D95DABA535}"/>
              </a:ext>
            </a:extLst>
          </xdr:cNvPr>
          <xdr:cNvSpPr txBox="1"/>
        </xdr:nvSpPr>
        <xdr:spPr>
          <a:xfrm>
            <a:off x="6376263" y="777498"/>
            <a:ext cx="1056466" cy="242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IN" sz="1200" b="1"/>
              <a:t>Cost of</a:t>
            </a:r>
            <a:r>
              <a:rPr lang="en-IN" sz="1200" b="1" baseline="0"/>
              <a:t> Funds</a:t>
            </a:r>
            <a:endParaRPr lang="en-IN" sz="1200" b="1"/>
          </a:p>
        </xdr:txBody>
      </xdr:sp>
      <xdr:sp macro="" textlink="'Business helath'!D17">
        <xdr:nvSpPr>
          <xdr:cNvPr id="42" name="TextBox 41">
            <a:extLst>
              <a:ext uri="{FF2B5EF4-FFF2-40B4-BE49-F238E27FC236}">
                <a16:creationId xmlns:a16="http://schemas.microsoft.com/office/drawing/2014/main" id="{BB0B938F-10FF-448A-BF83-CDD11CC07771}"/>
              </a:ext>
            </a:extLst>
          </xdr:cNvPr>
          <xdr:cNvSpPr txBox="1"/>
        </xdr:nvSpPr>
        <xdr:spPr>
          <a:xfrm>
            <a:off x="6479584" y="1009973"/>
            <a:ext cx="862738" cy="165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6DD278E-4FEF-4874-8566-6439BDA778A5}" type="TxLink">
              <a:rPr lang="en-US" sz="1400" b="1" i="0" u="none" strike="noStrike">
                <a:solidFill>
                  <a:srgbClr val="000000"/>
                </a:solidFill>
                <a:latin typeface="Calibri"/>
                <a:ea typeface="Calibri"/>
                <a:cs typeface="Calibri"/>
              </a:rPr>
              <a:pPr/>
              <a:t>₹35.18M</a:t>
            </a:fld>
            <a:endParaRPr lang="en-IN" sz="1400" b="1"/>
          </a:p>
        </xdr:txBody>
      </xdr:sp>
      <xdr:sp macro="" textlink="">
        <xdr:nvSpPr>
          <xdr:cNvPr id="67" name="Graphic 64" descr="Bank">
            <a:extLst>
              <a:ext uri="{FF2B5EF4-FFF2-40B4-BE49-F238E27FC236}">
                <a16:creationId xmlns:a16="http://schemas.microsoft.com/office/drawing/2014/main" id="{17C2D121-C49D-73DF-5004-06E549ADC1A8}"/>
              </a:ext>
            </a:extLst>
          </xdr:cNvPr>
          <xdr:cNvSpPr/>
        </xdr:nvSpPr>
        <xdr:spPr>
          <a:xfrm>
            <a:off x="6123796" y="843743"/>
            <a:ext cx="331561" cy="266258"/>
          </a:xfrm>
          <a:custGeom>
            <a:avLst/>
            <a:gdLst>
              <a:gd name="connsiteX0" fmla="*/ 837260 w 922199"/>
              <a:gd name="connsiteY0" fmla="*/ 764455 h 873662"/>
              <a:gd name="connsiteX1" fmla="*/ 837260 w 922199"/>
              <a:gd name="connsiteY1" fmla="*/ 740186 h 873662"/>
              <a:gd name="connsiteX2" fmla="*/ 788723 w 922199"/>
              <a:gd name="connsiteY2" fmla="*/ 740186 h 873662"/>
              <a:gd name="connsiteX3" fmla="*/ 788723 w 922199"/>
              <a:gd name="connsiteY3" fmla="*/ 327623 h 873662"/>
              <a:gd name="connsiteX4" fmla="*/ 837260 w 922199"/>
              <a:gd name="connsiteY4" fmla="*/ 327623 h 873662"/>
              <a:gd name="connsiteX5" fmla="*/ 837260 w 922199"/>
              <a:gd name="connsiteY5" fmla="*/ 303355 h 873662"/>
              <a:gd name="connsiteX6" fmla="*/ 873662 w 922199"/>
              <a:gd name="connsiteY6" fmla="*/ 303355 h 873662"/>
              <a:gd name="connsiteX7" fmla="*/ 873662 w 922199"/>
              <a:gd name="connsiteY7" fmla="*/ 230550 h 873662"/>
              <a:gd name="connsiteX8" fmla="*/ 837260 w 922199"/>
              <a:gd name="connsiteY8" fmla="*/ 230550 h 873662"/>
              <a:gd name="connsiteX9" fmla="*/ 461100 w 922199"/>
              <a:gd name="connsiteY9" fmla="*/ 0 h 873662"/>
              <a:gd name="connsiteX10" fmla="*/ 84939 w 922199"/>
              <a:gd name="connsiteY10" fmla="*/ 230550 h 873662"/>
              <a:gd name="connsiteX11" fmla="*/ 48537 w 922199"/>
              <a:gd name="connsiteY11" fmla="*/ 230550 h 873662"/>
              <a:gd name="connsiteX12" fmla="*/ 48537 w 922199"/>
              <a:gd name="connsiteY12" fmla="*/ 303355 h 873662"/>
              <a:gd name="connsiteX13" fmla="*/ 84939 w 922199"/>
              <a:gd name="connsiteY13" fmla="*/ 303355 h 873662"/>
              <a:gd name="connsiteX14" fmla="*/ 84939 w 922199"/>
              <a:gd name="connsiteY14" fmla="*/ 327623 h 873662"/>
              <a:gd name="connsiteX15" fmla="*/ 133476 w 922199"/>
              <a:gd name="connsiteY15" fmla="*/ 327623 h 873662"/>
              <a:gd name="connsiteX16" fmla="*/ 133476 w 922199"/>
              <a:gd name="connsiteY16" fmla="*/ 740186 h 873662"/>
              <a:gd name="connsiteX17" fmla="*/ 84939 w 922199"/>
              <a:gd name="connsiteY17" fmla="*/ 740186 h 873662"/>
              <a:gd name="connsiteX18" fmla="*/ 84939 w 922199"/>
              <a:gd name="connsiteY18" fmla="*/ 764455 h 873662"/>
              <a:gd name="connsiteX19" fmla="*/ 0 w 922199"/>
              <a:gd name="connsiteY19" fmla="*/ 825125 h 873662"/>
              <a:gd name="connsiteX20" fmla="*/ 0 w 922199"/>
              <a:gd name="connsiteY20" fmla="*/ 873662 h 873662"/>
              <a:gd name="connsiteX21" fmla="*/ 461100 w 922199"/>
              <a:gd name="connsiteY21" fmla="*/ 873662 h 873662"/>
              <a:gd name="connsiteX22" fmla="*/ 922199 w 922199"/>
              <a:gd name="connsiteY22" fmla="*/ 873662 h 873662"/>
              <a:gd name="connsiteX23" fmla="*/ 922199 w 922199"/>
              <a:gd name="connsiteY23" fmla="*/ 825125 h 873662"/>
              <a:gd name="connsiteX24" fmla="*/ 837260 w 922199"/>
              <a:gd name="connsiteY24" fmla="*/ 764455 h 873662"/>
              <a:gd name="connsiteX25" fmla="*/ 279087 w 922199"/>
              <a:gd name="connsiteY25" fmla="*/ 740186 h 873662"/>
              <a:gd name="connsiteX26" fmla="*/ 206281 w 922199"/>
              <a:gd name="connsiteY26" fmla="*/ 740186 h 873662"/>
              <a:gd name="connsiteX27" fmla="*/ 206281 w 922199"/>
              <a:gd name="connsiteY27" fmla="*/ 327623 h 873662"/>
              <a:gd name="connsiteX28" fmla="*/ 279087 w 922199"/>
              <a:gd name="connsiteY28" fmla="*/ 327623 h 873662"/>
              <a:gd name="connsiteX29" fmla="*/ 279087 w 922199"/>
              <a:gd name="connsiteY29" fmla="*/ 740186 h 873662"/>
              <a:gd name="connsiteX30" fmla="*/ 424697 w 922199"/>
              <a:gd name="connsiteY30" fmla="*/ 740186 h 873662"/>
              <a:gd name="connsiteX31" fmla="*/ 351892 w 922199"/>
              <a:gd name="connsiteY31" fmla="*/ 740186 h 873662"/>
              <a:gd name="connsiteX32" fmla="*/ 351892 w 922199"/>
              <a:gd name="connsiteY32" fmla="*/ 327623 h 873662"/>
              <a:gd name="connsiteX33" fmla="*/ 424697 w 922199"/>
              <a:gd name="connsiteY33" fmla="*/ 327623 h 873662"/>
              <a:gd name="connsiteX34" fmla="*/ 424697 w 922199"/>
              <a:gd name="connsiteY34" fmla="*/ 740186 h 873662"/>
              <a:gd name="connsiteX35" fmla="*/ 448965 w 922199"/>
              <a:gd name="connsiteY35" fmla="*/ 206281 h 873662"/>
              <a:gd name="connsiteX36" fmla="*/ 400429 w 922199"/>
              <a:gd name="connsiteY36" fmla="*/ 157745 h 873662"/>
              <a:gd name="connsiteX37" fmla="*/ 448965 w 922199"/>
              <a:gd name="connsiteY37" fmla="*/ 109208 h 873662"/>
              <a:gd name="connsiteX38" fmla="*/ 497502 w 922199"/>
              <a:gd name="connsiteY38" fmla="*/ 157745 h 873662"/>
              <a:gd name="connsiteX39" fmla="*/ 448965 w 922199"/>
              <a:gd name="connsiteY39" fmla="*/ 206281 h 873662"/>
              <a:gd name="connsiteX40" fmla="*/ 570307 w 922199"/>
              <a:gd name="connsiteY40" fmla="*/ 740186 h 873662"/>
              <a:gd name="connsiteX41" fmla="*/ 497502 w 922199"/>
              <a:gd name="connsiteY41" fmla="*/ 740186 h 873662"/>
              <a:gd name="connsiteX42" fmla="*/ 497502 w 922199"/>
              <a:gd name="connsiteY42" fmla="*/ 327623 h 873662"/>
              <a:gd name="connsiteX43" fmla="*/ 570307 w 922199"/>
              <a:gd name="connsiteY43" fmla="*/ 327623 h 873662"/>
              <a:gd name="connsiteX44" fmla="*/ 570307 w 922199"/>
              <a:gd name="connsiteY44" fmla="*/ 740186 h 873662"/>
              <a:gd name="connsiteX45" fmla="*/ 715918 w 922199"/>
              <a:gd name="connsiteY45" fmla="*/ 740186 h 873662"/>
              <a:gd name="connsiteX46" fmla="*/ 643113 w 922199"/>
              <a:gd name="connsiteY46" fmla="*/ 740186 h 873662"/>
              <a:gd name="connsiteX47" fmla="*/ 643113 w 922199"/>
              <a:gd name="connsiteY47" fmla="*/ 327623 h 873662"/>
              <a:gd name="connsiteX48" fmla="*/ 715918 w 922199"/>
              <a:gd name="connsiteY48" fmla="*/ 327623 h 873662"/>
              <a:gd name="connsiteX49" fmla="*/ 715918 w 922199"/>
              <a:gd name="connsiteY49" fmla="*/ 740186 h 87366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Lst>
            <a:rect l="l" t="t" r="r" b="b"/>
            <a:pathLst>
              <a:path w="922199" h="873662">
                <a:moveTo>
                  <a:pt x="837260" y="764455"/>
                </a:moveTo>
                <a:lnTo>
                  <a:pt x="837260" y="740186"/>
                </a:lnTo>
                <a:lnTo>
                  <a:pt x="788723" y="740186"/>
                </a:lnTo>
                <a:lnTo>
                  <a:pt x="788723" y="327623"/>
                </a:lnTo>
                <a:lnTo>
                  <a:pt x="837260" y="327623"/>
                </a:lnTo>
                <a:lnTo>
                  <a:pt x="837260" y="303355"/>
                </a:lnTo>
                <a:lnTo>
                  <a:pt x="873662" y="303355"/>
                </a:lnTo>
                <a:lnTo>
                  <a:pt x="873662" y="230550"/>
                </a:lnTo>
                <a:lnTo>
                  <a:pt x="837260" y="230550"/>
                </a:lnTo>
                <a:lnTo>
                  <a:pt x="461100" y="0"/>
                </a:lnTo>
                <a:lnTo>
                  <a:pt x="84939" y="230550"/>
                </a:lnTo>
                <a:lnTo>
                  <a:pt x="48537" y="230550"/>
                </a:lnTo>
                <a:lnTo>
                  <a:pt x="48537" y="303355"/>
                </a:lnTo>
                <a:lnTo>
                  <a:pt x="84939" y="303355"/>
                </a:lnTo>
                <a:lnTo>
                  <a:pt x="84939" y="327623"/>
                </a:lnTo>
                <a:lnTo>
                  <a:pt x="133476" y="327623"/>
                </a:lnTo>
                <a:lnTo>
                  <a:pt x="133476" y="740186"/>
                </a:lnTo>
                <a:lnTo>
                  <a:pt x="84939" y="740186"/>
                </a:lnTo>
                <a:lnTo>
                  <a:pt x="84939" y="764455"/>
                </a:lnTo>
                <a:lnTo>
                  <a:pt x="0" y="825125"/>
                </a:lnTo>
                <a:lnTo>
                  <a:pt x="0" y="873662"/>
                </a:lnTo>
                <a:lnTo>
                  <a:pt x="461100" y="873662"/>
                </a:lnTo>
                <a:lnTo>
                  <a:pt x="922199" y="873662"/>
                </a:lnTo>
                <a:lnTo>
                  <a:pt x="922199" y="825125"/>
                </a:lnTo>
                <a:lnTo>
                  <a:pt x="837260" y="764455"/>
                </a:lnTo>
                <a:close/>
                <a:moveTo>
                  <a:pt x="279087" y="740186"/>
                </a:moveTo>
                <a:lnTo>
                  <a:pt x="206281" y="740186"/>
                </a:lnTo>
                <a:lnTo>
                  <a:pt x="206281" y="327623"/>
                </a:lnTo>
                <a:lnTo>
                  <a:pt x="279087" y="327623"/>
                </a:lnTo>
                <a:lnTo>
                  <a:pt x="279087" y="740186"/>
                </a:lnTo>
                <a:close/>
                <a:moveTo>
                  <a:pt x="424697" y="740186"/>
                </a:moveTo>
                <a:lnTo>
                  <a:pt x="351892" y="740186"/>
                </a:lnTo>
                <a:lnTo>
                  <a:pt x="351892" y="327623"/>
                </a:lnTo>
                <a:lnTo>
                  <a:pt x="424697" y="327623"/>
                </a:lnTo>
                <a:lnTo>
                  <a:pt x="424697" y="740186"/>
                </a:lnTo>
                <a:close/>
                <a:moveTo>
                  <a:pt x="448965" y="206281"/>
                </a:moveTo>
                <a:cubicBezTo>
                  <a:pt x="422270" y="206281"/>
                  <a:pt x="400429" y="184440"/>
                  <a:pt x="400429" y="157745"/>
                </a:cubicBezTo>
                <a:cubicBezTo>
                  <a:pt x="400429" y="131049"/>
                  <a:pt x="422270" y="109208"/>
                  <a:pt x="448965" y="109208"/>
                </a:cubicBezTo>
                <a:cubicBezTo>
                  <a:pt x="475661" y="109208"/>
                  <a:pt x="497502" y="131049"/>
                  <a:pt x="497502" y="157745"/>
                </a:cubicBezTo>
                <a:cubicBezTo>
                  <a:pt x="497502" y="184440"/>
                  <a:pt x="475661" y="206281"/>
                  <a:pt x="448965" y="206281"/>
                </a:cubicBezTo>
                <a:close/>
                <a:moveTo>
                  <a:pt x="570307" y="740186"/>
                </a:moveTo>
                <a:lnTo>
                  <a:pt x="497502" y="740186"/>
                </a:lnTo>
                <a:lnTo>
                  <a:pt x="497502" y="327623"/>
                </a:lnTo>
                <a:lnTo>
                  <a:pt x="570307" y="327623"/>
                </a:lnTo>
                <a:lnTo>
                  <a:pt x="570307" y="740186"/>
                </a:lnTo>
                <a:close/>
                <a:moveTo>
                  <a:pt x="715918" y="740186"/>
                </a:moveTo>
                <a:lnTo>
                  <a:pt x="643113" y="740186"/>
                </a:lnTo>
                <a:lnTo>
                  <a:pt x="643113" y="327623"/>
                </a:lnTo>
                <a:lnTo>
                  <a:pt x="715918" y="327623"/>
                </a:lnTo>
                <a:lnTo>
                  <a:pt x="715918" y="740186"/>
                </a:lnTo>
                <a:close/>
              </a:path>
            </a:pathLst>
          </a:custGeom>
          <a:solidFill>
            <a:schemeClr val="tx2">
              <a:lumMod val="75000"/>
            </a:schemeClr>
          </a:solidFill>
          <a:ln w="12105" cap="flat">
            <a:noFill/>
            <a:prstDash val="solid"/>
            <a:miter/>
          </a:ln>
        </xdr:spPr>
        <xdr:txBody>
          <a:bodyPr rtlCol="0" anchor="ctr"/>
          <a:lstStyle/>
          <a:p>
            <a:endParaRPr lang="en-IN"/>
          </a:p>
        </xdr:txBody>
      </xdr:sp>
    </xdr:grpSp>
    <xdr:clientData/>
  </xdr:twoCellAnchor>
  <xdr:twoCellAnchor>
    <xdr:from>
      <xdr:col>8</xdr:col>
      <xdr:colOff>116238</xdr:colOff>
      <xdr:row>4</xdr:row>
      <xdr:rowOff>5168</xdr:rowOff>
    </xdr:from>
    <xdr:to>
      <xdr:col>10</xdr:col>
      <xdr:colOff>219559</xdr:colOff>
      <xdr:row>6</xdr:row>
      <xdr:rowOff>147235</xdr:rowOff>
    </xdr:to>
    <xdr:grpSp>
      <xdr:nvGrpSpPr>
        <xdr:cNvPr id="18" name="Group 17">
          <a:extLst>
            <a:ext uri="{FF2B5EF4-FFF2-40B4-BE49-F238E27FC236}">
              <a16:creationId xmlns:a16="http://schemas.microsoft.com/office/drawing/2014/main" id="{54A18F92-94B2-7E0B-D86B-8B1C2563FD10}"/>
            </a:ext>
          </a:extLst>
        </xdr:cNvPr>
        <xdr:cNvGrpSpPr/>
      </xdr:nvGrpSpPr>
      <xdr:grpSpPr>
        <a:xfrm>
          <a:off x="5019542" y="734038"/>
          <a:ext cx="1329147" cy="506501"/>
          <a:chOff x="4752815" y="728422"/>
          <a:chExt cx="1317354" cy="503694"/>
        </a:xfrm>
      </xdr:grpSpPr>
      <xdr:sp macro="" textlink="">
        <xdr:nvSpPr>
          <xdr:cNvPr id="31" name="Rectangle: Rounded Corners 30">
            <a:extLst>
              <a:ext uri="{FF2B5EF4-FFF2-40B4-BE49-F238E27FC236}">
                <a16:creationId xmlns:a16="http://schemas.microsoft.com/office/drawing/2014/main" id="{5F969873-4D06-C062-EF5E-B69A20DA28CF}"/>
              </a:ext>
            </a:extLst>
          </xdr:cNvPr>
          <xdr:cNvSpPr/>
        </xdr:nvSpPr>
        <xdr:spPr>
          <a:xfrm>
            <a:off x="4752815" y="728422"/>
            <a:ext cx="1246322" cy="503694"/>
          </a:xfrm>
          <a:prstGeom prst="roundRect">
            <a:avLst/>
          </a:prstGeom>
          <a:gradFill>
            <a:gsLst>
              <a:gs pos="25000">
                <a:schemeClr val="accent1">
                  <a:lumMod val="20000"/>
                  <a:lumOff val="80000"/>
                </a:schemeClr>
              </a:gs>
              <a:gs pos="74000">
                <a:schemeClr val="accent1">
                  <a:lumMod val="20000"/>
                  <a:lumOff val="80000"/>
                </a:schemeClr>
              </a:gs>
              <a:gs pos="0">
                <a:schemeClr val="accent1">
                  <a:lumMod val="40000"/>
                  <a:lumOff val="60000"/>
                </a:schemeClr>
              </a:gs>
              <a:gs pos="100000">
                <a:schemeClr val="accent1">
                  <a:lumMod val="40000"/>
                  <a:lumOff val="60000"/>
                </a:schemeClr>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sp macro="" textlink="">
        <xdr:nvSpPr>
          <xdr:cNvPr id="9" name="TextBox 8">
            <a:extLst>
              <a:ext uri="{FF2B5EF4-FFF2-40B4-BE49-F238E27FC236}">
                <a16:creationId xmlns:a16="http://schemas.microsoft.com/office/drawing/2014/main" id="{6AA085AC-EC8A-411F-A47F-0ED472785190}"/>
              </a:ext>
            </a:extLst>
          </xdr:cNvPr>
          <xdr:cNvSpPr txBox="1"/>
        </xdr:nvSpPr>
        <xdr:spPr>
          <a:xfrm>
            <a:off x="4971081" y="754253"/>
            <a:ext cx="1099088" cy="251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1"/>
              <a:t>Total Revenue</a:t>
            </a:r>
          </a:p>
        </xdr:txBody>
      </xdr:sp>
      <xdr:sp macro="" textlink="'Business helath'!C17">
        <xdr:nvSpPr>
          <xdr:cNvPr id="40" name="TextBox 39">
            <a:extLst>
              <a:ext uri="{FF2B5EF4-FFF2-40B4-BE49-F238E27FC236}">
                <a16:creationId xmlns:a16="http://schemas.microsoft.com/office/drawing/2014/main" id="{6AA9D419-6D47-4C2F-9879-6D99261FF613}"/>
              </a:ext>
            </a:extLst>
          </xdr:cNvPr>
          <xdr:cNvSpPr txBox="1"/>
        </xdr:nvSpPr>
        <xdr:spPr>
          <a:xfrm>
            <a:off x="5074402" y="986727"/>
            <a:ext cx="918276" cy="188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3796FFD-3D4D-47AA-B877-E5C148194034}" type="TxLink">
              <a:rPr lang="en-US" sz="1400" b="1" i="0" u="none" strike="noStrike">
                <a:solidFill>
                  <a:srgbClr val="000000"/>
                </a:solidFill>
                <a:latin typeface="Calibri"/>
                <a:ea typeface="Calibri"/>
                <a:cs typeface="Calibri"/>
              </a:rPr>
              <a:pPr/>
              <a:t>₹33.16M</a:t>
            </a:fld>
            <a:endParaRPr lang="en-IN" sz="1400" b="1"/>
          </a:p>
        </xdr:txBody>
      </xdr:sp>
      <xdr:pic>
        <xdr:nvPicPr>
          <xdr:cNvPr id="69" name="Graphic 68" descr="Business Growth">
            <a:extLst>
              <a:ext uri="{FF2B5EF4-FFF2-40B4-BE49-F238E27FC236}">
                <a16:creationId xmlns:a16="http://schemas.microsoft.com/office/drawing/2014/main" id="{21ACEB42-FDBB-EBCB-D9DA-18DFC4D05F9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793407" y="832111"/>
            <a:ext cx="380927" cy="378372"/>
          </a:xfrm>
          <a:prstGeom prst="rect">
            <a:avLst/>
          </a:prstGeom>
        </xdr:spPr>
      </xdr:pic>
    </xdr:grpSp>
    <xdr:clientData/>
  </xdr:twoCellAnchor>
  <xdr:twoCellAnchor>
    <xdr:from>
      <xdr:col>12</xdr:col>
      <xdr:colOff>452034</xdr:colOff>
      <xdr:row>4</xdr:row>
      <xdr:rowOff>4011</xdr:rowOff>
    </xdr:from>
    <xdr:to>
      <xdr:col>14</xdr:col>
      <xdr:colOff>503698</xdr:colOff>
      <xdr:row>6</xdr:row>
      <xdr:rowOff>148529</xdr:rowOff>
    </xdr:to>
    <xdr:grpSp>
      <xdr:nvGrpSpPr>
        <xdr:cNvPr id="15" name="Group 14">
          <a:extLst>
            <a:ext uri="{FF2B5EF4-FFF2-40B4-BE49-F238E27FC236}">
              <a16:creationId xmlns:a16="http://schemas.microsoft.com/office/drawing/2014/main" id="{DF91BE03-EDC6-2B5E-3749-DC1E1D9683DA}"/>
            </a:ext>
          </a:extLst>
        </xdr:cNvPr>
        <xdr:cNvGrpSpPr/>
      </xdr:nvGrpSpPr>
      <xdr:grpSpPr>
        <a:xfrm>
          <a:off x="7806991" y="732881"/>
          <a:ext cx="1277490" cy="508952"/>
          <a:chOff x="7458559" y="740193"/>
          <a:chExt cx="1265698" cy="506131"/>
        </a:xfrm>
      </xdr:grpSpPr>
      <xdr:sp macro="" textlink="">
        <xdr:nvSpPr>
          <xdr:cNvPr id="33" name="Rectangle: Rounded Corners 32">
            <a:extLst>
              <a:ext uri="{FF2B5EF4-FFF2-40B4-BE49-F238E27FC236}">
                <a16:creationId xmlns:a16="http://schemas.microsoft.com/office/drawing/2014/main" id="{263924D4-6C12-64A7-EE80-0B1D09CCD2D5}"/>
              </a:ext>
            </a:extLst>
          </xdr:cNvPr>
          <xdr:cNvSpPr/>
        </xdr:nvSpPr>
        <xdr:spPr>
          <a:xfrm>
            <a:off x="7458559" y="742630"/>
            <a:ext cx="1168831" cy="503694"/>
          </a:xfrm>
          <a:prstGeom prst="roundRect">
            <a:avLst/>
          </a:prstGeom>
          <a:gradFill>
            <a:gsLst>
              <a:gs pos="21000">
                <a:schemeClr val="accent1">
                  <a:lumMod val="20000"/>
                  <a:lumOff val="80000"/>
                </a:schemeClr>
              </a:gs>
              <a:gs pos="0">
                <a:schemeClr val="accent1">
                  <a:lumMod val="40000"/>
                  <a:lumOff val="60000"/>
                </a:schemeClr>
              </a:gs>
              <a:gs pos="75000">
                <a:schemeClr val="accent1">
                  <a:lumMod val="20000"/>
                  <a:lumOff val="80000"/>
                </a:schemeClr>
              </a:gs>
              <a:gs pos="100000">
                <a:schemeClr val="accent1">
                  <a:lumMod val="40000"/>
                  <a:lumOff val="60000"/>
                </a:schemeClr>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sp macro="" textlink="">
        <xdr:nvSpPr>
          <xdr:cNvPr id="11" name="TextBox 10">
            <a:extLst>
              <a:ext uri="{FF2B5EF4-FFF2-40B4-BE49-F238E27FC236}">
                <a16:creationId xmlns:a16="http://schemas.microsoft.com/office/drawing/2014/main" id="{A0F3AA77-B11A-4C06-8416-E2F0DB9085E7}"/>
              </a:ext>
            </a:extLst>
          </xdr:cNvPr>
          <xdr:cNvSpPr txBox="1"/>
        </xdr:nvSpPr>
        <xdr:spPr>
          <a:xfrm>
            <a:off x="7697495" y="740193"/>
            <a:ext cx="1026762" cy="251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1"/>
              <a:t>Default</a:t>
            </a:r>
            <a:r>
              <a:rPr lang="en-IN" sz="1200"/>
              <a:t> </a:t>
            </a:r>
            <a:r>
              <a:rPr lang="en-IN" sz="1200" b="1"/>
              <a:t>Loss</a:t>
            </a:r>
          </a:p>
        </xdr:txBody>
      </xdr:sp>
      <xdr:sp macro="" textlink="'Business helath'!E17">
        <xdr:nvSpPr>
          <xdr:cNvPr id="43" name="TextBox 42">
            <a:extLst>
              <a:ext uri="{FF2B5EF4-FFF2-40B4-BE49-F238E27FC236}">
                <a16:creationId xmlns:a16="http://schemas.microsoft.com/office/drawing/2014/main" id="{F877DDF7-FA28-446A-8594-7E0AA72FC05E}"/>
              </a:ext>
            </a:extLst>
          </xdr:cNvPr>
          <xdr:cNvSpPr txBox="1"/>
        </xdr:nvSpPr>
        <xdr:spPr>
          <a:xfrm>
            <a:off x="7803778" y="987361"/>
            <a:ext cx="833034" cy="206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364CAE9-4159-4BD2-B456-3C558EE1FED1}" type="TxLink">
              <a:rPr lang="en-US" sz="1400" b="1" i="0" u="none" strike="noStrike">
                <a:solidFill>
                  <a:srgbClr val="000000"/>
                </a:solidFill>
                <a:latin typeface="Calibri"/>
                <a:ea typeface="Calibri"/>
                <a:cs typeface="Calibri"/>
              </a:rPr>
              <a:pPr/>
              <a:t>₹1.59M</a:t>
            </a:fld>
            <a:endParaRPr lang="en-IN" sz="1400" b="1"/>
          </a:p>
        </xdr:txBody>
      </xdr:sp>
      <xdr:pic>
        <xdr:nvPicPr>
          <xdr:cNvPr id="71" name="Graphic 70" descr="Warning">
            <a:extLst>
              <a:ext uri="{FF2B5EF4-FFF2-40B4-BE49-F238E27FC236}">
                <a16:creationId xmlns:a16="http://schemas.microsoft.com/office/drawing/2014/main" id="{8BCDD5D4-462F-BC76-AA25-224FA21F05B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493545" y="823739"/>
            <a:ext cx="334944" cy="328131"/>
          </a:xfrm>
          <a:prstGeom prst="rect">
            <a:avLst/>
          </a:prstGeom>
        </xdr:spPr>
      </xdr:pic>
    </xdr:grpSp>
    <xdr:clientData/>
  </xdr:twoCellAnchor>
  <xdr:twoCellAnchor>
    <xdr:from>
      <xdr:col>14</xdr:col>
      <xdr:colOff>516610</xdr:colOff>
      <xdr:row>3</xdr:row>
      <xdr:rowOff>171773</xdr:rowOff>
    </xdr:from>
    <xdr:to>
      <xdr:col>17</xdr:col>
      <xdr:colOff>238931</xdr:colOff>
      <xdr:row>6</xdr:row>
      <xdr:rowOff>133027</xdr:rowOff>
    </xdr:to>
    <xdr:grpSp>
      <xdr:nvGrpSpPr>
        <xdr:cNvPr id="13" name="Group 12">
          <a:extLst>
            <a:ext uri="{FF2B5EF4-FFF2-40B4-BE49-F238E27FC236}">
              <a16:creationId xmlns:a16="http://schemas.microsoft.com/office/drawing/2014/main" id="{E392084A-CB36-52F5-3148-E6AC62BAC662}"/>
            </a:ext>
          </a:extLst>
        </xdr:cNvPr>
        <xdr:cNvGrpSpPr/>
      </xdr:nvGrpSpPr>
      <xdr:grpSpPr>
        <a:xfrm>
          <a:off x="9097393" y="718425"/>
          <a:ext cx="1561060" cy="507906"/>
          <a:chOff x="8698424" y="733587"/>
          <a:chExt cx="1543372" cy="503694"/>
        </a:xfrm>
      </xdr:grpSpPr>
      <xdr:sp macro="" textlink="">
        <xdr:nvSpPr>
          <xdr:cNvPr id="34" name="Rectangle: Rounded Corners 33">
            <a:extLst>
              <a:ext uri="{FF2B5EF4-FFF2-40B4-BE49-F238E27FC236}">
                <a16:creationId xmlns:a16="http://schemas.microsoft.com/office/drawing/2014/main" id="{DB3B32AA-3B33-99B4-B8F2-F830F0889652}"/>
              </a:ext>
            </a:extLst>
          </xdr:cNvPr>
          <xdr:cNvSpPr/>
        </xdr:nvSpPr>
        <xdr:spPr>
          <a:xfrm>
            <a:off x="8698424" y="733587"/>
            <a:ext cx="1297983" cy="503694"/>
          </a:xfrm>
          <a:prstGeom prst="roundRect">
            <a:avLst/>
          </a:prstGeom>
          <a:gradFill>
            <a:gsLst>
              <a:gs pos="0">
                <a:schemeClr val="accent1">
                  <a:lumMod val="40000"/>
                  <a:lumOff val="60000"/>
                </a:schemeClr>
              </a:gs>
              <a:gs pos="22348">
                <a:schemeClr val="accent1">
                  <a:lumMod val="20000"/>
                  <a:lumOff val="80000"/>
                </a:schemeClr>
              </a:gs>
              <a:gs pos="74000">
                <a:schemeClr val="accent1">
                  <a:lumMod val="20000"/>
                  <a:lumOff val="80000"/>
                </a:schemeClr>
              </a:gs>
              <a:gs pos="99000">
                <a:schemeClr val="accent1">
                  <a:lumMod val="40000"/>
                  <a:lumOff val="60000"/>
                </a:schemeClr>
              </a:gs>
              <a:gs pos="100000">
                <a:schemeClr val="accent1">
                  <a:lumMod val="40000"/>
                  <a:lumOff val="60000"/>
                </a:schemeClr>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sp macro="" textlink="">
        <xdr:nvSpPr>
          <xdr:cNvPr id="20" name="TextBox 19">
            <a:extLst>
              <a:ext uri="{FF2B5EF4-FFF2-40B4-BE49-F238E27FC236}">
                <a16:creationId xmlns:a16="http://schemas.microsoft.com/office/drawing/2014/main" id="{C98F974D-40BD-45D9-9CE9-C0EF15879848}"/>
              </a:ext>
            </a:extLst>
          </xdr:cNvPr>
          <xdr:cNvSpPr txBox="1"/>
        </xdr:nvSpPr>
        <xdr:spPr>
          <a:xfrm>
            <a:off x="8989017" y="765875"/>
            <a:ext cx="1078423" cy="251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b="1"/>
              <a:t>Net Bank Profit</a:t>
            </a:r>
          </a:p>
        </xdr:txBody>
      </xdr:sp>
      <xdr:sp macro="" textlink="'Business helath'!F17">
        <xdr:nvSpPr>
          <xdr:cNvPr id="44" name="TextBox 43">
            <a:extLst>
              <a:ext uri="{FF2B5EF4-FFF2-40B4-BE49-F238E27FC236}">
                <a16:creationId xmlns:a16="http://schemas.microsoft.com/office/drawing/2014/main" id="{A3AF35CE-ECD7-44D0-B647-FD672E48C906}"/>
              </a:ext>
            </a:extLst>
          </xdr:cNvPr>
          <xdr:cNvSpPr txBox="1"/>
        </xdr:nvSpPr>
        <xdr:spPr>
          <a:xfrm>
            <a:off x="9173705" y="1013846"/>
            <a:ext cx="1068091" cy="154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6B78A10-82D3-4C6A-B3FC-CA6DF4CF9D5C}" type="TxLink">
              <a:rPr lang="en-US" sz="1400" b="1" i="0" u="none" strike="noStrike">
                <a:solidFill>
                  <a:srgbClr val="000000"/>
                </a:solidFill>
                <a:latin typeface="Calibri"/>
                <a:ea typeface="Calibri"/>
                <a:cs typeface="Calibri"/>
              </a:rPr>
              <a:pPr/>
              <a:t>-₹3.60M</a:t>
            </a:fld>
            <a:endParaRPr lang="en-IN" sz="1400" b="1"/>
          </a:p>
        </xdr:txBody>
      </xdr:sp>
      <xdr:pic>
        <xdr:nvPicPr>
          <xdr:cNvPr id="73" name="Graphic 72" descr="Money">
            <a:extLst>
              <a:ext uri="{FF2B5EF4-FFF2-40B4-BE49-F238E27FC236}">
                <a16:creationId xmlns:a16="http://schemas.microsoft.com/office/drawing/2014/main" id="{5DBF2CE6-5DD6-8E7B-9EA4-2E9BC0D1E77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757821" y="857232"/>
            <a:ext cx="385814" cy="353253"/>
          </a:xfrm>
          <a:prstGeom prst="rect">
            <a:avLst/>
          </a:prstGeom>
        </xdr:spPr>
      </xdr:pic>
    </xdr:grpSp>
    <xdr:clientData/>
  </xdr:twoCellAnchor>
  <xdr:twoCellAnchor>
    <xdr:from>
      <xdr:col>17</xdr:col>
      <xdr:colOff>90408</xdr:colOff>
      <xdr:row>3</xdr:row>
      <xdr:rowOff>169191</xdr:rowOff>
    </xdr:from>
    <xdr:to>
      <xdr:col>19</xdr:col>
      <xdr:colOff>330630</xdr:colOff>
      <xdr:row>6</xdr:row>
      <xdr:rowOff>130445</xdr:rowOff>
    </xdr:to>
    <xdr:grpSp>
      <xdr:nvGrpSpPr>
        <xdr:cNvPr id="12" name="Group 11">
          <a:extLst>
            <a:ext uri="{FF2B5EF4-FFF2-40B4-BE49-F238E27FC236}">
              <a16:creationId xmlns:a16="http://schemas.microsoft.com/office/drawing/2014/main" id="{F2EAE9B3-C4C6-AAAB-91AF-921DC9E9CA35}"/>
            </a:ext>
          </a:extLst>
        </xdr:cNvPr>
        <xdr:cNvGrpSpPr/>
      </xdr:nvGrpSpPr>
      <xdr:grpSpPr>
        <a:xfrm>
          <a:off x="10509930" y="715843"/>
          <a:ext cx="1466048" cy="507906"/>
          <a:chOff x="10093272" y="731005"/>
          <a:chExt cx="1454256" cy="503694"/>
        </a:xfrm>
      </xdr:grpSpPr>
      <xdr:sp macro="" textlink="">
        <xdr:nvSpPr>
          <xdr:cNvPr id="35" name="Rectangle: Rounded Corners 34">
            <a:extLst>
              <a:ext uri="{FF2B5EF4-FFF2-40B4-BE49-F238E27FC236}">
                <a16:creationId xmlns:a16="http://schemas.microsoft.com/office/drawing/2014/main" id="{003968B1-89A2-C79F-6742-D6E539EE806A}"/>
              </a:ext>
            </a:extLst>
          </xdr:cNvPr>
          <xdr:cNvSpPr/>
        </xdr:nvSpPr>
        <xdr:spPr>
          <a:xfrm>
            <a:off x="10093272" y="731005"/>
            <a:ext cx="1362560" cy="503694"/>
          </a:xfrm>
          <a:prstGeom prst="roundRect">
            <a:avLst/>
          </a:prstGeom>
          <a:gradFill>
            <a:gsLst>
              <a:gs pos="40000">
                <a:schemeClr val="accent1">
                  <a:lumMod val="20000"/>
                  <a:lumOff val="80000"/>
                </a:schemeClr>
              </a:gs>
              <a:gs pos="74000">
                <a:schemeClr val="accent1">
                  <a:lumMod val="20000"/>
                  <a:lumOff val="80000"/>
                </a:schemeClr>
              </a:gs>
              <a:gs pos="99000">
                <a:schemeClr val="accent1">
                  <a:lumMod val="40000"/>
                  <a:lumOff val="60000"/>
                </a:schemeClr>
              </a:gs>
              <a:gs pos="0">
                <a:schemeClr val="accent1">
                  <a:lumMod val="40000"/>
                  <a:lumOff val="60000"/>
                </a:schemeClr>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sp macro="" textlink="">
        <xdr:nvSpPr>
          <xdr:cNvPr id="21" name="TextBox 20">
            <a:extLst>
              <a:ext uri="{FF2B5EF4-FFF2-40B4-BE49-F238E27FC236}">
                <a16:creationId xmlns:a16="http://schemas.microsoft.com/office/drawing/2014/main" id="{7AEEF259-A9EF-4415-9780-A6B7F2A2B73F}"/>
              </a:ext>
            </a:extLst>
          </xdr:cNvPr>
          <xdr:cNvSpPr txBox="1"/>
        </xdr:nvSpPr>
        <xdr:spPr>
          <a:xfrm>
            <a:off x="10520766" y="750378"/>
            <a:ext cx="1026762" cy="251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Profit Margin</a:t>
            </a:r>
          </a:p>
        </xdr:txBody>
      </xdr:sp>
      <xdr:sp macro="" textlink="'Business helath'!C19">
        <xdr:nvSpPr>
          <xdr:cNvPr id="45" name="TextBox 44">
            <a:extLst>
              <a:ext uri="{FF2B5EF4-FFF2-40B4-BE49-F238E27FC236}">
                <a16:creationId xmlns:a16="http://schemas.microsoft.com/office/drawing/2014/main" id="{58844633-7384-43E1-B3DE-98E088102AA2}"/>
              </a:ext>
            </a:extLst>
          </xdr:cNvPr>
          <xdr:cNvSpPr txBox="1"/>
        </xdr:nvSpPr>
        <xdr:spPr>
          <a:xfrm>
            <a:off x="10691432" y="904068"/>
            <a:ext cx="833034" cy="214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158661-B8B4-4612-9852-B0661B9F5E0A}" type="TxLink">
              <a:rPr lang="en-US" sz="1400" b="1" i="0" u="none" strike="noStrike">
                <a:solidFill>
                  <a:srgbClr val="000000"/>
                </a:solidFill>
                <a:latin typeface="Calibri"/>
                <a:ea typeface="Calibri"/>
                <a:cs typeface="Calibri"/>
              </a:rPr>
              <a:pPr/>
              <a:t>-2.83%</a:t>
            </a:fld>
            <a:endParaRPr lang="en-US" sz="1400" b="1" i="0" u="none" strike="noStrike">
              <a:solidFill>
                <a:srgbClr val="000000"/>
              </a:solidFill>
              <a:latin typeface="Calibri"/>
              <a:ea typeface="Calibri"/>
              <a:cs typeface="Calibri"/>
            </a:endParaRPr>
          </a:p>
        </xdr:txBody>
      </xdr:sp>
      <xdr:pic>
        <xdr:nvPicPr>
          <xdr:cNvPr id="5" name="Graphic 4" descr="Bar graph with upward trend">
            <a:extLst>
              <a:ext uri="{FF2B5EF4-FFF2-40B4-BE49-F238E27FC236}">
                <a16:creationId xmlns:a16="http://schemas.microsoft.com/office/drawing/2014/main" id="{F8C23078-3800-3B83-B7EC-69129DA47E7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263361" y="825307"/>
            <a:ext cx="328071" cy="327609"/>
          </a:xfrm>
          <a:prstGeom prst="rect">
            <a:avLst/>
          </a:prstGeom>
        </xdr:spPr>
      </xdr:pic>
    </xdr:grpSp>
    <xdr:clientData/>
  </xdr:twoCellAnchor>
  <xdr:twoCellAnchor>
    <xdr:from>
      <xdr:col>4</xdr:col>
      <xdr:colOff>193728</xdr:colOff>
      <xdr:row>0</xdr:row>
      <xdr:rowOff>116237</xdr:rowOff>
    </xdr:from>
    <xdr:to>
      <xdr:col>16</xdr:col>
      <xdr:colOff>538369</xdr:colOff>
      <xdr:row>3</xdr:row>
      <xdr:rowOff>12915</xdr:rowOff>
    </xdr:to>
    <xdr:sp macro="" textlink="">
      <xdr:nvSpPr>
        <xdr:cNvPr id="7" name="TextBox 6">
          <a:extLst>
            <a:ext uri="{FF2B5EF4-FFF2-40B4-BE49-F238E27FC236}">
              <a16:creationId xmlns:a16="http://schemas.microsoft.com/office/drawing/2014/main" id="{27A48406-40FD-5882-BEBA-8D25D8FA05E6}"/>
            </a:ext>
          </a:extLst>
        </xdr:cNvPr>
        <xdr:cNvSpPr txBox="1"/>
      </xdr:nvSpPr>
      <xdr:spPr>
        <a:xfrm>
          <a:off x="2645380" y="116237"/>
          <a:ext cx="7699598" cy="443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1">
              <a:solidFill>
                <a:schemeClr val="dk1"/>
              </a:solidFill>
              <a:effectLst>
                <a:outerShdw blurRad="50800" dist="38100" dir="2700000" algn="tl" rotWithShape="0">
                  <a:srgbClr val="000000">
                    <a:alpha val="40000"/>
                  </a:srgbClr>
                </a:outerShdw>
              </a:effectLst>
              <a:latin typeface="+mn-lt"/>
              <a:ea typeface="+mn-ea"/>
              <a:cs typeface="+mn-cs"/>
            </a:rPr>
            <a:t>Loan Portfolio Profitability &amp; Risk Analytics Dashboard</a:t>
          </a:r>
          <a:endParaRPr lang="en-IN" sz="2400" b="1">
            <a:effectLst/>
          </a:endParaRPr>
        </a:p>
        <a:p>
          <a:pPr algn="ctr"/>
          <a:endParaRPr lang="en-IN" sz="1100"/>
        </a:p>
      </xdr:txBody>
    </xdr:sp>
    <xdr:clientData/>
  </xdr:twoCellAnchor>
  <xdr:twoCellAnchor>
    <xdr:from>
      <xdr:col>3</xdr:col>
      <xdr:colOff>312295</xdr:colOff>
      <xdr:row>20</xdr:row>
      <xdr:rowOff>90393</xdr:rowOff>
    </xdr:from>
    <xdr:to>
      <xdr:col>11</xdr:col>
      <xdr:colOff>374754</xdr:colOff>
      <xdr:row>32</xdr:row>
      <xdr:rowOff>150725</xdr:rowOff>
    </xdr:to>
    <xdr:graphicFrame macro="">
      <xdr:nvGraphicFramePr>
        <xdr:cNvPr id="3" name="Chart 2">
          <a:extLst>
            <a:ext uri="{FF2B5EF4-FFF2-40B4-BE49-F238E27FC236}">
              <a16:creationId xmlns:a16="http://schemas.microsoft.com/office/drawing/2014/main" id="{6E2DD686-6F35-49D0-B82E-DE34DCA734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166409</xdr:colOff>
      <xdr:row>8</xdr:row>
      <xdr:rowOff>584</xdr:rowOff>
    </xdr:from>
    <xdr:to>
      <xdr:col>19</xdr:col>
      <xdr:colOff>251209</xdr:colOff>
      <xdr:row>18</xdr:row>
      <xdr:rowOff>159099</xdr:rowOff>
    </xdr:to>
    <xdr:graphicFrame macro="">
      <xdr:nvGraphicFramePr>
        <xdr:cNvPr id="14" name="Chart 13">
          <a:extLst>
            <a:ext uri="{FF2B5EF4-FFF2-40B4-BE49-F238E27FC236}">
              <a16:creationId xmlns:a16="http://schemas.microsoft.com/office/drawing/2014/main" id="{F8E6A4F6-D535-4864-936B-D76F62C5D3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ufan" refreshedDate="46261.953900347224" createdVersion="8" refreshedVersion="8" minRefreshableVersion="3" recordCount="500" xr:uid="{07857360-AA31-4BA5-9F57-EDB2DF0FC245}">
  <cacheSource type="worksheet">
    <worksheetSource name="LoanData"/>
  </cacheSource>
  <cacheFields count="29">
    <cacheField name="Loan ID" numFmtId="0">
      <sharedItems/>
    </cacheField>
    <cacheField name="Customer ID" numFmtId="0">
      <sharedItems/>
    </cacheField>
    <cacheField name="Device Category" numFmtId="0">
      <sharedItems count="4">
        <s v="Bike"/>
        <s v="Laptop"/>
        <s v="Car"/>
        <s v="Mobile Phone"/>
      </sharedItems>
    </cacheField>
    <cacheField name="Device Price (Rs.)" numFmtId="164">
      <sharedItems containsSemiMixedTypes="0" containsString="0" containsNumber="1" containsInteger="1" minValue="10400" maxValue="1490700"/>
    </cacheField>
    <cacheField name="Down Payment %" numFmtId="10">
      <sharedItems containsSemiMixedTypes="0" containsString="0" containsNumber="1" minValue="0" maxValue="0.3"/>
    </cacheField>
    <cacheField name="Down Payment (Rs.)" numFmtId="164">
      <sharedItems containsSemiMixedTypes="0" containsString="0" containsNumber="1" containsInteger="1" minValue="0" maxValue="447210"/>
    </cacheField>
    <cacheField name="Loan Amount / Principal (Rs.)" numFmtId="164">
      <sharedItems containsSemiMixedTypes="0" containsString="0" containsNumber="1" containsInteger="1" minValue="9775" maxValue="1305090"/>
    </cacheField>
    <cacheField name="Interest Rate (Annual %)" numFmtId="10">
      <sharedItems containsSemiMixedTypes="0" containsString="0" containsNumber="1" minValue="8.5400000000000004E-2" maxValue="0.21990000000000001"/>
    </cacheField>
    <cacheField name="Tenure (Months)" numFmtId="0">
      <sharedItems containsSemiMixedTypes="0" containsString="0" containsNumber="1" containsInteger="1" minValue="3" maxValue="84"/>
    </cacheField>
    <cacheField name="Monthly Interest Rate" numFmtId="10">
      <sharedItems containsSemiMixedTypes="0" containsString="0" containsNumber="1" minValue="7.116666666666667E-3" maxValue="1.8325000000000001E-2"/>
    </cacheField>
    <cacheField name="EMI (Rs.)" numFmtId="164">
      <sharedItems containsSemiMixedTypes="0" containsString="0" containsNumber="1" minValue="632.52665899167721" maxValue="38207.160592653221"/>
    </cacheField>
    <cacheField name="Total Payment (Rs.)" numFmtId="164">
      <sharedItems containsSemiMixedTypes="0" containsString="0" containsNumber="1" minValue="10036.488796988901" maxValue="1706838.5608081261"/>
    </cacheField>
    <cacheField name="Total Interest Income (Rs.)" numFmtId="164">
      <sharedItems containsSemiMixedTypes="0" containsString="0" containsNumber="1" minValue="261.48879698889868" maxValue="471048.56080812629"/>
    </cacheField>
    <cacheField name="Processing Fee (Rs.)" numFmtId="164">
      <sharedItems containsSemiMixedTypes="0" containsString="0" containsNumber="1" minValue="499" maxValue="13050.9"/>
    </cacheField>
    <cacheField name="Cost of Funds (Rs.)" numFmtId="164">
      <sharedItems containsSemiMixedTypes="0" containsString="0" containsNumber="1" minValue="158.84375" maxValue="481958.1"/>
    </cacheField>
    <cacheField name="Loan Status" numFmtId="0">
      <sharedItems count="3">
        <s v="Active"/>
        <s v="Default"/>
        <s v="Closed"/>
      </sharedItems>
    </cacheField>
    <cacheField name="Default Loss (Rs.)" numFmtId="164">
      <sharedItems containsSemiMixedTypes="0" containsString="0" containsNumber="1" containsInteger="1" minValue="0" maxValue="225680"/>
    </cacheField>
    <cacheField name="Net Bank Profit (Rs.)" numFmtId="164">
      <sharedItems containsSemiMixedTypes="0" containsString="0" containsNumber="1" minValue="-225655.92180132019" maxValue="46674.012469419147"/>
    </cacheField>
    <cacheField name="Region" numFmtId="0">
      <sharedItems count="4">
        <s v="North"/>
        <s v="South"/>
        <s v="West"/>
        <s v="East"/>
      </sharedItems>
    </cacheField>
    <cacheField name="Disbursement Month" numFmtId="0">
      <sharedItems/>
    </cacheField>
    <cacheField name="Loan Size Segment" numFmtId="0">
      <sharedItems count="4">
        <s v="Small"/>
        <s v="Medium"/>
        <s v="Very Large"/>
        <s v="Large"/>
      </sharedItems>
    </cacheField>
    <cacheField name="Interest Rate Segment" numFmtId="0">
      <sharedItems count="3">
        <s v="Medium Rate"/>
        <s v="High Rate"/>
        <s v="Low Rate"/>
      </sharedItems>
    </cacheField>
    <cacheField name="Tenure Segment" numFmtId="0">
      <sharedItems count="3">
        <s v="Medium Term"/>
        <s v="Long Term"/>
        <s v="Short Term"/>
      </sharedItems>
    </cacheField>
    <cacheField name="Calculated Revenue (Rs.)" numFmtId="164">
      <sharedItems containsSemiMixedTypes="0" containsString="0" containsNumber="1" minValue="760.48879698889868" maxValue="483406.46080812637"/>
    </cacheField>
    <cacheField name="Calculated Cost (Rs.)" numFmtId="164">
      <sharedItems containsSemiMixedTypes="0" containsString="0" containsNumber="1" minValue="158.84375" maxValue="481958.1"/>
    </cacheField>
    <cacheField name="Calculated Profit (Rs.)" numFmtId="164">
      <sharedItems containsSemiMixedTypes="0" containsString="0" containsNumber="1" minValue="-225655.92180132019" maxValue="46674.012469419147"/>
    </cacheField>
    <cacheField name="Profit Margin %" numFmtId="10">
      <sharedItems containsSemiMixedTypes="0" containsString="0" containsNumber="1" minValue="-0.39995732329195349" maxValue="0.20273656706376139"/>
    </cacheField>
    <cacheField name="Default Loss %" numFmtId="10">
      <sharedItems containsSemiMixedTypes="0" containsString="0" containsNumber="1" minValue="0" maxValue="0.4"/>
    </cacheField>
    <cacheField name="Profit Check" numFmtId="0">
      <sharedItems/>
    </cacheField>
  </cacheFields>
  <extLst>
    <ext xmlns:x14="http://schemas.microsoft.com/office/spreadsheetml/2009/9/main" uri="{725AE2AE-9491-48be-B2B4-4EB974FC3084}">
      <x14:pivotCacheDefinition pivotCacheId="238739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LN-0001"/>
    <s v="CUST-1001"/>
    <x v="0"/>
    <n v="66000"/>
    <n v="0.1"/>
    <n v="6600"/>
    <n v="59400"/>
    <n v="0.122"/>
    <n v="24"/>
    <n v="1.0166666666666669E-2"/>
    <n v="2801.7153556443259"/>
    <n v="67241.168535463832"/>
    <n v="7841.1685354638321"/>
    <n v="594"/>
    <n v="7722"/>
    <x v="0"/>
    <n v="0"/>
    <n v="713.16853546383209"/>
    <x v="0"/>
    <s v="Oct-2025"/>
    <x v="0"/>
    <x v="0"/>
    <x v="0"/>
    <n v="8435.1685354638321"/>
    <n v="7722"/>
    <n v="713.16853546383209"/>
    <n v="1.200620430073791E-2"/>
    <n v="0"/>
    <s v="OK"/>
  </r>
  <r>
    <s v="LN-0002"/>
    <s v="CUST-1002"/>
    <x v="1"/>
    <n v="28700"/>
    <n v="0.2"/>
    <n v="5740"/>
    <n v="22960"/>
    <n v="0.13750000000000001"/>
    <n v="24"/>
    <n v="1.1458333333333331E-2"/>
    <n v="1099.666085316901"/>
    <n v="26391.98604760562"/>
    <n v="3431.9860476056242"/>
    <n v="499"/>
    <n v="2984.8"/>
    <x v="1"/>
    <n v="9184"/>
    <n v="-8237.8139523943755"/>
    <x v="1"/>
    <s v="Dec-2025"/>
    <x v="0"/>
    <x v="0"/>
    <x v="0"/>
    <n v="3930.9860476056242"/>
    <n v="12168.8"/>
    <n v="-8237.8139523943755"/>
    <n v="-0.35878980628895363"/>
    <n v="0.4"/>
    <s v="OK"/>
  </r>
  <r>
    <s v="LN-0003"/>
    <s v="CUST-1003"/>
    <x v="0"/>
    <n v="190800"/>
    <n v="0.15"/>
    <n v="28620"/>
    <n v="162180"/>
    <n v="0.1176"/>
    <n v="60"/>
    <n v="9.7999999999999997E-3"/>
    <n v="3587.966204900471"/>
    <n v="215277.97229402821"/>
    <n v="53097.972294028237"/>
    <n v="1621.8"/>
    <n v="52708.5"/>
    <x v="0"/>
    <n v="0"/>
    <n v="2011.2722940282399"/>
    <x v="0"/>
    <s v="Mar-2025"/>
    <x v="1"/>
    <x v="0"/>
    <x v="1"/>
    <n v="54719.77229402824"/>
    <n v="52708.5"/>
    <n v="2011.2722940282399"/>
    <n v="1.240148165019263E-2"/>
    <n v="0"/>
    <s v="OK"/>
  </r>
  <r>
    <s v="LN-0004"/>
    <s v="CUST-1004"/>
    <x v="0"/>
    <n v="141700"/>
    <n v="0.05"/>
    <n v="7085"/>
    <n v="134615"/>
    <n v="0.1124"/>
    <n v="36"/>
    <n v="9.3666666666666672E-3"/>
    <n v="4422.4378509915659"/>
    <n v="159207.76263569639"/>
    <n v="24592.762635696388"/>
    <n v="1346.15"/>
    <n v="26249.924999999999"/>
    <x v="2"/>
    <n v="0"/>
    <n v="-311.01236430361308"/>
    <x v="0"/>
    <s v="Jun-2025"/>
    <x v="1"/>
    <x v="0"/>
    <x v="0"/>
    <n v="25938.91263569639"/>
    <n v="26249.924999999999"/>
    <n v="-311.01236430361308"/>
    <n v="-2.3103841644958822E-3"/>
    <n v="0"/>
    <s v="OK"/>
  </r>
  <r>
    <s v="LN-0005"/>
    <s v="CUST-1005"/>
    <x v="2"/>
    <n v="1064100"/>
    <n v="0.3"/>
    <n v="319230"/>
    <n v="744870"/>
    <n v="0.10920000000000001"/>
    <n v="72"/>
    <n v="9.1000000000000004E-3"/>
    <n v="14147.412048111029"/>
    <n v="1018613.667463994"/>
    <n v="273743.66746399453"/>
    <n v="7448.7"/>
    <n v="290499.3"/>
    <x v="2"/>
    <n v="0"/>
    <n v="-9306.9325360055664"/>
    <x v="2"/>
    <s v="Feb-2025"/>
    <x v="2"/>
    <x v="0"/>
    <x v="1"/>
    <n v="281192.36746399448"/>
    <n v="290499.3"/>
    <n v="-9306.9325360055664"/>
    <n v="-1.249470717844129E-2"/>
    <n v="0"/>
    <s v="OK"/>
  </r>
  <r>
    <s v="LN-0006"/>
    <s v="CUST-1006"/>
    <x v="1"/>
    <n v="128700"/>
    <n v="0.2"/>
    <n v="25740"/>
    <n v="102960"/>
    <n v="0.16950000000000001"/>
    <n v="12"/>
    <n v="1.4125E-2"/>
    <n v="9387.9983718841049"/>
    <n v="112655.9804626093"/>
    <n v="9695.9804626092664"/>
    <n v="1029.5999999999999"/>
    <n v="6692.4000000000005"/>
    <x v="2"/>
    <n v="0"/>
    <n v="4033.1804626092662"/>
    <x v="0"/>
    <s v="Jan-2025"/>
    <x v="1"/>
    <x v="1"/>
    <x v="2"/>
    <n v="10725.58046260927"/>
    <n v="6692.4000000000005"/>
    <n v="4033.1804626092662"/>
    <n v="3.9172304415396923E-2"/>
    <n v="0"/>
    <s v="OK"/>
  </r>
  <r>
    <s v="LN-0007"/>
    <s v="CUST-1007"/>
    <x v="0"/>
    <n v="245500"/>
    <n v="0.05"/>
    <n v="12275"/>
    <n v="233225"/>
    <n v="0.17879999999999999"/>
    <n v="24"/>
    <n v="1.49E-2"/>
    <n v="11630.0304829134"/>
    <n v="279120.73158992152"/>
    <n v="45895.731589921517"/>
    <n v="2332.25"/>
    <n v="30319.25"/>
    <x v="0"/>
    <n v="0"/>
    <n v="17908.731589921521"/>
    <x v="2"/>
    <s v="Nov-2025"/>
    <x v="1"/>
    <x v="1"/>
    <x v="0"/>
    <n v="48227.981589921517"/>
    <n v="30319.25"/>
    <n v="17908.731589921521"/>
    <n v="7.678735808734706E-2"/>
    <n v="0"/>
    <s v="OK"/>
  </r>
  <r>
    <s v="LN-0008"/>
    <s v="CUST-1008"/>
    <x v="2"/>
    <n v="578900"/>
    <n v="0.1"/>
    <n v="57890"/>
    <n v="521010"/>
    <n v="9.5699999999999993E-2"/>
    <n v="60"/>
    <n v="7.9749999999999995E-3"/>
    <n v="10960.011231980339"/>
    <n v="657600.67391882068"/>
    <n v="136590.67391882071"/>
    <n v="5210.1000000000004"/>
    <n v="169328.25"/>
    <x v="0"/>
    <n v="0"/>
    <n v="-27527.476081179309"/>
    <x v="1"/>
    <s v="Sep-2025"/>
    <x v="2"/>
    <x v="2"/>
    <x v="1"/>
    <n v="141800.77391882069"/>
    <n v="169328.25"/>
    <n v="-27527.476081179309"/>
    <n v="-5.2834832500680037E-2"/>
    <n v="0"/>
    <s v="OK"/>
  </r>
  <r>
    <s v="LN-0009"/>
    <s v="CUST-1009"/>
    <x v="0"/>
    <n v="99200"/>
    <n v="0.1"/>
    <n v="9920"/>
    <n v="89280"/>
    <n v="0.13039999999999999"/>
    <n v="60"/>
    <n v="1.086666666666667E-2"/>
    <n v="2033.222961856035"/>
    <n v="121993.3777113621"/>
    <n v="32713.377711362129"/>
    <n v="892.80000000000007"/>
    <n v="29016"/>
    <x v="0"/>
    <n v="0"/>
    <n v="4590.1777113621356"/>
    <x v="0"/>
    <s v="Apr-2025"/>
    <x v="0"/>
    <x v="0"/>
    <x v="1"/>
    <n v="33606.177711362143"/>
    <n v="29016"/>
    <n v="4590.1777113621356"/>
    <n v="5.1413280817228221E-2"/>
    <n v="0"/>
    <s v="OK"/>
  </r>
  <r>
    <s v="LN-0010"/>
    <s v="CUST-1010"/>
    <x v="2"/>
    <n v="1285600"/>
    <n v="0.15"/>
    <n v="192840"/>
    <n v="1092760"/>
    <n v="9.7000000000000003E-2"/>
    <n v="36"/>
    <n v="8.083333333333333E-3"/>
    <n v="35106.578575429186"/>
    <n v="1263836.8287154511"/>
    <n v="171076.8287154506"/>
    <n v="10927.6"/>
    <n v="213088.2"/>
    <x v="0"/>
    <n v="0"/>
    <n v="-31083.77128454941"/>
    <x v="3"/>
    <s v="Apr-2025"/>
    <x v="2"/>
    <x v="2"/>
    <x v="0"/>
    <n v="182004.4287154506"/>
    <n v="213088.2"/>
    <n v="-31083.77128454941"/>
    <n v="-2.844519499665929E-2"/>
    <n v="0"/>
    <s v="OK"/>
  </r>
  <r>
    <s v="LN-0011"/>
    <s v="CUST-1011"/>
    <x v="0"/>
    <n v="155000"/>
    <n v="0.1"/>
    <n v="15500"/>
    <n v="139500"/>
    <n v="0.17319999999999999"/>
    <n v="48"/>
    <n v="1.4433333333333329E-2"/>
    <n v="4048.410662718295"/>
    <n v="194323.7118104781"/>
    <n v="54823.711810478133"/>
    <n v="1395"/>
    <n v="36270"/>
    <x v="2"/>
    <n v="0"/>
    <n v="19948.711810478129"/>
    <x v="1"/>
    <s v="Dec-2025"/>
    <x v="1"/>
    <x v="1"/>
    <x v="1"/>
    <n v="56218.711810478133"/>
    <n v="36270"/>
    <n v="19948.711810478129"/>
    <n v="0.14300151835468189"/>
    <n v="0"/>
    <s v="OK"/>
  </r>
  <r>
    <s v="LN-0012"/>
    <s v="CUST-1012"/>
    <x v="0"/>
    <n v="123100"/>
    <n v="0.2"/>
    <n v="24620"/>
    <n v="98480"/>
    <n v="0.14680000000000001"/>
    <n v="60"/>
    <n v="1.223333333333333E-2"/>
    <n v="2326.3229804464022"/>
    <n v="139579.37882678409"/>
    <n v="41099.378826784137"/>
    <n v="984.80000000000007"/>
    <n v="32006"/>
    <x v="0"/>
    <n v="0"/>
    <n v="10078.178826784149"/>
    <x v="1"/>
    <s v="Sep-2025"/>
    <x v="0"/>
    <x v="0"/>
    <x v="1"/>
    <n v="42084.178826784148"/>
    <n v="32006"/>
    <n v="10078.178826784149"/>
    <n v="0.10233731546287721"/>
    <n v="0"/>
    <s v="OK"/>
  </r>
  <r>
    <s v="LN-0013"/>
    <s v="CUST-1013"/>
    <x v="1"/>
    <n v="119500"/>
    <n v="0.05"/>
    <n v="5975"/>
    <n v="113525"/>
    <n v="0.18890000000000001"/>
    <n v="9"/>
    <n v="1.5741666666666671E-2"/>
    <n v="13627.376007841811"/>
    <n v="122646.3840705763"/>
    <n v="9121.3840705762705"/>
    <n v="1135.25"/>
    <n v="5534.34375"/>
    <x v="0"/>
    <n v="0"/>
    <n v="4722.2903205762696"/>
    <x v="2"/>
    <s v="Oct-2025"/>
    <x v="1"/>
    <x v="1"/>
    <x v="2"/>
    <n v="10256.63407057627"/>
    <n v="5534.34375"/>
    <n v="4722.2903205762696"/>
    <n v="4.1596919802477608E-2"/>
    <n v="0"/>
    <s v="OK"/>
  </r>
  <r>
    <s v="LN-0014"/>
    <s v="CUST-1014"/>
    <x v="3"/>
    <n v="50700"/>
    <n v="0.05"/>
    <n v="2535"/>
    <n v="48165"/>
    <n v="0.21970000000000001"/>
    <n v="18"/>
    <n v="1.8308333333333329E-2"/>
    <n v="3165.120168667755"/>
    <n v="56972.163036019592"/>
    <n v="8807.1630360195923"/>
    <n v="499"/>
    <n v="4696.0874999999996"/>
    <x v="0"/>
    <n v="0"/>
    <n v="4610.0755360195926"/>
    <x v="0"/>
    <s v="Nov-2025"/>
    <x v="0"/>
    <x v="1"/>
    <x v="0"/>
    <n v="9306.1630360195923"/>
    <n v="4696.0874999999996"/>
    <n v="4610.0755360195926"/>
    <n v="9.5714222693233528E-2"/>
    <n v="0"/>
    <s v="OK"/>
  </r>
  <r>
    <s v="LN-0015"/>
    <s v="CUST-1015"/>
    <x v="0"/>
    <n v="223600"/>
    <n v="0.15"/>
    <n v="33540"/>
    <n v="190060"/>
    <n v="0.14299999999999999"/>
    <n v="36"/>
    <n v="1.1916666666666669E-2"/>
    <n v="6523.5278039928317"/>
    <n v="234847.00094374191"/>
    <n v="44787.000943741943"/>
    <n v="1900.6"/>
    <n v="37061.699999999997"/>
    <x v="2"/>
    <n v="0"/>
    <n v="9625.9009437419372"/>
    <x v="2"/>
    <s v="Mar-2025"/>
    <x v="1"/>
    <x v="0"/>
    <x v="0"/>
    <n v="46687.600943741927"/>
    <n v="37061.699999999997"/>
    <n v="9625.9009437419372"/>
    <n v="5.0646642869314633E-2"/>
    <n v="0"/>
    <s v="OK"/>
  </r>
  <r>
    <s v="LN-0016"/>
    <s v="CUST-1016"/>
    <x v="1"/>
    <n v="144200"/>
    <n v="0.2"/>
    <n v="28840"/>
    <n v="115360"/>
    <n v="0.19009999999999999"/>
    <n v="12"/>
    <n v="1.5841666666666671E-2"/>
    <n v="10631.73343531514"/>
    <n v="127580.8012237817"/>
    <n v="12220.80122378166"/>
    <n v="1153.5999999999999"/>
    <n v="7498.4000000000005"/>
    <x v="0"/>
    <n v="0"/>
    <n v="5876.0012237816582"/>
    <x v="0"/>
    <s v="Nov-2025"/>
    <x v="1"/>
    <x v="1"/>
    <x v="2"/>
    <n v="13374.401223781661"/>
    <n v="7498.4000000000005"/>
    <n v="5876.0012237816582"/>
    <n v="5.093621033097831E-2"/>
    <n v="0"/>
    <s v="OK"/>
  </r>
  <r>
    <s v="LN-0017"/>
    <s v="CUST-1017"/>
    <x v="3"/>
    <n v="79600"/>
    <n v="0.05"/>
    <n v="3980"/>
    <n v="75620"/>
    <n v="0.18870000000000001"/>
    <n v="6"/>
    <n v="1.5724999999999999E-2"/>
    <n v="13306.006993349991"/>
    <n v="79836.041960099959"/>
    <n v="4216.0419600999594"/>
    <n v="756.2"/>
    <n v="2457.65"/>
    <x v="0"/>
    <n v="0"/>
    <n v="2514.5919600999591"/>
    <x v="0"/>
    <s v="Oct-2025"/>
    <x v="0"/>
    <x v="1"/>
    <x v="2"/>
    <n v="4972.2419600999592"/>
    <n v="2457.65"/>
    <n v="2514.5919600999591"/>
    <n v="3.3253001323723337E-2"/>
    <n v="0"/>
    <s v="OK"/>
  </r>
  <r>
    <s v="LN-0018"/>
    <s v="CUST-1018"/>
    <x v="1"/>
    <n v="27400"/>
    <n v="0.05"/>
    <n v="1370"/>
    <n v="26030"/>
    <n v="0.1943"/>
    <n v="12"/>
    <n v="1.619166666666667E-2"/>
    <n v="2404.1808490383578"/>
    <n v="28850.170188460299"/>
    <n v="2820.1701884602949"/>
    <n v="499"/>
    <n v="1691.95"/>
    <x v="1"/>
    <n v="10412"/>
    <n v="-8784.7798115397054"/>
    <x v="0"/>
    <s v="Feb-2025"/>
    <x v="0"/>
    <x v="1"/>
    <x v="2"/>
    <n v="3319.1701884602949"/>
    <n v="12103.95"/>
    <n v="-8784.7798115397054"/>
    <n v="-0.33748673882211699"/>
    <n v="0.4"/>
    <s v="OK"/>
  </r>
  <r>
    <s v="LN-0019"/>
    <s v="CUST-1019"/>
    <x v="0"/>
    <n v="255800"/>
    <n v="0.1"/>
    <n v="25580"/>
    <n v="230220"/>
    <n v="0.1782"/>
    <n v="60"/>
    <n v="1.485E-2"/>
    <n v="5823.5552078236524"/>
    <n v="349413.31246941921"/>
    <n v="119193.31246941919"/>
    <n v="2302.1999999999998"/>
    <n v="74821.5"/>
    <x v="2"/>
    <n v="0"/>
    <n v="46674.012469419147"/>
    <x v="2"/>
    <s v="Sep-2025"/>
    <x v="1"/>
    <x v="1"/>
    <x v="1"/>
    <n v="121495.5124694191"/>
    <n v="74821.5"/>
    <n v="46674.012469419147"/>
    <n v="0.20273656706376139"/>
    <n v="0"/>
    <s v="OK"/>
  </r>
  <r>
    <s v="LN-0020"/>
    <s v="CUST-1020"/>
    <x v="3"/>
    <n v="67100"/>
    <n v="0.15"/>
    <n v="10065"/>
    <n v="57035"/>
    <n v="0.1885"/>
    <n v="6"/>
    <n v="1.5708333333333331E-2"/>
    <n v="10035.243212956349"/>
    <n v="60211.459277738097"/>
    <n v="3176.4592777380972"/>
    <n v="570.35"/>
    <n v="1853.6375"/>
    <x v="0"/>
    <n v="0"/>
    <n v="1893.171777738097"/>
    <x v="1"/>
    <s v="Dec-2025"/>
    <x v="0"/>
    <x v="1"/>
    <x v="2"/>
    <n v="3746.8092777380971"/>
    <n v="1853.6375"/>
    <n v="1893.171777738097"/>
    <n v="3.3193158196512612E-2"/>
    <n v="0"/>
    <s v="OK"/>
  </r>
  <r>
    <s v="LN-0021"/>
    <s v="CUST-1021"/>
    <x v="3"/>
    <n v="119500"/>
    <n v="0.15"/>
    <n v="17925"/>
    <n v="101575"/>
    <n v="0.192"/>
    <n v="12"/>
    <n v="1.6E-2"/>
    <n v="9370.5026329130233"/>
    <n v="112446.03159495629"/>
    <n v="10871.031594956279"/>
    <n v="1015.75"/>
    <n v="6602.375"/>
    <x v="0"/>
    <n v="0"/>
    <n v="5284.4065949562792"/>
    <x v="1"/>
    <s v="Apr-2025"/>
    <x v="1"/>
    <x v="1"/>
    <x v="2"/>
    <n v="11886.781594956279"/>
    <n v="6602.375"/>
    <n v="5284.4065949562792"/>
    <n v="5.2024677282365532E-2"/>
    <n v="0"/>
    <s v="OK"/>
  </r>
  <r>
    <s v="LN-0022"/>
    <s v="CUST-1022"/>
    <x v="3"/>
    <n v="10400"/>
    <n v="0"/>
    <n v="0"/>
    <n v="10400"/>
    <n v="0.18429999999999999"/>
    <n v="18"/>
    <n v="1.535833333333333E-2"/>
    <n v="665.71385155718531"/>
    <n v="11982.849328029341"/>
    <n v="1582.8493280293351"/>
    <n v="499"/>
    <n v="1014"/>
    <x v="1"/>
    <n v="4160"/>
    <n v="-3092.1506719706649"/>
    <x v="0"/>
    <s v="Apr-2025"/>
    <x v="0"/>
    <x v="1"/>
    <x v="0"/>
    <n v="2081.8493280293351"/>
    <n v="5174"/>
    <n v="-3092.1506719706649"/>
    <n v="-0.2973221799971793"/>
    <n v="0.4"/>
    <s v="OK"/>
  </r>
  <r>
    <s v="LN-0023"/>
    <s v="CUST-1023"/>
    <x v="3"/>
    <n v="11500"/>
    <n v="0"/>
    <n v="0"/>
    <n v="11500"/>
    <n v="0.16639999999999999"/>
    <n v="18"/>
    <n v="1.3866666666666669E-2"/>
    <n v="726.33243606329438"/>
    <n v="13073.9838491393"/>
    <n v="1573.9838491392979"/>
    <n v="499"/>
    <n v="1121.25"/>
    <x v="2"/>
    <n v="0"/>
    <n v="951.7338491392984"/>
    <x v="2"/>
    <s v="Apr-2025"/>
    <x v="0"/>
    <x v="1"/>
    <x v="0"/>
    <n v="2072.9838491392979"/>
    <n v="1121.25"/>
    <n v="951.7338491392984"/>
    <n v="8.2759465142547686E-2"/>
    <n v="0"/>
    <s v="OK"/>
  </r>
  <r>
    <s v="LN-0024"/>
    <s v="CUST-1024"/>
    <x v="1"/>
    <n v="115400"/>
    <n v="0.15"/>
    <n v="17310"/>
    <n v="98090"/>
    <n v="0.19059999999999999"/>
    <n v="24"/>
    <n v="1.5883333333333329E-2"/>
    <n v="4947.4411636903824"/>
    <n v="118738.58792856921"/>
    <n v="20648.587928569181"/>
    <n v="980.9"/>
    <n v="12751.7"/>
    <x v="2"/>
    <n v="0"/>
    <n v="8877.7879285691779"/>
    <x v="2"/>
    <s v="Jul-2025"/>
    <x v="0"/>
    <x v="1"/>
    <x v="0"/>
    <n v="21629.487928569179"/>
    <n v="12751.7"/>
    <n v="8877.7879285691779"/>
    <n v="9.0506554476186954E-2"/>
    <n v="0"/>
    <s v="OK"/>
  </r>
  <r>
    <s v="LN-0025"/>
    <s v="CUST-1025"/>
    <x v="3"/>
    <n v="18900"/>
    <n v="0.1"/>
    <n v="1890"/>
    <n v="17010"/>
    <n v="0.17449999999999999"/>
    <n v="12"/>
    <n v="1.454166666666667E-2"/>
    <n v="1555.0277313216341"/>
    <n v="18660.33277585961"/>
    <n v="1650.3327758596099"/>
    <n v="499"/>
    <n v="1105.6500000000001"/>
    <x v="0"/>
    <n v="0"/>
    <n v="1043.68277585961"/>
    <x v="0"/>
    <s v="Nov-2025"/>
    <x v="0"/>
    <x v="1"/>
    <x v="2"/>
    <n v="2149.3327758596101"/>
    <n v="1105.6500000000001"/>
    <n v="1043.68277585961"/>
    <n v="6.135701210226982E-2"/>
    <n v="0"/>
    <s v="OK"/>
  </r>
  <r>
    <s v="LN-0026"/>
    <s v="CUST-1026"/>
    <x v="0"/>
    <n v="215100"/>
    <n v="0.05"/>
    <n v="10755"/>
    <n v="204345"/>
    <n v="0.1048"/>
    <n v="36"/>
    <n v="8.7333333333333343E-3"/>
    <n v="6639.7848864820307"/>
    <n v="239032.25591335309"/>
    <n v="34687.255913353118"/>
    <n v="2043.45"/>
    <n v="39847.275000000001"/>
    <x v="2"/>
    <n v="0"/>
    <n v="-3116.5690866468872"/>
    <x v="1"/>
    <s v="Sep-2025"/>
    <x v="1"/>
    <x v="0"/>
    <x v="0"/>
    <n v="36730.705913353107"/>
    <n v="39847.275000000001"/>
    <n v="-3116.5690866468872"/>
    <n v="-1.525150645548894E-2"/>
    <n v="0"/>
    <s v="OK"/>
  </r>
  <r>
    <s v="LN-0027"/>
    <s v="CUST-1027"/>
    <x v="1"/>
    <n v="77700"/>
    <n v="0"/>
    <n v="0"/>
    <n v="77700"/>
    <n v="0.14230000000000001"/>
    <n v="9"/>
    <n v="1.185833333333333E-2"/>
    <n v="9153.2623825800601"/>
    <n v="82379.361443220536"/>
    <n v="4679.3614432205359"/>
    <n v="777"/>
    <n v="3787.875"/>
    <x v="0"/>
    <n v="0"/>
    <n v="1668.4864432205361"/>
    <x v="0"/>
    <s v="Jan-2025"/>
    <x v="0"/>
    <x v="0"/>
    <x v="2"/>
    <n v="5456.3614432205359"/>
    <n v="3787.875"/>
    <n v="1668.4864432205361"/>
    <n v="2.1473441997690291E-2"/>
    <n v="0"/>
    <s v="OK"/>
  </r>
  <r>
    <s v="LN-0028"/>
    <s v="CUST-1028"/>
    <x v="0"/>
    <n v="189700"/>
    <n v="0.1"/>
    <n v="18970"/>
    <n v="170730"/>
    <n v="0.1012"/>
    <n v="12"/>
    <n v="8.4333333333333326E-3"/>
    <n v="15019.409702000239"/>
    <n v="180232.91642400291"/>
    <n v="9502.9164240029349"/>
    <n v="1707.3"/>
    <n v="11097.45"/>
    <x v="2"/>
    <n v="0"/>
    <n v="112.7664240029335"/>
    <x v="2"/>
    <s v="Aug-2025"/>
    <x v="1"/>
    <x v="0"/>
    <x v="2"/>
    <n v="11210.216424002931"/>
    <n v="11097.45"/>
    <n v="112.7664240029335"/>
    <n v="6.6049565983092307E-4"/>
    <n v="0"/>
    <s v="OK"/>
  </r>
  <r>
    <s v="LN-0029"/>
    <s v="CUST-1029"/>
    <x v="3"/>
    <n v="52900"/>
    <n v="0"/>
    <n v="0"/>
    <n v="52900"/>
    <n v="0.1447"/>
    <n v="12"/>
    <n v="1.2058333333333331E-2"/>
    <n v="4761.4449295016684"/>
    <n v="57137.33915402001"/>
    <n v="4237.33915402001"/>
    <n v="529"/>
    <n v="3438.5"/>
    <x v="0"/>
    <n v="0"/>
    <n v="1327.83915402001"/>
    <x v="3"/>
    <s v="Aug-2025"/>
    <x v="0"/>
    <x v="0"/>
    <x v="2"/>
    <n v="4766.33915402001"/>
    <n v="3438.5"/>
    <n v="1327.83915402001"/>
    <n v="2.510092918752382E-2"/>
    <n v="0"/>
    <s v="OK"/>
  </r>
  <r>
    <s v="LN-0030"/>
    <s v="CUST-1030"/>
    <x v="3"/>
    <n v="86000"/>
    <n v="0.2"/>
    <n v="17200"/>
    <n v="68800"/>
    <n v="0.19839999999999999"/>
    <n v="18"/>
    <n v="1.653333333333333E-2"/>
    <n v="4450.4181999278653"/>
    <n v="80107.527598701578"/>
    <n v="11307.527598701579"/>
    <n v="688"/>
    <n v="6708"/>
    <x v="0"/>
    <n v="0"/>
    <n v="5287.5275987015784"/>
    <x v="1"/>
    <s v="Apr-2025"/>
    <x v="0"/>
    <x v="1"/>
    <x v="0"/>
    <n v="11995.527598701579"/>
    <n v="6708"/>
    <n v="5287.5275987015784"/>
    <n v="7.685359881833688E-2"/>
    <n v="0"/>
    <s v="OK"/>
  </r>
  <r>
    <s v="LN-0031"/>
    <s v="CUST-1031"/>
    <x v="3"/>
    <n v="116500"/>
    <n v="0"/>
    <n v="0"/>
    <n v="116500"/>
    <n v="0.18629999999999999"/>
    <n v="18"/>
    <n v="1.5525000000000001E-2"/>
    <n v="7468.4072533432436"/>
    <n v="134431.33056017841"/>
    <n v="17931.33056017838"/>
    <n v="1165"/>
    <n v="11358.75"/>
    <x v="0"/>
    <n v="0"/>
    <n v="7737.5805601783804"/>
    <x v="0"/>
    <s v="Jan-2025"/>
    <x v="1"/>
    <x v="1"/>
    <x v="0"/>
    <n v="19096.33056017838"/>
    <n v="11358.75"/>
    <n v="7737.5805601783804"/>
    <n v="6.641700051655261E-2"/>
    <n v="0"/>
    <s v="OK"/>
  </r>
  <r>
    <s v="LN-0032"/>
    <s v="CUST-1032"/>
    <x v="0"/>
    <n v="180700"/>
    <n v="0.05"/>
    <n v="9035"/>
    <n v="171665"/>
    <n v="0.16819999999999999"/>
    <n v="24"/>
    <n v="1.401666666666667E-2"/>
    <n v="8472.6665212539501"/>
    <n v="203343.99651009479"/>
    <n v="31678.996510094788"/>
    <n v="1716.65"/>
    <n v="22316.45"/>
    <x v="0"/>
    <n v="0"/>
    <n v="11079.196510094789"/>
    <x v="0"/>
    <s v="Mar-2025"/>
    <x v="1"/>
    <x v="1"/>
    <x v="0"/>
    <n v="33395.64651009479"/>
    <n v="22316.45"/>
    <n v="11079.196510094789"/>
    <n v="6.4539635395070571E-2"/>
    <n v="0"/>
    <s v="OK"/>
  </r>
  <r>
    <s v="LN-0033"/>
    <s v="CUST-1033"/>
    <x v="3"/>
    <n v="15600"/>
    <n v="0"/>
    <n v="0"/>
    <n v="15600"/>
    <n v="0.2089"/>
    <n v="12"/>
    <n v="1.7408333333333331E-2"/>
    <n v="1451.751424686099"/>
    <n v="17421.01709623319"/>
    <n v="1821.017096233194"/>
    <n v="499"/>
    <n v="1014"/>
    <x v="0"/>
    <n v="0"/>
    <n v="1306.017096233194"/>
    <x v="1"/>
    <s v="Oct-2025"/>
    <x v="0"/>
    <x v="1"/>
    <x v="2"/>
    <n v="2320.017096233194"/>
    <n v="1014"/>
    <n v="1306.017096233194"/>
    <n v="8.3719044630332945E-2"/>
    <n v="0"/>
    <s v="OK"/>
  </r>
  <r>
    <s v="LN-0034"/>
    <s v="CUST-1034"/>
    <x v="0"/>
    <n v="208700"/>
    <n v="0.25"/>
    <n v="52175"/>
    <n v="156525"/>
    <n v="0.13350000000000001"/>
    <n v="60"/>
    <n v="1.1124999999999999E-2"/>
    <n v="3589.531865774868"/>
    <n v="215371.9119464921"/>
    <n v="58846.911946492073"/>
    <n v="1565.25"/>
    <n v="50870.625"/>
    <x v="0"/>
    <n v="0"/>
    <n v="9541.5369464920659"/>
    <x v="3"/>
    <s v="Apr-2025"/>
    <x v="1"/>
    <x v="0"/>
    <x v="1"/>
    <n v="60412.161946492073"/>
    <n v="50870.625"/>
    <n v="9541.5369464920659"/>
    <n v="6.0958549410586593E-2"/>
    <n v="0"/>
    <s v="OK"/>
  </r>
  <r>
    <s v="LN-0035"/>
    <s v="CUST-1035"/>
    <x v="0"/>
    <n v="135400"/>
    <n v="0.15"/>
    <n v="20310"/>
    <n v="115090"/>
    <n v="0.1212"/>
    <n v="24"/>
    <n v="1.01E-2"/>
    <n v="5424.1377183432369"/>
    <n v="130179.30524023771"/>
    <n v="15089.30524023768"/>
    <n v="1150.9000000000001"/>
    <n v="14961.7"/>
    <x v="0"/>
    <n v="0"/>
    <n v="1278.5052402376771"/>
    <x v="0"/>
    <s v="Jan-2025"/>
    <x v="1"/>
    <x v="0"/>
    <x v="0"/>
    <n v="16240.205240237679"/>
    <n v="14961.7"/>
    <n v="1278.5052402376771"/>
    <n v="1.1108743072705511E-2"/>
    <n v="0"/>
    <s v="OK"/>
  </r>
  <r>
    <s v="LN-0036"/>
    <s v="CUST-1036"/>
    <x v="1"/>
    <n v="149800"/>
    <n v="0.2"/>
    <n v="29960"/>
    <n v="119840"/>
    <n v="0.19969999999999999"/>
    <n v="6"/>
    <n v="1.6641666666666669E-2"/>
    <n v="21152.694905536729"/>
    <n v="126916.1694332203"/>
    <n v="7076.1694332203479"/>
    <n v="1198.4000000000001"/>
    <n v="3894.8"/>
    <x v="2"/>
    <n v="0"/>
    <n v="4379.7694332203473"/>
    <x v="3"/>
    <s v="Mar-2025"/>
    <x v="1"/>
    <x v="1"/>
    <x v="2"/>
    <n v="8274.5694332203475"/>
    <n v="3894.8"/>
    <n v="4379.7694332203473"/>
    <n v="3.6546807687085667E-2"/>
    <n v="0"/>
    <s v="OK"/>
  </r>
  <r>
    <s v="LN-0037"/>
    <s v="CUST-1037"/>
    <x v="2"/>
    <n v="1369000"/>
    <n v="0.2"/>
    <n v="273800"/>
    <n v="1095200"/>
    <n v="0.1114"/>
    <n v="60"/>
    <n v="9.2833333333333327E-3"/>
    <n v="23888.839091580099"/>
    <n v="1433330.3454948061"/>
    <n v="338130.34549480613"/>
    <n v="10952"/>
    <n v="355940"/>
    <x v="2"/>
    <n v="0"/>
    <n v="-6857.654505193932"/>
    <x v="3"/>
    <s v="Oct-2025"/>
    <x v="2"/>
    <x v="0"/>
    <x v="1"/>
    <n v="349082.34549480613"/>
    <n v="355940"/>
    <n v="-6857.654505193932"/>
    <n v="-6.2615545153341234E-3"/>
    <n v="0"/>
    <s v="OK"/>
  </r>
  <r>
    <s v="LN-0038"/>
    <s v="CUST-1038"/>
    <x v="2"/>
    <n v="1287800"/>
    <n v="0.2"/>
    <n v="257560"/>
    <n v="1030240"/>
    <n v="0.1009"/>
    <n v="84"/>
    <n v="8.4083333333333336E-3"/>
    <n v="17151.150828383328"/>
    <n v="1440696.6695842"/>
    <n v="410456.66958419961"/>
    <n v="10302.4"/>
    <n v="468759.20000000013"/>
    <x v="0"/>
    <n v="0"/>
    <n v="-48000.130415800493"/>
    <x v="0"/>
    <s v="Mar-2025"/>
    <x v="2"/>
    <x v="0"/>
    <x v="1"/>
    <n v="420759.06958419958"/>
    <n v="468759.20000000013"/>
    <n v="-48000.130415800493"/>
    <n v="-4.6591212160079692E-2"/>
    <n v="0"/>
    <s v="OK"/>
  </r>
  <r>
    <s v="LN-0039"/>
    <s v="CUST-1039"/>
    <x v="3"/>
    <n v="107600"/>
    <n v="0.05"/>
    <n v="5380"/>
    <n v="102220"/>
    <n v="0.19939999999999999"/>
    <n v="6"/>
    <n v="1.6616666666666668E-2"/>
    <n v="18041.095944670891"/>
    <n v="108246.5756680253"/>
    <n v="6026.5756680253253"/>
    <n v="1022.2"/>
    <n v="3322.15"/>
    <x v="2"/>
    <n v="0"/>
    <n v="3726.625668025325"/>
    <x v="1"/>
    <s v="Dec-2025"/>
    <x v="1"/>
    <x v="1"/>
    <x v="2"/>
    <n v="7048.7756680253251"/>
    <n v="3322.15"/>
    <n v="3726.625668025325"/>
    <n v="3.6456913207056588E-2"/>
    <n v="0"/>
    <s v="OK"/>
  </r>
  <r>
    <s v="LN-0040"/>
    <s v="CUST-1040"/>
    <x v="1"/>
    <n v="110900"/>
    <n v="0.15"/>
    <n v="16635"/>
    <n v="94265"/>
    <n v="0.18820000000000001"/>
    <n v="24"/>
    <n v="1.568333333333333E-2"/>
    <n v="4743.5285958850463"/>
    <n v="113844.6863012411"/>
    <n v="19579.686301241101"/>
    <n v="942.65"/>
    <n v="12254.45"/>
    <x v="2"/>
    <n v="0"/>
    <n v="8267.8863012411057"/>
    <x v="0"/>
    <s v="Feb-2025"/>
    <x v="0"/>
    <x v="1"/>
    <x v="0"/>
    <n v="20522.33630124111"/>
    <n v="12254.45"/>
    <n v="8267.8863012411057"/>
    <n v="8.770897259047479E-2"/>
    <n v="0"/>
    <s v="OK"/>
  </r>
  <r>
    <s v="LN-0041"/>
    <s v="CUST-1041"/>
    <x v="0"/>
    <n v="259000"/>
    <n v="0.1"/>
    <n v="25900"/>
    <n v="233100"/>
    <n v="0.10349999999999999"/>
    <n v="36"/>
    <n v="8.624999999999999E-3"/>
    <n v="7559.8431914680777"/>
    <n v="272154.3548928508"/>
    <n v="39054.354892850803"/>
    <n v="2331"/>
    <n v="45454.5"/>
    <x v="0"/>
    <n v="0"/>
    <n v="-4069.1451071492052"/>
    <x v="3"/>
    <s v="Mar-2025"/>
    <x v="1"/>
    <x v="0"/>
    <x v="0"/>
    <n v="41385.354892850803"/>
    <n v="45454.5"/>
    <n v="-4069.1451071492052"/>
    <n v="-1.7456649966320049E-2"/>
    <n v="0"/>
    <s v="OK"/>
  </r>
  <r>
    <s v="LN-0042"/>
    <s v="CUST-1042"/>
    <x v="0"/>
    <n v="192400"/>
    <n v="0.05"/>
    <n v="9620"/>
    <n v="182780"/>
    <n v="0.13420000000000001"/>
    <n v="12"/>
    <n v="1.118333333333334E-2"/>
    <n v="16361.450148083301"/>
    <n v="196337.40177699961"/>
    <n v="13557.401776999641"/>
    <n v="1827.8"/>
    <n v="11880.7"/>
    <x v="1"/>
    <n v="73112"/>
    <n v="-69607.498223000352"/>
    <x v="1"/>
    <s v="Sep-2025"/>
    <x v="1"/>
    <x v="0"/>
    <x v="2"/>
    <n v="15385.20177699964"/>
    <n v="84992.7"/>
    <n v="-69607.498223000352"/>
    <n v="-0.38082666715724012"/>
    <n v="0.4"/>
    <s v="OK"/>
  </r>
  <r>
    <s v="LN-0043"/>
    <s v="CUST-1043"/>
    <x v="3"/>
    <n v="49400"/>
    <n v="0"/>
    <n v="0"/>
    <n v="49400"/>
    <n v="0.1842"/>
    <n v="12"/>
    <n v="1.5350000000000001E-2"/>
    <n v="4538.8717581378933"/>
    <n v="54466.461097654719"/>
    <n v="5066.4610976547192"/>
    <n v="499"/>
    <n v="3211"/>
    <x v="1"/>
    <n v="19760"/>
    <n v="-17405.538902345281"/>
    <x v="3"/>
    <s v="Jan-2025"/>
    <x v="0"/>
    <x v="1"/>
    <x v="2"/>
    <n v="5565.4610976547192"/>
    <n v="22971"/>
    <n v="-17405.538902345281"/>
    <n v="-0.35233884417702999"/>
    <n v="0.4"/>
    <s v="OK"/>
  </r>
  <r>
    <s v="LN-0044"/>
    <s v="CUST-1044"/>
    <x v="2"/>
    <n v="631100"/>
    <n v="0.2"/>
    <n v="126220"/>
    <n v="504880"/>
    <n v="9.2499999999999999E-2"/>
    <n v="36"/>
    <n v="7.7083333333333344E-3"/>
    <n v="16113.857902590569"/>
    <n v="580098.88449326053"/>
    <n v="75218.884493260528"/>
    <n v="5048.8"/>
    <n v="98451.6"/>
    <x v="0"/>
    <n v="0"/>
    <n v="-18183.915506739471"/>
    <x v="2"/>
    <s v="Oct-2025"/>
    <x v="2"/>
    <x v="2"/>
    <x v="0"/>
    <n v="80267.684493260531"/>
    <n v="98451.6"/>
    <n v="-18183.915506739471"/>
    <n v="-3.6016311810211289E-2"/>
    <n v="0"/>
    <s v="OK"/>
  </r>
  <r>
    <s v="LN-0045"/>
    <s v="CUST-1045"/>
    <x v="0"/>
    <n v="282200"/>
    <n v="0.1"/>
    <n v="28220"/>
    <n v="253980"/>
    <n v="0.11890000000000001"/>
    <n v="24"/>
    <n v="9.9083333333333332E-3"/>
    <n v="11942.67788732219"/>
    <n v="286624.26929573261"/>
    <n v="32644.269295732611"/>
    <n v="2539.8000000000002"/>
    <n v="33017.4"/>
    <x v="0"/>
    <n v="0"/>
    <n v="2166.669295732609"/>
    <x v="0"/>
    <s v="Mar-2025"/>
    <x v="3"/>
    <x v="0"/>
    <x v="0"/>
    <n v="35184.06929573261"/>
    <n v="33017.4"/>
    <n v="2166.669295732609"/>
    <n v="8.5308657994039236E-3"/>
    <n v="0"/>
    <s v="OK"/>
  </r>
  <r>
    <s v="LN-0046"/>
    <s v="CUST-1046"/>
    <x v="0"/>
    <n v="139700"/>
    <n v="0.15"/>
    <n v="20955"/>
    <n v="118745"/>
    <n v="0.17449999999999999"/>
    <n v="24"/>
    <n v="1.454166666666667E-2"/>
    <n v="5896.7293803866496"/>
    <n v="141521.5051292796"/>
    <n v="22776.505129279602"/>
    <n v="1187.45"/>
    <n v="15436.85"/>
    <x v="2"/>
    <n v="0"/>
    <n v="8527.1051292795983"/>
    <x v="0"/>
    <s v="Jul-2025"/>
    <x v="1"/>
    <x v="1"/>
    <x v="0"/>
    <n v="23963.955129279599"/>
    <n v="15436.85"/>
    <n v="8527.1051292795983"/>
    <n v="7.1810224677077761E-2"/>
    <n v="0"/>
    <s v="OK"/>
  </r>
  <r>
    <s v="LN-0047"/>
    <s v="CUST-1047"/>
    <x v="2"/>
    <n v="1344500"/>
    <n v="0.2"/>
    <n v="268900"/>
    <n v="1075600"/>
    <n v="9.1700000000000004E-2"/>
    <n v="72"/>
    <n v="7.6416666666666673E-3"/>
    <n v="19479.143178410661"/>
    <n v="1402498.308845568"/>
    <n v="326898.30884556769"/>
    <n v="10756"/>
    <n v="419484"/>
    <x v="0"/>
    <n v="0"/>
    <n v="-81829.69115443225"/>
    <x v="1"/>
    <s v="Apr-2025"/>
    <x v="2"/>
    <x v="2"/>
    <x v="1"/>
    <n v="337654.30884556769"/>
    <n v="419484"/>
    <n v="-81829.69115443225"/>
    <n v="-7.6078180693968253E-2"/>
    <n v="0"/>
    <s v="OK"/>
  </r>
  <r>
    <s v="LN-0048"/>
    <s v="CUST-1048"/>
    <x v="3"/>
    <n v="29600"/>
    <n v="0.05"/>
    <n v="1480"/>
    <n v="28120"/>
    <n v="0.1663"/>
    <n v="3"/>
    <n v="1.385833333333333E-2"/>
    <n v="9634.3227318415902"/>
    <n v="28902.968195524769"/>
    <n v="782.96819552477245"/>
    <n v="499"/>
    <n v="456.95"/>
    <x v="0"/>
    <n v="0"/>
    <n v="825.01819552477241"/>
    <x v="2"/>
    <s v="Nov-2025"/>
    <x v="0"/>
    <x v="1"/>
    <x v="2"/>
    <n v="1281.968195524772"/>
    <n v="456.95"/>
    <n v="825.01819552477241"/>
    <n v="2.9339196142417229E-2"/>
    <n v="0"/>
    <s v="OK"/>
  </r>
  <r>
    <s v="LN-0049"/>
    <s v="CUST-1049"/>
    <x v="2"/>
    <n v="989800"/>
    <n v="0.2"/>
    <n v="197960"/>
    <n v="791840"/>
    <n v="0.1132"/>
    <n v="36"/>
    <n v="9.4333333333333335E-3"/>
    <n v="26043.986100512451"/>
    <n v="937583.49961844832"/>
    <n v="145743.49961844829"/>
    <n v="7918.4000000000005"/>
    <n v="154408.79999999999"/>
    <x v="2"/>
    <n v="0"/>
    <n v="-746.90038155167713"/>
    <x v="3"/>
    <s v="Jan-2025"/>
    <x v="2"/>
    <x v="0"/>
    <x v="0"/>
    <n v="153661.89961844831"/>
    <n v="154408.79999999999"/>
    <n v="-746.90038155167713"/>
    <n v="-9.4324659217983069E-4"/>
    <n v="0"/>
    <s v="OK"/>
  </r>
  <r>
    <s v="LN-0050"/>
    <s v="CUST-1050"/>
    <x v="3"/>
    <n v="56700"/>
    <n v="0.1"/>
    <n v="5670"/>
    <n v="51030"/>
    <n v="0.1983"/>
    <n v="9"/>
    <n v="1.6525000000000001E-2"/>
    <n v="6148.7178923806778"/>
    <n v="55338.461031426101"/>
    <n v="4308.4610314261008"/>
    <n v="510.3"/>
    <n v="2487.7125000000001"/>
    <x v="0"/>
    <n v="0"/>
    <n v="2331.0485314261009"/>
    <x v="0"/>
    <s v="Jul-2025"/>
    <x v="0"/>
    <x v="1"/>
    <x v="2"/>
    <n v="4818.761031426101"/>
    <n v="2487.7125000000001"/>
    <n v="2331.0485314261009"/>
    <n v="4.5679963382835607E-2"/>
    <n v="0"/>
    <s v="OK"/>
  </r>
  <r>
    <s v="LN-0051"/>
    <s v="CUST-1051"/>
    <x v="2"/>
    <n v="609100"/>
    <n v="0.1"/>
    <n v="60910"/>
    <n v="548190"/>
    <n v="8.6300000000000002E-2"/>
    <n v="72"/>
    <n v="7.1916666666666674E-3"/>
    <n v="9781.0534068032357"/>
    <n v="704235.84528983291"/>
    <n v="156045.84528983291"/>
    <n v="5481.9000000000005"/>
    <n v="213794.1"/>
    <x v="0"/>
    <n v="0"/>
    <n v="-52266.35471016707"/>
    <x v="1"/>
    <s v="Jun-2025"/>
    <x v="2"/>
    <x v="2"/>
    <x v="1"/>
    <n v="161527.74528983291"/>
    <n v="213794.1"/>
    <n v="-52266.35471016707"/>
    <n v="-9.5343502636252159E-2"/>
    <n v="0"/>
    <s v="OK"/>
  </r>
  <r>
    <s v="LN-0052"/>
    <s v="CUST-1052"/>
    <x v="1"/>
    <n v="143600"/>
    <n v="0.1"/>
    <n v="14360"/>
    <n v="129240"/>
    <n v="0.19370000000000001"/>
    <n v="24"/>
    <n v="1.6141666666666669E-2"/>
    <n v="6538.0661393901119"/>
    <n v="156913.5873453627"/>
    <n v="27673.587345362699"/>
    <n v="1292.4000000000001"/>
    <n v="16801.2"/>
    <x v="0"/>
    <n v="0"/>
    <n v="12164.7873453627"/>
    <x v="0"/>
    <s v="Dec-2025"/>
    <x v="1"/>
    <x v="1"/>
    <x v="0"/>
    <n v="28965.987345362701"/>
    <n v="16801.2"/>
    <n v="12164.7873453627"/>
    <n v="9.4125559775322651E-2"/>
    <n v="0"/>
    <s v="OK"/>
  </r>
  <r>
    <s v="LN-0053"/>
    <s v="CUST-1053"/>
    <x v="2"/>
    <n v="957800"/>
    <n v="0.25"/>
    <n v="239450"/>
    <n v="718350"/>
    <n v="0.105"/>
    <n v="60"/>
    <n v="8.7499999999999991E-3"/>
    <n v="15440.14333662068"/>
    <n v="926408.60019724059"/>
    <n v="208058.60019724059"/>
    <n v="7183.5"/>
    <n v="233463.75"/>
    <x v="0"/>
    <n v="0"/>
    <n v="-18221.64980275941"/>
    <x v="1"/>
    <s v="Apr-2025"/>
    <x v="2"/>
    <x v="0"/>
    <x v="1"/>
    <n v="215242.10019724059"/>
    <n v="233463.75"/>
    <n v="-18221.64980275941"/>
    <n v="-2.5365977312952471E-2"/>
    <n v="0"/>
    <s v="OK"/>
  </r>
  <r>
    <s v="LN-0054"/>
    <s v="CUST-1054"/>
    <x v="1"/>
    <n v="142500"/>
    <n v="0.2"/>
    <n v="28500"/>
    <n v="114000"/>
    <n v="0.17419999999999999"/>
    <n v="9"/>
    <n v="1.4516666666666671E-2"/>
    <n v="13603.717897404391"/>
    <n v="122433.46107663951"/>
    <n v="8433.4610766395053"/>
    <n v="1140"/>
    <n v="5557.5"/>
    <x v="0"/>
    <n v="0"/>
    <n v="4015.9610766395049"/>
    <x v="2"/>
    <s v="Sep-2025"/>
    <x v="1"/>
    <x v="1"/>
    <x v="2"/>
    <n v="9573.4610766395053"/>
    <n v="5557.5"/>
    <n v="4015.9610766395049"/>
    <n v="3.5227728742451801E-2"/>
    <n v="0"/>
    <s v="OK"/>
  </r>
  <r>
    <s v="LN-0055"/>
    <s v="CUST-1055"/>
    <x v="2"/>
    <n v="734300"/>
    <n v="0.3"/>
    <n v="220290"/>
    <n v="514010"/>
    <n v="9.1300000000000006E-2"/>
    <n v="84"/>
    <n v="7.6083333333333341E-3"/>
    <n v="8303.8990566053308"/>
    <n v="697527.52075484779"/>
    <n v="183517.52075484779"/>
    <n v="5140.1000000000004"/>
    <n v="233874.55"/>
    <x v="0"/>
    <n v="0"/>
    <n v="-45216.92924515222"/>
    <x v="2"/>
    <s v="Aug-2025"/>
    <x v="2"/>
    <x v="2"/>
    <x v="1"/>
    <n v="188657.6207548478"/>
    <n v="233874.55"/>
    <n v="-45216.92924515222"/>
    <n v="-8.796896800675516E-2"/>
    <n v="0"/>
    <s v="OK"/>
  </r>
  <r>
    <s v="LN-0056"/>
    <s v="CUST-1056"/>
    <x v="1"/>
    <n v="51700"/>
    <n v="0.05"/>
    <n v="2585"/>
    <n v="49115"/>
    <n v="0.15790000000000001"/>
    <n v="36"/>
    <n v="1.3158333333333329E-2"/>
    <n v="1721.6498813723181"/>
    <n v="61979.395729403434"/>
    <n v="12864.39572940343"/>
    <n v="499"/>
    <n v="9577.4249999999993"/>
    <x v="0"/>
    <n v="0"/>
    <n v="3785.9707294034338"/>
    <x v="3"/>
    <s v="Sep-2025"/>
    <x v="0"/>
    <x v="1"/>
    <x v="0"/>
    <n v="13363.39572940343"/>
    <n v="9577.4249999999993"/>
    <n v="3785.9707294034338"/>
    <n v="7.708379780929317E-2"/>
    <n v="0"/>
    <s v="OK"/>
  </r>
  <r>
    <s v="LN-0057"/>
    <s v="CUST-1057"/>
    <x v="0"/>
    <n v="208600"/>
    <n v="0.15"/>
    <n v="31290"/>
    <n v="177310"/>
    <n v="0.1075"/>
    <n v="24"/>
    <n v="8.9583333333333338E-3"/>
    <n v="8243.470775499607"/>
    <n v="197843.29861199061"/>
    <n v="20533.29861199058"/>
    <n v="1773.1"/>
    <n v="23050.3"/>
    <x v="2"/>
    <n v="0"/>
    <n v="-743.90138800941713"/>
    <x v="1"/>
    <s v="Mar-2025"/>
    <x v="1"/>
    <x v="0"/>
    <x v="0"/>
    <n v="22306.398611990579"/>
    <n v="23050.3"/>
    <n v="-743.90138800941713"/>
    <n v="-4.1954846766082974E-3"/>
    <n v="0"/>
    <s v="OK"/>
  </r>
  <r>
    <s v="LN-0058"/>
    <s v="CUST-1058"/>
    <x v="3"/>
    <n v="35400"/>
    <n v="0.1"/>
    <n v="3540"/>
    <n v="31860"/>
    <n v="0.17799999999999999"/>
    <n v="3"/>
    <n v="1.483333333333333E-2"/>
    <n v="10936.60630013035"/>
    <n v="32809.818900391052"/>
    <n v="949.81890039105201"/>
    <n v="499"/>
    <n v="517.72500000000002"/>
    <x v="0"/>
    <n v="0"/>
    <n v="931.09390039105199"/>
    <x v="1"/>
    <s v="Dec-2025"/>
    <x v="0"/>
    <x v="1"/>
    <x v="2"/>
    <n v="1448.818900391052"/>
    <n v="517.72500000000002"/>
    <n v="931.09390039105199"/>
    <n v="2.9224541757409041E-2"/>
    <n v="0"/>
    <s v="OK"/>
  </r>
  <r>
    <s v="LN-0059"/>
    <s v="CUST-1059"/>
    <x v="0"/>
    <n v="178700"/>
    <n v="0.05"/>
    <n v="8935"/>
    <n v="169765"/>
    <n v="0.1195"/>
    <n v="12"/>
    <n v="9.9583333333333329E-3"/>
    <n v="15079.44401878805"/>
    <n v="180953.32822545659"/>
    <n v="11188.328225456609"/>
    <n v="1697.65"/>
    <n v="11034.725"/>
    <x v="0"/>
    <n v="0"/>
    <n v="1851.253225456614"/>
    <x v="1"/>
    <s v="Mar-2025"/>
    <x v="1"/>
    <x v="0"/>
    <x v="2"/>
    <n v="12885.978225456611"/>
    <n v="11034.725"/>
    <n v="1851.253225456614"/>
    <n v="1.0904799136786819E-2"/>
    <n v="0"/>
    <s v="OK"/>
  </r>
  <r>
    <s v="LN-0060"/>
    <s v="CUST-1060"/>
    <x v="2"/>
    <n v="1165500"/>
    <n v="0.15"/>
    <n v="174825"/>
    <n v="990675"/>
    <n v="9.8900000000000002E-2"/>
    <n v="84"/>
    <n v="8.2416666666666662E-3"/>
    <n v="16390.126317507838"/>
    <n v="1376770.610670659"/>
    <n v="386095.61067065882"/>
    <n v="9906.75"/>
    <n v="450757.125"/>
    <x v="0"/>
    <n v="0"/>
    <n v="-54754.76432934124"/>
    <x v="0"/>
    <s v="Aug-2025"/>
    <x v="2"/>
    <x v="2"/>
    <x v="1"/>
    <n v="396002.36067065882"/>
    <n v="450757.125"/>
    <n v="-54754.76432934124"/>
    <n v="-5.5270158557893599E-2"/>
    <n v="0"/>
    <s v="OK"/>
  </r>
  <r>
    <s v="LN-0061"/>
    <s v="CUST-1061"/>
    <x v="3"/>
    <n v="60000"/>
    <n v="0.15"/>
    <n v="9000"/>
    <n v="51000"/>
    <n v="0.1825"/>
    <n v="18"/>
    <n v="1.5208333333333331E-2"/>
    <n v="3260.1759527685472"/>
    <n v="58683.16714983384"/>
    <n v="7683.1671498338401"/>
    <n v="510"/>
    <n v="4972.5"/>
    <x v="2"/>
    <n v="0"/>
    <n v="3220.6671498338401"/>
    <x v="2"/>
    <s v="Oct-2025"/>
    <x v="0"/>
    <x v="1"/>
    <x v="0"/>
    <n v="8193.1671498338401"/>
    <n v="4972.5"/>
    <n v="3220.6671498338401"/>
    <n v="6.3150336271251772E-2"/>
    <n v="0"/>
    <s v="OK"/>
  </r>
  <r>
    <s v="LN-0062"/>
    <s v="CUST-1062"/>
    <x v="2"/>
    <n v="1381200"/>
    <n v="0.25"/>
    <n v="345300"/>
    <n v="1035900"/>
    <n v="9.7799999999999998E-2"/>
    <n v="84"/>
    <n v="8.1499999999999993E-3"/>
    <n v="17079.642132790399"/>
    <n v="1434689.939154393"/>
    <n v="398789.93915439327"/>
    <n v="10359"/>
    <n v="471334.5"/>
    <x v="0"/>
    <n v="0"/>
    <n v="-62185.560845606728"/>
    <x v="2"/>
    <s v="Aug-2025"/>
    <x v="2"/>
    <x v="2"/>
    <x v="1"/>
    <n v="409148.93915439327"/>
    <n v="471334.5"/>
    <n v="-62185.560845606728"/>
    <n v="-6.003046707752363E-2"/>
    <n v="0"/>
    <s v="OK"/>
  </r>
  <r>
    <s v="LN-0063"/>
    <s v="CUST-1063"/>
    <x v="3"/>
    <n v="35700"/>
    <n v="0.1"/>
    <n v="3570"/>
    <n v="32130"/>
    <n v="0.191"/>
    <n v="18"/>
    <n v="1.5916666666666669E-2"/>
    <n v="2066.9667914693191"/>
    <n v="37205.402246447738"/>
    <n v="5075.4022464477384"/>
    <n v="499"/>
    <n v="3132.6750000000002"/>
    <x v="0"/>
    <n v="0"/>
    <n v="2441.7272464477378"/>
    <x v="3"/>
    <s v="Aug-2025"/>
    <x v="0"/>
    <x v="1"/>
    <x v="0"/>
    <n v="5574.4022464477384"/>
    <n v="3132.6750000000002"/>
    <n v="2441.7272464477378"/>
    <n v="7.5995245765569194E-2"/>
    <n v="0"/>
    <s v="OK"/>
  </r>
  <r>
    <s v="LN-0064"/>
    <s v="CUST-1064"/>
    <x v="3"/>
    <n v="40000"/>
    <n v="0.15"/>
    <n v="6000"/>
    <n v="34000"/>
    <n v="0.16170000000000001"/>
    <n v="9"/>
    <n v="1.3475000000000001E-2"/>
    <n v="4036.8469227749501"/>
    <n v="36331.622304974553"/>
    <n v="2331.6223049745531"/>
    <n v="499"/>
    <n v="1657.5"/>
    <x v="1"/>
    <n v="13600"/>
    <n v="-12426.877695025451"/>
    <x v="1"/>
    <s v="Apr-2025"/>
    <x v="0"/>
    <x v="1"/>
    <x v="2"/>
    <n v="2830.6223049745531"/>
    <n v="15257.5"/>
    <n v="-12426.877695025451"/>
    <n v="-0.36549640279486612"/>
    <n v="0.4"/>
    <s v="OK"/>
  </r>
  <r>
    <s v="LN-0065"/>
    <s v="CUST-1065"/>
    <x v="1"/>
    <n v="44100"/>
    <n v="0.15"/>
    <n v="6615"/>
    <n v="37485"/>
    <n v="0.1371"/>
    <n v="18"/>
    <n v="1.1424999999999999E-2"/>
    <n v="2315.799539934012"/>
    <n v="41684.391718812207"/>
    <n v="4199.3917188122141"/>
    <n v="499"/>
    <n v="3654.7874999999999"/>
    <x v="0"/>
    <n v="0"/>
    <n v="1043.604218812214"/>
    <x v="2"/>
    <s v="Jul-2025"/>
    <x v="0"/>
    <x v="0"/>
    <x v="0"/>
    <n v="4698.3917188122141"/>
    <n v="3654.7874999999999"/>
    <n v="1043.604218812214"/>
    <n v="2.7840582067819489E-2"/>
    <n v="0"/>
    <s v="OK"/>
  </r>
  <r>
    <s v="LN-0066"/>
    <s v="CUST-1066"/>
    <x v="3"/>
    <n v="101300"/>
    <n v="0.2"/>
    <n v="20260"/>
    <n v="81040"/>
    <n v="0.17119999999999999"/>
    <n v="18"/>
    <n v="1.4266666666666671E-2"/>
    <n v="5136.8882222263583"/>
    <n v="92463.988000074445"/>
    <n v="11423.988000074451"/>
    <n v="810.4"/>
    <n v="7901.4000000000005"/>
    <x v="1"/>
    <n v="32416"/>
    <n v="-28083.011999925551"/>
    <x v="2"/>
    <s v="Aug-2025"/>
    <x v="0"/>
    <x v="1"/>
    <x v="0"/>
    <n v="12234.388000074439"/>
    <n v="40317.4"/>
    <n v="-28083.011999925551"/>
    <n v="-0.34653272457953549"/>
    <n v="0.4"/>
    <s v="OK"/>
  </r>
  <r>
    <s v="LN-0067"/>
    <s v="CUST-1067"/>
    <x v="3"/>
    <n v="47400"/>
    <n v="0.15"/>
    <n v="7110"/>
    <n v="40290"/>
    <n v="0.20030000000000001"/>
    <n v="12"/>
    <n v="1.6691666666666671E-2"/>
    <n v="3732.8227484513759"/>
    <n v="44793.872981416513"/>
    <n v="4503.8729814165126"/>
    <n v="499"/>
    <n v="2618.85"/>
    <x v="0"/>
    <n v="0"/>
    <n v="2384.0229814165132"/>
    <x v="1"/>
    <s v="Aug-2025"/>
    <x v="0"/>
    <x v="1"/>
    <x v="2"/>
    <n v="5002.8729814165126"/>
    <n v="2618.85"/>
    <n v="2384.0229814165132"/>
    <n v="5.9171580576235117E-2"/>
    <n v="0"/>
    <s v="OK"/>
  </r>
  <r>
    <s v="LN-0068"/>
    <s v="CUST-1068"/>
    <x v="3"/>
    <n v="56800"/>
    <n v="0.2"/>
    <n v="11360"/>
    <n v="45440"/>
    <n v="0.14230000000000001"/>
    <n v="9"/>
    <n v="1.185833333333333E-2"/>
    <n v="5352.9503560416724"/>
    <n v="48176.553204375043"/>
    <n v="2736.5532043750432"/>
    <n v="499"/>
    <n v="2215.1999999999998"/>
    <x v="0"/>
    <n v="0"/>
    <n v="1020.353204375043"/>
    <x v="2"/>
    <s v="Dec-2025"/>
    <x v="0"/>
    <x v="0"/>
    <x v="2"/>
    <n v="3235.5532043750432"/>
    <n v="2215.1999999999998"/>
    <n v="1020.353204375043"/>
    <n v="2.2454956082197251E-2"/>
    <n v="0"/>
    <s v="OK"/>
  </r>
  <r>
    <s v="LN-0069"/>
    <s v="CUST-1069"/>
    <x v="3"/>
    <n v="60300"/>
    <n v="0.15"/>
    <n v="9045"/>
    <n v="51255"/>
    <n v="0.1502"/>
    <n v="18"/>
    <n v="1.2516666666666671E-2"/>
    <n v="3198.0147329136971"/>
    <n v="57564.265192446539"/>
    <n v="6309.265192446539"/>
    <n v="512.54999999999995"/>
    <n v="4997.3625000000002"/>
    <x v="1"/>
    <n v="20502"/>
    <n v="-18677.547307553461"/>
    <x v="2"/>
    <s v="Oct-2025"/>
    <x v="0"/>
    <x v="1"/>
    <x v="0"/>
    <n v="6821.8151924465392"/>
    <n v="25499.362499999999"/>
    <n v="-18677.547307553461"/>
    <n v="-0.36440439581608552"/>
    <n v="0.4"/>
    <s v="OK"/>
  </r>
  <r>
    <s v="LN-0070"/>
    <s v="CUST-1070"/>
    <x v="0"/>
    <n v="66500"/>
    <n v="0.2"/>
    <n v="13300"/>
    <n v="53200"/>
    <n v="0.15140000000000001"/>
    <n v="24"/>
    <n v="1.261666666666667E-2"/>
    <n v="2583.0297367625471"/>
    <n v="61992.713682301131"/>
    <n v="8792.7136823011315"/>
    <n v="532"/>
    <n v="6916"/>
    <x v="2"/>
    <n v="0"/>
    <n v="2408.713682301131"/>
    <x v="3"/>
    <s v="Jul-2025"/>
    <x v="0"/>
    <x v="1"/>
    <x v="0"/>
    <n v="9324.7136823011315"/>
    <n v="6916"/>
    <n v="2408.713682301131"/>
    <n v="4.5276572975585183E-2"/>
    <n v="0"/>
    <s v="OK"/>
  </r>
  <r>
    <s v="LN-0071"/>
    <s v="CUST-1071"/>
    <x v="1"/>
    <n v="81800"/>
    <n v="0.1"/>
    <n v="8180"/>
    <n v="73620"/>
    <n v="0.14699999999999999"/>
    <n v="18"/>
    <n v="1.225E-2"/>
    <n v="4582.3804678703491"/>
    <n v="82482.848421666276"/>
    <n v="8862.8484216662764"/>
    <n v="736.2"/>
    <n v="7177.9500000000007"/>
    <x v="0"/>
    <n v="0"/>
    <n v="2421.098421666276"/>
    <x v="2"/>
    <s v="May-2025"/>
    <x v="0"/>
    <x v="0"/>
    <x v="0"/>
    <n v="9599.0484216662771"/>
    <n v="7177.9500000000007"/>
    <n v="2421.098421666276"/>
    <n v="3.2886422462187953E-2"/>
    <n v="0"/>
    <s v="OK"/>
  </r>
  <r>
    <s v="LN-0072"/>
    <s v="CUST-1072"/>
    <x v="2"/>
    <n v="917300"/>
    <n v="0.2"/>
    <n v="183460"/>
    <n v="733840"/>
    <n v="0.1075"/>
    <n v="36"/>
    <n v="8.9583333333333338E-3"/>
    <n v="23938.193410823402"/>
    <n v="861774.96278964251"/>
    <n v="127934.96278964249"/>
    <n v="7338.4000000000005"/>
    <n v="143098.79999999999"/>
    <x v="2"/>
    <n v="0"/>
    <n v="-7825.437210357486"/>
    <x v="0"/>
    <s v="Nov-2025"/>
    <x v="2"/>
    <x v="0"/>
    <x v="0"/>
    <n v="135273.3627896425"/>
    <n v="143098.79999999999"/>
    <n v="-7825.437210357486"/>
    <n v="-1.06636831057962E-2"/>
    <n v="0"/>
    <s v="OK"/>
  </r>
  <r>
    <s v="LN-0073"/>
    <s v="CUST-1073"/>
    <x v="3"/>
    <n v="11500"/>
    <n v="0.15"/>
    <n v="1725"/>
    <n v="9775"/>
    <n v="0.1598"/>
    <n v="3"/>
    <n v="1.3316666666666669E-2"/>
    <n v="3345.4962656629659"/>
    <n v="10036.488796988901"/>
    <n v="261.48879698889868"/>
    <n v="499"/>
    <n v="158.84375"/>
    <x v="2"/>
    <n v="0"/>
    <n v="601.64504698889868"/>
    <x v="1"/>
    <s v="Aug-2025"/>
    <x v="0"/>
    <x v="1"/>
    <x v="2"/>
    <n v="760.48879698889868"/>
    <n v="158.84375"/>
    <n v="601.64504698889868"/>
    <n v="6.1549365420859203E-2"/>
    <n v="0"/>
    <s v="OK"/>
  </r>
  <r>
    <s v="LN-0074"/>
    <s v="CUST-1074"/>
    <x v="0"/>
    <n v="195400"/>
    <n v="0.15"/>
    <n v="29310"/>
    <n v="166090"/>
    <n v="0.1174"/>
    <n v="36"/>
    <n v="9.7833333333333331E-3"/>
    <n v="5495.9622139232924"/>
    <n v="197854.63970123851"/>
    <n v="31764.639701238539"/>
    <n v="1660.9"/>
    <n v="32387.55"/>
    <x v="2"/>
    <n v="0"/>
    <n v="1037.9897012385411"/>
    <x v="0"/>
    <s v="Mar-2025"/>
    <x v="1"/>
    <x v="0"/>
    <x v="0"/>
    <n v="33425.539701238537"/>
    <n v="32387.55"/>
    <n v="1037.9897012385411"/>
    <n v="6.2495616908816963E-3"/>
    <n v="0"/>
    <s v="OK"/>
  </r>
  <r>
    <s v="LN-0075"/>
    <s v="CUST-1075"/>
    <x v="2"/>
    <n v="518900"/>
    <n v="0.3"/>
    <n v="155670"/>
    <n v="363230"/>
    <n v="8.5800000000000001E-2"/>
    <n v="60"/>
    <n v="7.1500000000000001E-3"/>
    <n v="7466.2325737508972"/>
    <n v="447973.95442505379"/>
    <n v="84743.954425053846"/>
    <n v="3632.3"/>
    <n v="118049.75"/>
    <x v="0"/>
    <n v="0"/>
    <n v="-29673.495574946151"/>
    <x v="2"/>
    <s v="Jul-2025"/>
    <x v="3"/>
    <x v="2"/>
    <x v="1"/>
    <n v="88376.254425053849"/>
    <n v="118049.75"/>
    <n v="-29673.495574946151"/>
    <n v="-8.1693405211425679E-2"/>
    <n v="0"/>
    <s v="OK"/>
  </r>
  <r>
    <s v="LN-0076"/>
    <s v="CUST-1076"/>
    <x v="2"/>
    <n v="618200"/>
    <n v="0.1"/>
    <n v="61820"/>
    <n v="556380"/>
    <n v="0.1028"/>
    <n v="48"/>
    <n v="8.5666666666666669E-3"/>
    <n v="14186.167353762819"/>
    <n v="680936.03298061562"/>
    <n v="124556.03298061559"/>
    <n v="5563.8"/>
    <n v="144658.79999999999"/>
    <x v="0"/>
    <n v="0"/>
    <n v="-14538.96701938439"/>
    <x v="3"/>
    <s v="Nov-2025"/>
    <x v="2"/>
    <x v="0"/>
    <x v="1"/>
    <n v="130119.8329806156"/>
    <n v="144658.79999999999"/>
    <n v="-14538.96701938439"/>
    <n v="-2.6131361694137809E-2"/>
    <n v="0"/>
    <s v="OK"/>
  </r>
  <r>
    <s v="LN-0077"/>
    <s v="CUST-1077"/>
    <x v="0"/>
    <n v="89100"/>
    <n v="0.15"/>
    <n v="13365"/>
    <n v="75735"/>
    <n v="0.1787"/>
    <n v="12"/>
    <n v="1.4891666666666669E-2"/>
    <n v="6938.6994937828449"/>
    <n v="83264.393925394135"/>
    <n v="7529.3939253941353"/>
    <n v="757.35"/>
    <n v="4922.7750000000005"/>
    <x v="0"/>
    <n v="0"/>
    <n v="3363.9689253941351"/>
    <x v="3"/>
    <s v="Feb-2025"/>
    <x v="0"/>
    <x v="1"/>
    <x v="2"/>
    <n v="8286.7439253941357"/>
    <n v="4922.7750000000005"/>
    <n v="3363.9689253941351"/>
    <n v="4.4417626267830398E-2"/>
    <n v="0"/>
    <s v="OK"/>
  </r>
  <r>
    <s v="LN-0078"/>
    <s v="CUST-1078"/>
    <x v="1"/>
    <n v="67700"/>
    <n v="0"/>
    <n v="0"/>
    <n v="67700"/>
    <n v="0.188"/>
    <n v="18"/>
    <n v="1.5666666666666669E-2"/>
    <n v="4345.5129238137079"/>
    <n v="78219.232628646743"/>
    <n v="10519.23262864674"/>
    <n v="677"/>
    <n v="6600.75"/>
    <x v="0"/>
    <n v="0"/>
    <n v="4595.4826286467433"/>
    <x v="3"/>
    <s v="Nov-2025"/>
    <x v="0"/>
    <x v="1"/>
    <x v="0"/>
    <n v="11196.23262864674"/>
    <n v="6600.75"/>
    <n v="4595.4826286467433"/>
    <n v="6.7880097912064161E-2"/>
    <n v="0"/>
    <s v="OK"/>
  </r>
  <r>
    <s v="LN-0079"/>
    <s v="CUST-1079"/>
    <x v="2"/>
    <n v="905700"/>
    <n v="0.3"/>
    <n v="271710"/>
    <n v="633990"/>
    <n v="8.9599999999999999E-2"/>
    <n v="48"/>
    <n v="7.4666666666666666E-3"/>
    <n v="15764.8291581293"/>
    <n v="756711.79959020659"/>
    <n v="122721.7995902066"/>
    <n v="6339.9000000000005"/>
    <n v="164837.4"/>
    <x v="0"/>
    <n v="0"/>
    <n v="-35775.700409793411"/>
    <x v="3"/>
    <s v="Oct-2025"/>
    <x v="2"/>
    <x v="2"/>
    <x v="1"/>
    <n v="129061.6995902066"/>
    <n v="164837.4"/>
    <n v="-35775.700409793411"/>
    <n v="-5.6429439596513212E-2"/>
    <n v="0"/>
    <s v="OK"/>
  </r>
  <r>
    <s v="LN-0080"/>
    <s v="CUST-1080"/>
    <x v="2"/>
    <n v="992000"/>
    <n v="0.3"/>
    <n v="297600"/>
    <n v="694400"/>
    <n v="9.9500000000000005E-2"/>
    <n v="72"/>
    <n v="8.2916666666666677E-3"/>
    <n v="12846.839977588061"/>
    <n v="924972.4783863402"/>
    <n v="230572.4783863402"/>
    <n v="6944"/>
    <n v="270816"/>
    <x v="2"/>
    <n v="0"/>
    <n v="-33299.521613659803"/>
    <x v="1"/>
    <s v="Feb-2025"/>
    <x v="2"/>
    <x v="2"/>
    <x v="1"/>
    <n v="237516.4783863402"/>
    <n v="270816"/>
    <n v="-33299.521613659803"/>
    <n v="-4.7954380204003173E-2"/>
    <n v="0"/>
    <s v="OK"/>
  </r>
  <r>
    <s v="LN-0081"/>
    <s v="CUST-1081"/>
    <x v="3"/>
    <n v="58500"/>
    <n v="0.15"/>
    <n v="8775"/>
    <n v="49725"/>
    <n v="0.2"/>
    <n v="18"/>
    <n v="1.666666666666667E-2"/>
    <n v="3220.3501501339588"/>
    <n v="57966.30270241126"/>
    <n v="8241.3027024112598"/>
    <n v="499"/>
    <n v="4848.1875"/>
    <x v="0"/>
    <n v="0"/>
    <n v="3892.1152024112598"/>
    <x v="3"/>
    <s v="Jan-2025"/>
    <x v="0"/>
    <x v="1"/>
    <x v="0"/>
    <n v="8740.3027024112598"/>
    <n v="4848.1875"/>
    <n v="3892.1152024112598"/>
    <n v="7.8272804472825738E-2"/>
    <n v="0"/>
    <s v="OK"/>
  </r>
  <r>
    <s v="LN-0082"/>
    <s v="CUST-1082"/>
    <x v="1"/>
    <n v="65600"/>
    <n v="0.1"/>
    <n v="6560"/>
    <n v="59040"/>
    <n v="0.159"/>
    <n v="12"/>
    <n v="1.325E-2"/>
    <n v="5353.9563540214949"/>
    <n v="64247.476248257939"/>
    <n v="5207.476248257939"/>
    <n v="590.4"/>
    <n v="3837.6"/>
    <x v="0"/>
    <n v="0"/>
    <n v="1960.276248257939"/>
    <x v="3"/>
    <s v="Sep-2025"/>
    <x v="0"/>
    <x v="1"/>
    <x v="2"/>
    <n v="5797.8762482579386"/>
    <n v="3837.6"/>
    <n v="1960.276248257939"/>
    <n v="3.3202510979978637E-2"/>
    <n v="0"/>
    <s v="OK"/>
  </r>
  <r>
    <s v="LN-0083"/>
    <s v="CUST-1083"/>
    <x v="3"/>
    <n v="114200"/>
    <n v="0.1"/>
    <n v="11420"/>
    <n v="102780"/>
    <n v="0.14680000000000001"/>
    <n v="24"/>
    <n v="1.223333333333333E-2"/>
    <n v="4967.8455534467048"/>
    <n v="119228.2932827209"/>
    <n v="16448.293282720919"/>
    <n v="1027.8"/>
    <n v="13361.4"/>
    <x v="0"/>
    <n v="0"/>
    <n v="4114.6932827209148"/>
    <x v="1"/>
    <s v="Dec-2025"/>
    <x v="1"/>
    <x v="0"/>
    <x v="0"/>
    <n v="17476.093282720911"/>
    <n v="13361.4"/>
    <n v="4114.6932827209148"/>
    <n v="4.0033987961869182E-2"/>
    <n v="0"/>
    <s v="OK"/>
  </r>
  <r>
    <s v="LN-0084"/>
    <s v="CUST-1084"/>
    <x v="1"/>
    <n v="114000"/>
    <n v="0"/>
    <n v="0"/>
    <n v="114000"/>
    <n v="0.15590000000000001"/>
    <n v="6"/>
    <n v="1.299166666666667E-2"/>
    <n v="19873.23805513946"/>
    <n v="119239.4283308368"/>
    <n v="5239.4283308367594"/>
    <n v="1140"/>
    <n v="3705"/>
    <x v="2"/>
    <n v="0"/>
    <n v="2674.428330836759"/>
    <x v="2"/>
    <s v="Dec-2025"/>
    <x v="1"/>
    <x v="1"/>
    <x v="2"/>
    <n v="6379.4283308367594"/>
    <n v="3705"/>
    <n v="2674.428330836759"/>
    <n v="2.3459897638918939E-2"/>
    <n v="0"/>
    <s v="OK"/>
  </r>
  <r>
    <s v="LN-0085"/>
    <s v="CUST-1085"/>
    <x v="3"/>
    <n v="82400"/>
    <n v="0.15"/>
    <n v="12360"/>
    <n v="70040"/>
    <n v="0.16950000000000001"/>
    <n v="18"/>
    <n v="1.4125E-2"/>
    <n v="4433.977715582203"/>
    <n v="79811.598880479651"/>
    <n v="9771.5988804796507"/>
    <n v="700.4"/>
    <n v="6828.9000000000005"/>
    <x v="2"/>
    <n v="0"/>
    <n v="3643.0988804796498"/>
    <x v="3"/>
    <s v="Jun-2025"/>
    <x v="0"/>
    <x v="1"/>
    <x v="0"/>
    <n v="10471.99888047965"/>
    <n v="6828.9000000000005"/>
    <n v="3643.0988804796498"/>
    <n v="5.201454712278198E-2"/>
    <n v="0"/>
    <s v="OK"/>
  </r>
  <r>
    <s v="LN-0086"/>
    <s v="CUST-1086"/>
    <x v="0"/>
    <n v="125000"/>
    <n v="0.1"/>
    <n v="12500"/>
    <n v="112500"/>
    <n v="0.1201"/>
    <n v="12"/>
    <n v="1.0008333333333329E-2"/>
    <n v="9996.015018990207"/>
    <n v="119952.18022788251"/>
    <n v="7452.1802278824907"/>
    <n v="1125"/>
    <n v="7312.5"/>
    <x v="2"/>
    <n v="0"/>
    <n v="1264.680227882491"/>
    <x v="1"/>
    <s v="Apr-2025"/>
    <x v="1"/>
    <x v="0"/>
    <x v="2"/>
    <n v="8577.1802278824907"/>
    <n v="7312.5"/>
    <n v="1264.680227882491"/>
    <n v="1.124160202562214E-2"/>
    <n v="0"/>
    <s v="OK"/>
  </r>
  <r>
    <s v="LN-0087"/>
    <s v="CUST-1087"/>
    <x v="3"/>
    <n v="62200"/>
    <n v="0.15"/>
    <n v="9330"/>
    <n v="52870"/>
    <n v="0.19800000000000001"/>
    <n v="18"/>
    <n v="1.6500000000000001E-2"/>
    <n v="3418.9494020114648"/>
    <n v="61541.089236206368"/>
    <n v="8671.0892362063678"/>
    <n v="528.70000000000005"/>
    <n v="5154.8250000000007"/>
    <x v="2"/>
    <n v="0"/>
    <n v="4044.9642362063678"/>
    <x v="0"/>
    <s v="Apr-2025"/>
    <x v="0"/>
    <x v="1"/>
    <x v="0"/>
    <n v="9199.7892362063685"/>
    <n v="5154.8250000000007"/>
    <n v="4044.9642362063678"/>
    <n v="7.6507740423801165E-2"/>
    <n v="0"/>
    <s v="OK"/>
  </r>
  <r>
    <s v="LN-0088"/>
    <s v="CUST-1088"/>
    <x v="3"/>
    <n v="48400"/>
    <n v="0.15"/>
    <n v="7260"/>
    <n v="41140"/>
    <n v="0.16420000000000001"/>
    <n v="24"/>
    <n v="1.368333333333333E-2"/>
    <n v="2022.6080965832809"/>
    <n v="48542.594317998737"/>
    <n v="7402.5943179987444"/>
    <n v="499"/>
    <n v="5348.2"/>
    <x v="2"/>
    <n v="0"/>
    <n v="2553.394317998745"/>
    <x v="0"/>
    <s v="Jan-2025"/>
    <x v="0"/>
    <x v="1"/>
    <x v="0"/>
    <n v="7901.5943179987444"/>
    <n v="5348.2"/>
    <n v="2553.394317998745"/>
    <n v="6.2065977588690917E-2"/>
    <n v="0"/>
    <s v="OK"/>
  </r>
  <r>
    <s v="LN-0089"/>
    <s v="CUST-1089"/>
    <x v="1"/>
    <n v="112200"/>
    <n v="0"/>
    <n v="0"/>
    <n v="112200"/>
    <n v="0.13009999999999999"/>
    <n v="18"/>
    <n v="1.084166666666667E-2"/>
    <n v="6894.9434297772696"/>
    <n v="124108.98173599091"/>
    <n v="11908.981735990859"/>
    <n v="1122"/>
    <n v="10939.5"/>
    <x v="0"/>
    <n v="0"/>
    <n v="2091.4817359908629"/>
    <x v="3"/>
    <s v="Aug-2025"/>
    <x v="1"/>
    <x v="0"/>
    <x v="0"/>
    <n v="13030.981735990859"/>
    <n v="10939.5"/>
    <n v="2091.4817359908629"/>
    <n v="1.8640657183519281E-2"/>
    <n v="0"/>
    <s v="OK"/>
  </r>
  <r>
    <s v="LN-0090"/>
    <s v="CUST-1090"/>
    <x v="1"/>
    <n v="67600"/>
    <n v="0.15"/>
    <n v="10140"/>
    <n v="57460"/>
    <n v="0.19719999999999999"/>
    <n v="12"/>
    <n v="1.6433333333333331E-2"/>
    <n v="5315.0816584034073"/>
    <n v="63780.979900840888"/>
    <n v="6320.9799008408881"/>
    <n v="574.6"/>
    <n v="3734.9"/>
    <x v="2"/>
    <n v="0"/>
    <n v="3160.679900840888"/>
    <x v="0"/>
    <s v="Jul-2025"/>
    <x v="0"/>
    <x v="1"/>
    <x v="2"/>
    <n v="6895.5799008408894"/>
    <n v="3734.9"/>
    <n v="3160.679900840888"/>
    <n v="5.5006611570499277E-2"/>
    <n v="0"/>
    <s v="OK"/>
  </r>
  <r>
    <s v="LN-0091"/>
    <s v="CUST-1091"/>
    <x v="1"/>
    <n v="97100"/>
    <n v="0.05"/>
    <n v="4855"/>
    <n v="92245"/>
    <n v="0.1749"/>
    <n v="9"/>
    <n v="1.4574999999999999E-2"/>
    <n v="11010.779128837959"/>
    <n v="99097.012159541657"/>
    <n v="6852.0121595416567"/>
    <n v="922.45"/>
    <n v="4496.9437500000004"/>
    <x v="0"/>
    <n v="0"/>
    <n v="3277.5184095416562"/>
    <x v="3"/>
    <s v="Feb-2025"/>
    <x v="0"/>
    <x v="1"/>
    <x v="2"/>
    <n v="7774.4621595416565"/>
    <n v="4496.9437500000004"/>
    <n v="3277.5184095416562"/>
    <n v="3.553058062270753E-2"/>
    <n v="0"/>
    <s v="OK"/>
  </r>
  <r>
    <s v="LN-0092"/>
    <s v="CUST-1092"/>
    <x v="2"/>
    <n v="530300"/>
    <n v="0.3"/>
    <n v="159090"/>
    <n v="371210"/>
    <n v="0.1079"/>
    <n v="84"/>
    <n v="8.9916666666666669E-3"/>
    <n v="6315.1060709000649"/>
    <n v="530468.9099556054"/>
    <n v="159258.9099556054"/>
    <n v="3712.1"/>
    <n v="168900.55"/>
    <x v="0"/>
    <n v="0"/>
    <n v="-5929.5400443946128"/>
    <x v="1"/>
    <s v="Sep-2025"/>
    <x v="3"/>
    <x v="0"/>
    <x v="1"/>
    <n v="162971.0099556054"/>
    <n v="168900.55"/>
    <n v="-5929.5400443946128"/>
    <n v="-1.5973546090877439E-2"/>
    <n v="0"/>
    <s v="OK"/>
  </r>
  <r>
    <s v="LN-0093"/>
    <s v="CUST-1093"/>
    <x v="1"/>
    <n v="138600"/>
    <n v="0.15"/>
    <n v="20790"/>
    <n v="117810"/>
    <n v="0.14380000000000001"/>
    <n v="24"/>
    <n v="1.198333333333333E-2"/>
    <n v="5677.5696975819537"/>
    <n v="136261.6727419669"/>
    <n v="18451.672741966901"/>
    <n v="1178.0999999999999"/>
    <n v="15315.3"/>
    <x v="2"/>
    <n v="0"/>
    <n v="4314.4727419669016"/>
    <x v="0"/>
    <s v="Oct-2025"/>
    <x v="1"/>
    <x v="0"/>
    <x v="0"/>
    <n v="19629.772741966899"/>
    <n v="15315.3"/>
    <n v="4314.4727419669016"/>
    <n v="3.6622296426168419E-2"/>
    <n v="0"/>
    <s v="OK"/>
  </r>
  <r>
    <s v="LN-0094"/>
    <s v="CUST-1094"/>
    <x v="2"/>
    <n v="509200"/>
    <n v="0.2"/>
    <n v="101840"/>
    <n v="407360"/>
    <n v="0.1079"/>
    <n v="48"/>
    <n v="8.9916666666666669E-3"/>
    <n v="10486.936848251709"/>
    <n v="503372.96871608187"/>
    <n v="96012.968716081872"/>
    <n v="4073.6"/>
    <n v="105913.60000000001"/>
    <x v="0"/>
    <n v="0"/>
    <n v="-5827.0312839181279"/>
    <x v="1"/>
    <s v="Apr-2025"/>
    <x v="3"/>
    <x v="0"/>
    <x v="1"/>
    <n v="100086.56871608191"/>
    <n v="105913.60000000001"/>
    <n v="-5827.0312839181279"/>
    <n v="-1.430437766083594E-2"/>
    <n v="0"/>
    <s v="OK"/>
  </r>
  <r>
    <s v="LN-0095"/>
    <s v="CUST-1095"/>
    <x v="3"/>
    <n v="16400"/>
    <n v="0.2"/>
    <n v="3280"/>
    <n v="13120"/>
    <n v="0.14019999999999999"/>
    <n v="12"/>
    <n v="1.168333333333333E-2"/>
    <n v="1178.130450707202"/>
    <n v="14137.565408486431"/>
    <n v="1017.565408486425"/>
    <n v="499"/>
    <n v="852.80000000000007"/>
    <x v="0"/>
    <n v="0"/>
    <n v="663.76540848642537"/>
    <x v="3"/>
    <s v="Jan-2025"/>
    <x v="0"/>
    <x v="0"/>
    <x v="2"/>
    <n v="1516.565408486425"/>
    <n v="852.80000000000007"/>
    <n v="663.76540848642537"/>
    <n v="5.0591875646831201E-2"/>
    <n v="0"/>
    <s v="OK"/>
  </r>
  <r>
    <s v="LN-0096"/>
    <s v="CUST-1096"/>
    <x v="3"/>
    <n v="87200"/>
    <n v="0"/>
    <n v="0"/>
    <n v="87200"/>
    <n v="0.19620000000000001"/>
    <n v="12"/>
    <n v="1.635E-2"/>
    <n v="8061.8785259664828"/>
    <n v="96742.54231159779"/>
    <n v="9542.5423115977901"/>
    <n v="872"/>
    <n v="5668"/>
    <x v="0"/>
    <n v="0"/>
    <n v="4746.5423115977901"/>
    <x v="3"/>
    <s v="Nov-2025"/>
    <x v="0"/>
    <x v="1"/>
    <x v="2"/>
    <n v="10414.54231159779"/>
    <n v="5668"/>
    <n v="4746.5423115977901"/>
    <n v="5.4432824674286583E-2"/>
    <n v="0"/>
    <s v="OK"/>
  </r>
  <r>
    <s v="LN-0097"/>
    <s v="CUST-1097"/>
    <x v="0"/>
    <n v="252900"/>
    <n v="0.25"/>
    <n v="63225"/>
    <n v="189675"/>
    <n v="0.1158"/>
    <n v="12"/>
    <n v="9.6500000000000006E-3"/>
    <n v="16815.149400355909"/>
    <n v="201781.7928042709"/>
    <n v="12106.792804270921"/>
    <n v="1896.75"/>
    <n v="12328.875"/>
    <x v="2"/>
    <n v="0"/>
    <n v="1674.667804270925"/>
    <x v="1"/>
    <s v="May-2025"/>
    <x v="1"/>
    <x v="0"/>
    <x v="2"/>
    <n v="14003.542804270921"/>
    <n v="12328.875"/>
    <n v="1674.667804270925"/>
    <n v="8.8291435575111356E-3"/>
    <n v="0"/>
    <s v="OK"/>
  </r>
  <r>
    <s v="LN-0098"/>
    <s v="CUST-1098"/>
    <x v="2"/>
    <n v="478600"/>
    <n v="0.3"/>
    <n v="143580"/>
    <n v="335020"/>
    <n v="0.09"/>
    <n v="60"/>
    <n v="7.4999999999999997E-3"/>
    <n v="6954.4641679331198"/>
    <n v="417267.85007598723"/>
    <n v="82247.850075987168"/>
    <n v="3350.2"/>
    <n v="108881.5"/>
    <x v="0"/>
    <n v="0"/>
    <n v="-23283.449924012839"/>
    <x v="3"/>
    <s v="Aug-2025"/>
    <x v="3"/>
    <x v="2"/>
    <x v="1"/>
    <n v="85598.050075987165"/>
    <n v="108881.5"/>
    <n v="-23283.449924012839"/>
    <n v="-6.9498686418759587E-2"/>
    <n v="0"/>
    <s v="OK"/>
  </r>
  <r>
    <s v="LN-0099"/>
    <s v="CUST-1099"/>
    <x v="3"/>
    <n v="85100"/>
    <n v="0.15"/>
    <n v="12765"/>
    <n v="72335"/>
    <n v="0.19600000000000001"/>
    <n v="9"/>
    <n v="1.6333333333333339E-2"/>
    <n v="8707.7691537194969"/>
    <n v="78369.922383475467"/>
    <n v="6034.9223834754666"/>
    <n v="723.35"/>
    <n v="3526.3312500000002"/>
    <x v="0"/>
    <n v="0"/>
    <n v="3231.9411334754668"/>
    <x v="2"/>
    <s v="Feb-2025"/>
    <x v="0"/>
    <x v="1"/>
    <x v="2"/>
    <n v="6758.272383475467"/>
    <n v="3526.3312500000002"/>
    <n v="3231.9411334754668"/>
    <n v="4.4680184329514989E-2"/>
    <n v="0"/>
    <s v="OK"/>
  </r>
  <r>
    <s v="LN-0100"/>
    <s v="CUST-1100"/>
    <x v="0"/>
    <n v="273500"/>
    <n v="0.15"/>
    <n v="41025"/>
    <n v="232475"/>
    <n v="0.1588"/>
    <n v="60"/>
    <n v="1.323333333333333E-2"/>
    <n v="5638.5284505170193"/>
    <n v="338311.70703102119"/>
    <n v="105836.7070310212"/>
    <n v="2324.75"/>
    <n v="75554.375"/>
    <x v="1"/>
    <n v="92990"/>
    <n v="-60382.917968978807"/>
    <x v="1"/>
    <s v="Nov-2025"/>
    <x v="1"/>
    <x v="1"/>
    <x v="1"/>
    <n v="108161.4570310212"/>
    <n v="168544.375"/>
    <n v="-60382.917968978807"/>
    <n v="-0.25973940410357588"/>
    <n v="0.4"/>
    <s v="OK"/>
  </r>
  <r>
    <s v="LN-0101"/>
    <s v="CUST-1101"/>
    <x v="2"/>
    <n v="1032700"/>
    <n v="0.3"/>
    <n v="309810"/>
    <n v="722890"/>
    <n v="0.1135"/>
    <n v="60"/>
    <n v="9.4583333333333342E-3"/>
    <n v="15843.85334275799"/>
    <n v="950631.20056547958"/>
    <n v="227741.20056547961"/>
    <n v="7228.9000000000005"/>
    <n v="234939.25"/>
    <x v="2"/>
    <n v="0"/>
    <n v="30.850565479573561"/>
    <x v="1"/>
    <s v="Aug-2025"/>
    <x v="2"/>
    <x v="0"/>
    <x v="1"/>
    <n v="234970.1005654796"/>
    <n v="234939.25"/>
    <n v="30.850565479573561"/>
    <n v="4.2676708046277529E-5"/>
    <n v="0"/>
    <s v="OK"/>
  </r>
  <r>
    <s v="LN-0102"/>
    <s v="CUST-1102"/>
    <x v="1"/>
    <n v="80300"/>
    <n v="0.15"/>
    <n v="12045"/>
    <n v="68255"/>
    <n v="0.14230000000000001"/>
    <n v="24"/>
    <n v="1.185833333333333E-2"/>
    <n v="3284.5404870739312"/>
    <n v="78828.971689774335"/>
    <n v="10573.971689774329"/>
    <n v="682.55000000000007"/>
    <n v="8873.15"/>
    <x v="0"/>
    <n v="0"/>
    <n v="2383.3716897743338"/>
    <x v="2"/>
    <s v="Feb-2025"/>
    <x v="0"/>
    <x v="0"/>
    <x v="0"/>
    <n v="11256.52168977433"/>
    <n v="8873.15"/>
    <n v="2383.3716897743338"/>
    <n v="3.4918638777735468E-2"/>
    <n v="0"/>
    <s v="OK"/>
  </r>
  <r>
    <s v="LN-0103"/>
    <s v="CUST-1103"/>
    <x v="1"/>
    <n v="76000"/>
    <n v="0.05"/>
    <n v="3800"/>
    <n v="72200"/>
    <n v="0.1457"/>
    <n v="6"/>
    <n v="1.214166666666667E-2"/>
    <n v="12549.84227544173"/>
    <n v="75299.053652650386"/>
    <n v="3099.0536526503861"/>
    <n v="722"/>
    <n v="2346.5"/>
    <x v="0"/>
    <n v="0"/>
    <n v="1474.5536526503861"/>
    <x v="2"/>
    <s v="May-2025"/>
    <x v="0"/>
    <x v="0"/>
    <x v="2"/>
    <n v="3821.0536526503861"/>
    <n v="2346.5"/>
    <n v="1474.5536526503861"/>
    <n v="2.042318078463138E-2"/>
    <n v="0"/>
    <s v="OK"/>
  </r>
  <r>
    <s v="LN-0104"/>
    <s v="CUST-1104"/>
    <x v="0"/>
    <n v="156100"/>
    <n v="0.2"/>
    <n v="31220"/>
    <n v="124880"/>
    <n v="0.1608"/>
    <n v="12"/>
    <n v="1.34E-2"/>
    <n v="11335.197727628971"/>
    <n v="136022.3727315476"/>
    <n v="11142.372731547601"/>
    <n v="1248.8"/>
    <n v="8117.2000000000007"/>
    <x v="1"/>
    <n v="49952"/>
    <n v="-45678.027268452402"/>
    <x v="3"/>
    <s v="Jun-2025"/>
    <x v="1"/>
    <x v="1"/>
    <x v="2"/>
    <n v="12391.1727315476"/>
    <n v="58069.2"/>
    <n v="-45678.027268452402"/>
    <n v="-0.36577536249561499"/>
    <n v="0.4"/>
    <s v="OK"/>
  </r>
  <r>
    <s v="LN-0105"/>
    <s v="CUST-1105"/>
    <x v="3"/>
    <n v="94500"/>
    <n v="0.2"/>
    <n v="18900"/>
    <n v="75600"/>
    <n v="0.2092"/>
    <n v="3"/>
    <n v="1.7433333333333328E-2"/>
    <n v="26083.701627063929"/>
    <n v="78251.104881191772"/>
    <n v="2651.1048811917722"/>
    <n v="756"/>
    <n v="1228.5"/>
    <x v="0"/>
    <n v="0"/>
    <n v="2178.6048811917722"/>
    <x v="2"/>
    <s v="Jul-2025"/>
    <x v="0"/>
    <x v="1"/>
    <x v="2"/>
    <n v="3407.1048811917722"/>
    <n v="1228.5"/>
    <n v="2178.6048811917722"/>
    <n v="2.8817524883489039E-2"/>
    <n v="0"/>
    <s v="OK"/>
  </r>
  <r>
    <s v="LN-0106"/>
    <s v="CUST-1106"/>
    <x v="3"/>
    <n v="66100"/>
    <n v="0.2"/>
    <n v="13220"/>
    <n v="52880"/>
    <n v="0.1898"/>
    <n v="12"/>
    <n v="1.581666666666667E-2"/>
    <n v="4872.735123900422"/>
    <n v="58472.821486805064"/>
    <n v="5592.8214868050636"/>
    <n v="528.79999999999995"/>
    <n v="3437.2"/>
    <x v="0"/>
    <n v="0"/>
    <n v="2684.421486805064"/>
    <x v="0"/>
    <s v="Apr-2025"/>
    <x v="0"/>
    <x v="1"/>
    <x v="2"/>
    <n v="6121.6214868050638"/>
    <n v="3437.2"/>
    <n v="2684.421486805064"/>
    <n v="5.0764400279974732E-2"/>
    <n v="0"/>
    <s v="OK"/>
  </r>
  <r>
    <s v="LN-0107"/>
    <s v="CUST-1107"/>
    <x v="3"/>
    <n v="22700"/>
    <n v="0.1"/>
    <n v="2270"/>
    <n v="20430"/>
    <n v="0.16300000000000001"/>
    <n v="24"/>
    <n v="1.3583333333333329E-2"/>
    <n v="1003.24731351542"/>
    <n v="24077.935524370081"/>
    <n v="3647.935524370077"/>
    <n v="499"/>
    <n v="2655.9"/>
    <x v="2"/>
    <n v="0"/>
    <n v="1491.0355243700769"/>
    <x v="1"/>
    <s v="Dec-2025"/>
    <x v="0"/>
    <x v="1"/>
    <x v="0"/>
    <n v="4146.9355243700766"/>
    <n v="2655.9"/>
    <n v="1491.0355243700769"/>
    <n v="7.2982649259426199E-2"/>
    <n v="0"/>
    <s v="OK"/>
  </r>
  <r>
    <s v="LN-0108"/>
    <s v="CUST-1108"/>
    <x v="3"/>
    <n v="69700"/>
    <n v="0"/>
    <n v="0"/>
    <n v="69700"/>
    <n v="0.1842"/>
    <n v="3"/>
    <n v="1.5350000000000001E-2"/>
    <n v="23950.218330548101"/>
    <n v="71850.654991644318"/>
    <n v="2150.6549916443182"/>
    <n v="697"/>
    <n v="1132.625"/>
    <x v="0"/>
    <n v="0"/>
    <n v="1715.029991644318"/>
    <x v="0"/>
    <s v="Aug-2025"/>
    <x v="0"/>
    <x v="1"/>
    <x v="2"/>
    <n v="2847.6549916443182"/>
    <n v="1132.625"/>
    <n v="1715.029991644318"/>
    <n v="2.4605882233060521E-2"/>
    <n v="0"/>
    <s v="OK"/>
  </r>
  <r>
    <s v="LN-0109"/>
    <s v="CUST-1109"/>
    <x v="2"/>
    <n v="1112500"/>
    <n v="0.3"/>
    <n v="333750"/>
    <n v="778750"/>
    <n v="8.9599999999999999E-2"/>
    <n v="60"/>
    <n v="7.4666666666666666E-3"/>
    <n v="16150.45524637611"/>
    <n v="969027.31478256674"/>
    <n v="190277.31478256671"/>
    <n v="7787.5"/>
    <n v="253093.75"/>
    <x v="0"/>
    <n v="0"/>
    <n v="-55028.93521743326"/>
    <x v="2"/>
    <s v="Aug-2025"/>
    <x v="2"/>
    <x v="2"/>
    <x v="1"/>
    <n v="198064.81478256671"/>
    <n v="253093.75"/>
    <n v="-55028.93521743326"/>
    <n v="-7.0663159187715263E-2"/>
    <n v="0"/>
    <s v="OK"/>
  </r>
  <r>
    <s v="LN-0110"/>
    <s v="CUST-1110"/>
    <x v="2"/>
    <n v="668100"/>
    <n v="0.15"/>
    <n v="100215"/>
    <n v="567885"/>
    <n v="0.10150000000000001"/>
    <n v="72"/>
    <n v="8.4583333333333333E-3"/>
    <n v="10563.55221632929"/>
    <n v="760575.759575709"/>
    <n v="192690.759575709"/>
    <n v="5678.85"/>
    <n v="221475.15"/>
    <x v="0"/>
    <n v="0"/>
    <n v="-23105.540424291019"/>
    <x v="1"/>
    <s v="Feb-2025"/>
    <x v="2"/>
    <x v="0"/>
    <x v="1"/>
    <n v="198369.60957570901"/>
    <n v="221475.15"/>
    <n v="-23105.540424291019"/>
    <n v="-4.0687006038706813E-2"/>
    <n v="0"/>
    <s v="OK"/>
  </r>
  <r>
    <s v="LN-0111"/>
    <s v="CUST-1111"/>
    <x v="3"/>
    <n v="96500"/>
    <n v="0.05"/>
    <n v="4825"/>
    <n v="91675"/>
    <n v="0.17319999999999999"/>
    <n v="18"/>
    <n v="1.4433333333333329E-2"/>
    <n v="5819.721073797894"/>
    <n v="104754.9793283621"/>
    <n v="13079.9793283621"/>
    <n v="916.75"/>
    <n v="8938.3125"/>
    <x v="0"/>
    <n v="0"/>
    <n v="5058.4168283620966"/>
    <x v="3"/>
    <s v="Dec-2025"/>
    <x v="0"/>
    <x v="1"/>
    <x v="0"/>
    <n v="13996.7293283621"/>
    <n v="8938.3125"/>
    <n v="5058.4168283620966"/>
    <n v="5.5177712880960968E-2"/>
    <n v="0"/>
    <s v="OK"/>
  </r>
  <r>
    <s v="LN-0112"/>
    <s v="CUST-1112"/>
    <x v="3"/>
    <n v="73700"/>
    <n v="0"/>
    <n v="0"/>
    <n v="73700"/>
    <n v="0.21990000000000001"/>
    <n v="12"/>
    <n v="1.8325000000000001E-2"/>
    <n v="6897.551085492084"/>
    <n v="82770.613025905011"/>
    <n v="9070.6130259050115"/>
    <n v="737"/>
    <n v="4790.5"/>
    <x v="0"/>
    <n v="0"/>
    <n v="5017.1130259050115"/>
    <x v="2"/>
    <s v="Jun-2025"/>
    <x v="0"/>
    <x v="1"/>
    <x v="2"/>
    <n v="9807.6130259050115"/>
    <n v="4790.5"/>
    <n v="5017.1130259050115"/>
    <n v="6.8074803607937745E-2"/>
    <n v="0"/>
    <s v="OK"/>
  </r>
  <r>
    <s v="LN-0113"/>
    <s v="CUST-1113"/>
    <x v="1"/>
    <n v="120400"/>
    <n v="0.05"/>
    <n v="6020"/>
    <n v="114380"/>
    <n v="0.1502"/>
    <n v="12"/>
    <n v="1.2516666666666671E-2"/>
    <n v="10324.82524782178"/>
    <n v="123897.9029738614"/>
    <n v="9517.9029738614045"/>
    <n v="1143.8"/>
    <n v="7434.7"/>
    <x v="0"/>
    <n v="0"/>
    <n v="3227.0029738614039"/>
    <x v="1"/>
    <s v="Oct-2025"/>
    <x v="1"/>
    <x v="1"/>
    <x v="2"/>
    <n v="10661.7029738614"/>
    <n v="7434.7"/>
    <n v="3227.0029738614039"/>
    <n v="2.821300029604305E-2"/>
    <n v="0"/>
    <s v="OK"/>
  </r>
  <r>
    <s v="LN-0114"/>
    <s v="CUST-1114"/>
    <x v="1"/>
    <n v="132000"/>
    <n v="0.15"/>
    <n v="19800"/>
    <n v="112200"/>
    <n v="0.15290000000000001"/>
    <n v="12"/>
    <n v="1.274166666666667E-2"/>
    <n v="10142.342738474979"/>
    <n v="121708.1128616997"/>
    <n v="9508.1128616997448"/>
    <n v="1122"/>
    <n v="7293"/>
    <x v="0"/>
    <n v="0"/>
    <n v="3337.1128616997448"/>
    <x v="2"/>
    <s v="Jul-2025"/>
    <x v="1"/>
    <x v="1"/>
    <x v="2"/>
    <n v="10630.112861699739"/>
    <n v="7293"/>
    <n v="3337.1128616997448"/>
    <n v="2.9742538874329282E-2"/>
    <n v="0"/>
    <s v="OK"/>
  </r>
  <r>
    <s v="LN-0115"/>
    <s v="CUST-1115"/>
    <x v="2"/>
    <n v="1271600"/>
    <n v="0.25"/>
    <n v="317900"/>
    <n v="953700"/>
    <n v="0.1046"/>
    <n v="48"/>
    <n v="8.716666666666666E-3"/>
    <n v="24399.52417647955"/>
    <n v="1171177.1604710179"/>
    <n v="217477.1604710182"/>
    <n v="9537"/>
    <n v="247962"/>
    <x v="0"/>
    <n v="0"/>
    <n v="-20947.839528981829"/>
    <x v="1"/>
    <s v="Sep-2025"/>
    <x v="2"/>
    <x v="0"/>
    <x v="1"/>
    <n v="227014.1604710182"/>
    <n v="247962"/>
    <n v="-20947.839528981829"/>
    <n v="-2.196481024324403E-2"/>
    <n v="0"/>
    <s v="OK"/>
  </r>
  <r>
    <s v="LN-0116"/>
    <s v="CUST-1116"/>
    <x v="2"/>
    <n v="765200"/>
    <n v="0.1"/>
    <n v="76520"/>
    <n v="688680"/>
    <n v="8.7999999999999995E-2"/>
    <n v="72"/>
    <n v="7.3333333333333332E-3"/>
    <n v="12345.57766298167"/>
    <n v="888881.59173468035"/>
    <n v="200201.59173468029"/>
    <n v="6886.8"/>
    <n v="268585.2"/>
    <x v="0"/>
    <n v="0"/>
    <n v="-61496.808265319683"/>
    <x v="2"/>
    <s v="Jan-2025"/>
    <x v="2"/>
    <x v="2"/>
    <x v="1"/>
    <n v="207088.39173468031"/>
    <n v="268585.2"/>
    <n v="-61496.808265319683"/>
    <n v="-8.9296637430039613E-2"/>
    <n v="0"/>
    <s v="OK"/>
  </r>
  <r>
    <s v="LN-0117"/>
    <s v="CUST-1117"/>
    <x v="0"/>
    <n v="158400"/>
    <n v="0.05"/>
    <n v="7920"/>
    <n v="150480"/>
    <n v="0.15240000000000001"/>
    <n v="24"/>
    <n v="1.2699999999999999E-2"/>
    <n v="7313.4413499451011"/>
    <n v="175522.59239868241"/>
    <n v="25042.592398682431"/>
    <n v="1504.8"/>
    <n v="19562.400000000001"/>
    <x v="0"/>
    <n v="0"/>
    <n v="6984.9923986824324"/>
    <x v="3"/>
    <s v="Jun-2025"/>
    <x v="1"/>
    <x v="1"/>
    <x v="0"/>
    <n v="26547.39239868243"/>
    <n v="19562.400000000001"/>
    <n v="6984.9923986824324"/>
    <n v="4.6418078141164491E-2"/>
    <n v="0"/>
    <s v="OK"/>
  </r>
  <r>
    <s v="LN-0118"/>
    <s v="CUST-1118"/>
    <x v="0"/>
    <n v="155400"/>
    <n v="0.25"/>
    <n v="38850"/>
    <n v="116550"/>
    <n v="0.10639999999999999"/>
    <n v="36"/>
    <n v="8.8666666666666668E-3"/>
    <n v="3795.8583999542229"/>
    <n v="136650.90239835199"/>
    <n v="20100.90239835202"/>
    <n v="1165.5"/>
    <n v="22727.25"/>
    <x v="0"/>
    <n v="0"/>
    <n v="-1460.847601647984"/>
    <x v="3"/>
    <s v="Nov-2025"/>
    <x v="1"/>
    <x v="0"/>
    <x v="0"/>
    <n v="21266.40239835202"/>
    <n v="22727.25"/>
    <n v="-1460.847601647984"/>
    <n v="-1.2534084956224651E-2"/>
    <n v="0"/>
    <s v="OK"/>
  </r>
  <r>
    <s v="LN-0119"/>
    <s v="CUST-1119"/>
    <x v="0"/>
    <n v="242300"/>
    <n v="0.25"/>
    <n v="60575"/>
    <n v="181725"/>
    <n v="0.16980000000000001"/>
    <n v="12"/>
    <n v="1.4149999999999999E-2"/>
    <n v="16572.458803445548"/>
    <n v="198869.50564134659"/>
    <n v="17144.505641346619"/>
    <n v="1817.25"/>
    <n v="11812.125"/>
    <x v="1"/>
    <n v="72690"/>
    <n v="-65540.369358653377"/>
    <x v="3"/>
    <s v="Apr-2025"/>
    <x v="1"/>
    <x v="1"/>
    <x v="2"/>
    <n v="18961.755641346619"/>
    <n v="84502.125"/>
    <n v="-65540.369358653377"/>
    <n v="-0.3606568681175038"/>
    <n v="0.4"/>
    <s v="OK"/>
  </r>
  <r>
    <s v="LN-0120"/>
    <s v="CUST-1120"/>
    <x v="0"/>
    <n v="164200"/>
    <n v="0.2"/>
    <n v="32840"/>
    <n v="131360"/>
    <n v="0.1079"/>
    <n v="12"/>
    <n v="8.9916666666666669E-3"/>
    <n v="11596.951267552429"/>
    <n v="139163.4152106292"/>
    <n v="7803.4152106292313"/>
    <n v="1313.6"/>
    <n v="8538.4"/>
    <x v="2"/>
    <n v="0"/>
    <n v="578.61521062923202"/>
    <x v="3"/>
    <s v="Jan-2025"/>
    <x v="1"/>
    <x v="0"/>
    <x v="2"/>
    <n v="9117.0152106292317"/>
    <n v="8538.4"/>
    <n v="578.61521062923202"/>
    <n v="4.4048051966293546E-3"/>
    <n v="0"/>
    <s v="OK"/>
  </r>
  <r>
    <s v="LN-0121"/>
    <s v="CUST-1121"/>
    <x v="3"/>
    <n v="97200"/>
    <n v="0.1"/>
    <n v="9720"/>
    <n v="87480"/>
    <n v="0.16350000000000001"/>
    <n v="9"/>
    <n v="1.3625E-2"/>
    <n v="10394.120308770211"/>
    <n v="93547.082778931901"/>
    <n v="6067.082778931901"/>
    <n v="874.80000000000007"/>
    <n v="4264.6499999999996"/>
    <x v="2"/>
    <n v="0"/>
    <n v="2677.232778931902"/>
    <x v="2"/>
    <s v="Oct-2025"/>
    <x v="0"/>
    <x v="1"/>
    <x v="2"/>
    <n v="6941.8827789319012"/>
    <n v="4264.6499999999996"/>
    <n v="2677.232778931902"/>
    <n v="3.0603941231503218E-2"/>
    <n v="0"/>
    <s v="OK"/>
  </r>
  <r>
    <s v="LN-0122"/>
    <s v="CUST-1122"/>
    <x v="0"/>
    <n v="103200"/>
    <n v="0.2"/>
    <n v="20640"/>
    <n v="82560"/>
    <n v="0.114"/>
    <n v="60"/>
    <n v="9.4999999999999998E-3"/>
    <n v="1811.5676690638461"/>
    <n v="108694.06014383079"/>
    <n v="26134.060143830779"/>
    <n v="825.6"/>
    <n v="26832"/>
    <x v="0"/>
    <n v="0"/>
    <n v="127.66014383077341"/>
    <x v="1"/>
    <s v="Aug-2025"/>
    <x v="0"/>
    <x v="0"/>
    <x v="1"/>
    <n v="26959.660143830781"/>
    <n v="26832"/>
    <n v="127.66014383077341"/>
    <n v="1.5462711219812681E-3"/>
    <n v="0"/>
    <s v="OK"/>
  </r>
  <r>
    <s v="LN-0123"/>
    <s v="CUST-1123"/>
    <x v="2"/>
    <n v="557400"/>
    <n v="0.25"/>
    <n v="139350"/>
    <n v="418050"/>
    <n v="9.8799999999999999E-2"/>
    <n v="60"/>
    <n v="8.2333333333333338E-3"/>
    <n v="8857.6634625311235"/>
    <n v="531459.80775186745"/>
    <n v="113409.8077518675"/>
    <n v="4180.5"/>
    <n v="135866.25"/>
    <x v="2"/>
    <n v="0"/>
    <n v="-18275.942248132549"/>
    <x v="0"/>
    <s v="Aug-2025"/>
    <x v="3"/>
    <x v="2"/>
    <x v="1"/>
    <n v="117590.3077518675"/>
    <n v="135866.25"/>
    <n v="-18275.942248132549"/>
    <n v="-4.3717120555274602E-2"/>
    <n v="0"/>
    <s v="OK"/>
  </r>
  <r>
    <s v="LN-0124"/>
    <s v="CUST-1124"/>
    <x v="2"/>
    <n v="1145400"/>
    <n v="0.2"/>
    <n v="229080"/>
    <n v="916320"/>
    <n v="8.9700000000000002E-2"/>
    <n v="72"/>
    <n v="7.4749999999999999E-3"/>
    <n v="16503.520190220781"/>
    <n v="1188253.4536958961"/>
    <n v="271933.45369589631"/>
    <n v="9163.2000000000007"/>
    <n v="357364.8"/>
    <x v="0"/>
    <n v="0"/>
    <n v="-76268.14630410372"/>
    <x v="3"/>
    <s v="Nov-2025"/>
    <x v="2"/>
    <x v="2"/>
    <x v="1"/>
    <n v="281096.65369589633"/>
    <n v="357364.8"/>
    <n v="-76268.14630410372"/>
    <n v="-8.3233091391766767E-2"/>
    <n v="0"/>
    <s v="OK"/>
  </r>
  <r>
    <s v="LN-0125"/>
    <s v="CUST-1125"/>
    <x v="2"/>
    <n v="1159300"/>
    <n v="0.15"/>
    <n v="173895"/>
    <n v="985405"/>
    <n v="9.8699999999999996E-2"/>
    <n v="60"/>
    <n v="8.2249999999999997E-3"/>
    <n v="20873.96807836659"/>
    <n v="1252438.0847019961"/>
    <n v="267033.0847019956"/>
    <n v="9854.0500000000011"/>
    <n v="320256.625"/>
    <x v="0"/>
    <n v="0"/>
    <n v="-43369.490298004413"/>
    <x v="2"/>
    <s v="Feb-2025"/>
    <x v="2"/>
    <x v="2"/>
    <x v="1"/>
    <n v="276887.13470199559"/>
    <n v="320256.625"/>
    <n v="-43369.490298004413"/>
    <n v="-4.4011843148760582E-2"/>
    <n v="0"/>
    <s v="OK"/>
  </r>
  <r>
    <s v="LN-0126"/>
    <s v="CUST-1126"/>
    <x v="3"/>
    <n v="72100"/>
    <n v="0.05"/>
    <n v="3605"/>
    <n v="68495"/>
    <n v="0.186"/>
    <n v="24"/>
    <n v="1.55E-2"/>
    <n v="3439.4415118470838"/>
    <n v="82546.596284330022"/>
    <n v="14051.59628433002"/>
    <n v="684.95"/>
    <n v="8904.35"/>
    <x v="1"/>
    <n v="27398"/>
    <n v="-21565.803715669979"/>
    <x v="2"/>
    <s v="May-2025"/>
    <x v="0"/>
    <x v="1"/>
    <x v="0"/>
    <n v="14736.546284330019"/>
    <n v="36302.35"/>
    <n v="-21565.803715669979"/>
    <n v="-0.31485223323848432"/>
    <n v="0.4"/>
    <s v="OK"/>
  </r>
  <r>
    <s v="LN-0127"/>
    <s v="CUST-1127"/>
    <x v="3"/>
    <n v="104900"/>
    <n v="0.15"/>
    <n v="15735"/>
    <n v="89165"/>
    <n v="0.20230000000000001"/>
    <n v="3"/>
    <n v="1.6858333333333329E-2"/>
    <n v="30729.366326255011"/>
    <n v="92188.098978765047"/>
    <n v="3023.0989787650469"/>
    <n v="891.65"/>
    <n v="1448.9312500000001"/>
    <x v="0"/>
    <n v="0"/>
    <n v="2465.8177287650469"/>
    <x v="3"/>
    <s v="Apr-2025"/>
    <x v="0"/>
    <x v="1"/>
    <x v="2"/>
    <n v="3914.748978765047"/>
    <n v="1448.9312500000001"/>
    <n v="2465.8177287650469"/>
    <n v="2.765454751040259E-2"/>
    <n v="0"/>
    <s v="OK"/>
  </r>
  <r>
    <s v="LN-0128"/>
    <s v="CUST-1128"/>
    <x v="0"/>
    <n v="144600"/>
    <n v="0.15"/>
    <n v="21690"/>
    <n v="122910"/>
    <n v="0.15090000000000001"/>
    <n v="60"/>
    <n v="1.2574999999999999E-2"/>
    <n v="2929.8300430492809"/>
    <n v="175789.80258295691"/>
    <n v="52879.80258295688"/>
    <n v="1229.0999999999999"/>
    <n v="39945.75"/>
    <x v="0"/>
    <n v="0"/>
    <n v="14163.15258295688"/>
    <x v="1"/>
    <s v="Nov-2025"/>
    <x v="1"/>
    <x v="1"/>
    <x v="1"/>
    <n v="54108.902582956878"/>
    <n v="39945.75"/>
    <n v="14163.15258295688"/>
    <n v="0.1152318979981847"/>
    <n v="0"/>
    <s v="OK"/>
  </r>
  <r>
    <s v="LN-0129"/>
    <s v="CUST-1129"/>
    <x v="3"/>
    <n v="78300"/>
    <n v="0"/>
    <n v="0"/>
    <n v="78300"/>
    <n v="0.14319999999999999"/>
    <n v="12"/>
    <n v="1.1933333333333331E-2"/>
    <n v="7042.1260470391653"/>
    <n v="84505.512564469987"/>
    <n v="6205.5125644699874"/>
    <n v="783"/>
    <n v="5089.5"/>
    <x v="0"/>
    <n v="0"/>
    <n v="1899.012564469987"/>
    <x v="1"/>
    <s v="Feb-2025"/>
    <x v="0"/>
    <x v="0"/>
    <x v="2"/>
    <n v="6988.5125644699874"/>
    <n v="5089.5"/>
    <n v="1899.012564469987"/>
    <n v="2.42530340289909E-2"/>
    <n v="0"/>
    <s v="OK"/>
  </r>
  <r>
    <s v="LN-0130"/>
    <s v="CUST-1130"/>
    <x v="2"/>
    <n v="759400"/>
    <n v="0.15"/>
    <n v="113910"/>
    <n v="645490"/>
    <n v="9.7500000000000003E-2"/>
    <n v="48"/>
    <n v="8.1250000000000003E-3"/>
    <n v="16293.904726090121"/>
    <n v="782107.42685232591"/>
    <n v="136617.42685232591"/>
    <n v="6454.9000000000005"/>
    <n v="167827.4"/>
    <x v="0"/>
    <n v="0"/>
    <n v="-24755.073147674091"/>
    <x v="3"/>
    <s v="Sep-2025"/>
    <x v="2"/>
    <x v="2"/>
    <x v="1"/>
    <n v="143072.3268523259"/>
    <n v="167827.4"/>
    <n v="-24755.073147674091"/>
    <n v="-3.8350823634253191E-2"/>
    <n v="0"/>
    <s v="OK"/>
  </r>
  <r>
    <s v="LN-0131"/>
    <s v="CUST-1131"/>
    <x v="1"/>
    <n v="59100"/>
    <n v="0.1"/>
    <n v="5910"/>
    <n v="53190"/>
    <n v="0.13320000000000001"/>
    <n v="18"/>
    <n v="1.11E-2"/>
    <n v="3276.3443018887169"/>
    <n v="58974.197433996917"/>
    <n v="5784.1974339969174"/>
    <n v="531.9"/>
    <n v="5186.0249999999996"/>
    <x v="0"/>
    <n v="0"/>
    <n v="1130.072433996917"/>
    <x v="3"/>
    <s v="Feb-2025"/>
    <x v="0"/>
    <x v="0"/>
    <x v="0"/>
    <n v="6316.0974339969162"/>
    <n v="5186.0249999999996"/>
    <n v="1130.072433996917"/>
    <n v="2.124595664592812E-2"/>
    <n v="0"/>
    <s v="OK"/>
  </r>
  <r>
    <s v="LN-0132"/>
    <s v="CUST-1132"/>
    <x v="1"/>
    <n v="34400"/>
    <n v="0.15"/>
    <n v="5160"/>
    <n v="29240"/>
    <n v="0.18029999999999999"/>
    <n v="9"/>
    <n v="1.5025E-2"/>
    <n v="3497.8134142524209"/>
    <n v="31480.320728271789"/>
    <n v="2240.3207282717922"/>
    <n v="499"/>
    <n v="1425.45"/>
    <x v="0"/>
    <n v="0"/>
    <n v="1313.8707282717919"/>
    <x v="3"/>
    <s v="Feb-2025"/>
    <x v="0"/>
    <x v="1"/>
    <x v="2"/>
    <n v="2739.3207282717922"/>
    <n v="1425.45"/>
    <n v="1313.8707282717919"/>
    <n v="4.4934019434739812E-2"/>
    <n v="0"/>
    <s v="OK"/>
  </r>
  <r>
    <s v="LN-0133"/>
    <s v="CUST-1133"/>
    <x v="2"/>
    <n v="415300"/>
    <n v="0.2"/>
    <n v="83060"/>
    <n v="332240"/>
    <n v="0.1011"/>
    <n v="72"/>
    <n v="8.4250000000000002E-3"/>
    <n v="6173.4699877673766"/>
    <n v="444489.83911925118"/>
    <n v="112249.83911925121"/>
    <n v="3322.4"/>
    <n v="129573.6"/>
    <x v="0"/>
    <n v="0"/>
    <n v="-14001.360880748831"/>
    <x v="3"/>
    <s v="Oct-2025"/>
    <x v="3"/>
    <x v="0"/>
    <x v="1"/>
    <n v="115572.2391192512"/>
    <n v="129573.6"/>
    <n v="-14001.360880748831"/>
    <n v="-4.2142309417134698E-2"/>
    <n v="0"/>
    <s v="OK"/>
  </r>
  <r>
    <s v="LN-0134"/>
    <s v="CUST-1134"/>
    <x v="1"/>
    <n v="104800"/>
    <n v="0.05"/>
    <n v="5240"/>
    <n v="99560"/>
    <n v="0.1497"/>
    <n v="36"/>
    <n v="1.2475E-2"/>
    <n v="3449.8176367730139"/>
    <n v="124193.43492382851"/>
    <n v="24633.434923828489"/>
    <n v="995.6"/>
    <n v="19414.2"/>
    <x v="0"/>
    <n v="0"/>
    <n v="6214.83492382849"/>
    <x v="3"/>
    <s v="Oct-2025"/>
    <x v="0"/>
    <x v="0"/>
    <x v="0"/>
    <n v="25629.034923828491"/>
    <n v="19414.2"/>
    <n v="6214.83492382849"/>
    <n v="6.2423010484416327E-2"/>
    <n v="0"/>
    <s v="OK"/>
  </r>
  <r>
    <s v="LN-0135"/>
    <s v="CUST-1135"/>
    <x v="3"/>
    <n v="15100"/>
    <n v="0.05"/>
    <n v="755"/>
    <n v="14345"/>
    <n v="0.2059"/>
    <n v="24"/>
    <n v="1.7158333333333331E-2"/>
    <n v="734.24153130864397"/>
    <n v="17621.796751407459"/>
    <n v="3276.7967514074548"/>
    <n v="499"/>
    <n v="1864.85"/>
    <x v="0"/>
    <n v="0"/>
    <n v="1910.9467514074549"/>
    <x v="0"/>
    <s v="Mar-2025"/>
    <x v="0"/>
    <x v="1"/>
    <x v="0"/>
    <n v="3775.7967514074548"/>
    <n v="1864.85"/>
    <n v="1910.9467514074549"/>
    <n v="0.1332134368356539"/>
    <n v="0"/>
    <s v="OK"/>
  </r>
  <r>
    <s v="LN-0136"/>
    <s v="CUST-1136"/>
    <x v="3"/>
    <n v="12200"/>
    <n v="0"/>
    <n v="0"/>
    <n v="12200"/>
    <n v="0.21970000000000001"/>
    <n v="3"/>
    <n v="1.8308333333333329E-2"/>
    <n v="4216.4749274253627"/>
    <n v="12649.42478227609"/>
    <n v="449.42478227608808"/>
    <n v="499"/>
    <n v="198.25"/>
    <x v="2"/>
    <n v="0"/>
    <n v="750.17478227608808"/>
    <x v="1"/>
    <s v="Jul-2025"/>
    <x v="0"/>
    <x v="1"/>
    <x v="2"/>
    <n v="948.42478227608808"/>
    <n v="198.25"/>
    <n v="750.17478227608808"/>
    <n v="6.1489736252138369E-2"/>
    <n v="0"/>
    <s v="OK"/>
  </r>
  <r>
    <s v="LN-0137"/>
    <s v="CUST-1137"/>
    <x v="1"/>
    <n v="108800"/>
    <n v="0.15"/>
    <n v="16320"/>
    <n v="92480"/>
    <n v="0.17949999999999999"/>
    <n v="24"/>
    <n v="1.495833333333333E-2"/>
    <n v="4614.7470458079706"/>
    <n v="110753.9290993913"/>
    <n v="18273.929099391298"/>
    <n v="924.80000000000007"/>
    <n v="12022.4"/>
    <x v="0"/>
    <n v="0"/>
    <n v="7176.3290993913006"/>
    <x v="1"/>
    <s v="Jul-2025"/>
    <x v="0"/>
    <x v="1"/>
    <x v="0"/>
    <n v="19198.729099391301"/>
    <n v="12022.4"/>
    <n v="7176.3290993913006"/>
    <n v="7.7598714310027045E-2"/>
    <n v="0"/>
    <s v="OK"/>
  </r>
  <r>
    <s v="LN-0138"/>
    <s v="CUST-1138"/>
    <x v="0"/>
    <n v="260100"/>
    <n v="0.05"/>
    <n v="13005"/>
    <n v="247095"/>
    <n v="0.14929999999999999"/>
    <n v="36"/>
    <n v="1.244166666666667E-2"/>
    <n v="8557.1615294341482"/>
    <n v="308057.81505962933"/>
    <n v="60962.815059629327"/>
    <n v="2470.9499999999998"/>
    <n v="48183.525000000001"/>
    <x v="0"/>
    <n v="0"/>
    <n v="15250.240059629319"/>
    <x v="1"/>
    <s v="Aug-2025"/>
    <x v="1"/>
    <x v="0"/>
    <x v="0"/>
    <n v="63433.765059629317"/>
    <n v="48183.525000000001"/>
    <n v="15250.240059629319"/>
    <n v="6.1718124849265761E-2"/>
    <n v="0"/>
    <s v="OK"/>
  </r>
  <r>
    <s v="LN-0139"/>
    <s v="CUST-1139"/>
    <x v="1"/>
    <n v="54500"/>
    <n v="0.1"/>
    <n v="5450"/>
    <n v="49050"/>
    <n v="0.14899999999999999"/>
    <n v="36"/>
    <n v="1.241666666666667E-2"/>
    <n v="1697.9333464625799"/>
    <n v="61125.600472652877"/>
    <n v="12075.600472652881"/>
    <n v="499"/>
    <n v="9564.75"/>
    <x v="0"/>
    <n v="0"/>
    <n v="3009.8504726528772"/>
    <x v="3"/>
    <s v="Jan-2025"/>
    <x v="0"/>
    <x v="0"/>
    <x v="0"/>
    <n v="12574.600472652881"/>
    <n v="9564.75"/>
    <n v="3009.8504726528772"/>
    <n v="6.1362904641241132E-2"/>
    <n v="0"/>
    <s v="OK"/>
  </r>
  <r>
    <s v="LN-0140"/>
    <s v="CUST-1140"/>
    <x v="1"/>
    <n v="48700"/>
    <n v="0"/>
    <n v="0"/>
    <n v="48700"/>
    <n v="0.1298"/>
    <n v="18"/>
    <n v="1.0816666666666671E-2"/>
    <n v="2992.043365604904"/>
    <n v="53856.780580888269"/>
    <n v="5156.7805808882686"/>
    <n v="499"/>
    <n v="4748.25"/>
    <x v="0"/>
    <n v="0"/>
    <n v="907.53058088826947"/>
    <x v="0"/>
    <s v="Jan-2025"/>
    <x v="0"/>
    <x v="0"/>
    <x v="0"/>
    <n v="5655.7805808882686"/>
    <n v="4748.25"/>
    <n v="907.53058088826947"/>
    <n v="1.8635124864235509E-2"/>
    <n v="0"/>
    <s v="OK"/>
  </r>
  <r>
    <s v="LN-0141"/>
    <s v="CUST-1141"/>
    <x v="2"/>
    <n v="667900"/>
    <n v="0.15"/>
    <n v="100185"/>
    <n v="567715"/>
    <n v="8.8800000000000004E-2"/>
    <n v="84"/>
    <n v="7.4000000000000003E-3"/>
    <n v="9099.4750114221661"/>
    <n v="764355.90095946193"/>
    <n v="196640.9009594619"/>
    <n v="5677.1500000000005"/>
    <n v="258310.32500000001"/>
    <x v="2"/>
    <n v="0"/>
    <n v="-55992.274040538061"/>
    <x v="1"/>
    <s v="Oct-2025"/>
    <x v="2"/>
    <x v="2"/>
    <x v="1"/>
    <n v="202318.05095946189"/>
    <n v="258310.32500000001"/>
    <n v="-55992.274040538061"/>
    <n v="-9.8627434611623904E-2"/>
    <n v="0"/>
    <s v="OK"/>
  </r>
  <r>
    <s v="LN-0142"/>
    <s v="CUST-1142"/>
    <x v="3"/>
    <n v="105400"/>
    <n v="0.15"/>
    <n v="15810"/>
    <n v="89590"/>
    <n v="0.1663"/>
    <n v="6"/>
    <n v="1.385833333333333E-2"/>
    <n v="15664.220378165501"/>
    <n v="93985.322268992968"/>
    <n v="4395.322268992968"/>
    <n v="895.9"/>
    <n v="2911.6750000000002"/>
    <x v="1"/>
    <n v="35836"/>
    <n v="-33456.452731007033"/>
    <x v="1"/>
    <s v="Mar-2025"/>
    <x v="0"/>
    <x v="1"/>
    <x v="2"/>
    <n v="5291.2222689929677"/>
    <n v="38747.675000000003"/>
    <n v="-33456.452731007033"/>
    <n v="-0.37343958846977382"/>
    <n v="0.4"/>
    <s v="OK"/>
  </r>
  <r>
    <s v="LN-0143"/>
    <s v="CUST-1143"/>
    <x v="1"/>
    <n v="124800"/>
    <n v="0.05"/>
    <n v="6240"/>
    <n v="118560"/>
    <n v="0.1288"/>
    <n v="6"/>
    <n v="1.0733333333333331E-2"/>
    <n v="20508.921105660022"/>
    <n v="123053.52663396009"/>
    <n v="4493.5266339601076"/>
    <n v="1185.5999999999999"/>
    <n v="3853.2"/>
    <x v="1"/>
    <n v="47424"/>
    <n v="-45598.073366039891"/>
    <x v="1"/>
    <s v="Oct-2025"/>
    <x v="1"/>
    <x v="0"/>
    <x v="2"/>
    <n v="5679.1266339601079"/>
    <n v="51277.2"/>
    <n v="-45598.073366039891"/>
    <n v="-0.38459913432894638"/>
    <n v="0.4"/>
    <s v="OK"/>
  </r>
  <r>
    <s v="LN-0144"/>
    <s v="CUST-1144"/>
    <x v="1"/>
    <n v="46800"/>
    <n v="0.15"/>
    <n v="7020"/>
    <n v="39780"/>
    <n v="0.1242"/>
    <n v="36"/>
    <n v="1.035E-2"/>
    <n v="1329.25932494987"/>
    <n v="47853.335698195311"/>
    <n v="8073.3356981953111"/>
    <n v="499"/>
    <n v="7757.1"/>
    <x v="0"/>
    <n v="0"/>
    <n v="815.23569819531076"/>
    <x v="0"/>
    <s v="Aug-2025"/>
    <x v="0"/>
    <x v="0"/>
    <x v="0"/>
    <n v="8572.3356981953111"/>
    <n v="7757.1"/>
    <n v="815.23569819531076"/>
    <n v="2.0493607295005298E-2"/>
    <n v="0"/>
    <s v="OK"/>
  </r>
  <r>
    <s v="LN-0145"/>
    <s v="CUST-1145"/>
    <x v="1"/>
    <n v="70300"/>
    <n v="0.2"/>
    <n v="14060"/>
    <n v="56240"/>
    <n v="0.16750000000000001"/>
    <n v="18"/>
    <n v="1.395833333333333E-2"/>
    <n v="3555.0141377982709"/>
    <n v="63990.254480368887"/>
    <n v="7750.254480368887"/>
    <n v="562.4"/>
    <n v="5483.4"/>
    <x v="2"/>
    <n v="0"/>
    <n v="2829.254480368887"/>
    <x v="0"/>
    <s v="Dec-2025"/>
    <x v="0"/>
    <x v="1"/>
    <x v="0"/>
    <n v="8312.6544803688867"/>
    <n v="5483.4"/>
    <n v="2829.254480368887"/>
    <n v="5.0306800860044222E-2"/>
    <n v="0"/>
    <s v="OK"/>
  </r>
  <r>
    <s v="LN-0146"/>
    <s v="CUST-1146"/>
    <x v="2"/>
    <n v="1353700"/>
    <n v="0.1"/>
    <n v="135370"/>
    <n v="1218330"/>
    <n v="0.10059999999999999"/>
    <n v="72"/>
    <n v="8.3833333333333329E-3"/>
    <n v="22607.46425533294"/>
    <n v="1627737.4263839719"/>
    <n v="409407.4263839717"/>
    <n v="12183.3"/>
    <n v="475148.7"/>
    <x v="2"/>
    <n v="0"/>
    <n v="-53557.973616028263"/>
    <x v="2"/>
    <s v="Jul-2025"/>
    <x v="2"/>
    <x v="0"/>
    <x v="1"/>
    <n v="421590.72638397169"/>
    <n v="475148.7"/>
    <n v="-53557.973616028263"/>
    <n v="-4.3960153337788833E-2"/>
    <n v="0"/>
    <s v="OK"/>
  </r>
  <r>
    <s v="LN-0147"/>
    <s v="CUST-1147"/>
    <x v="1"/>
    <n v="38500"/>
    <n v="0"/>
    <n v="0"/>
    <n v="38500"/>
    <n v="0.17699999999999999"/>
    <n v="18"/>
    <n v="1.4749999999999999E-2"/>
    <n v="2451.0202576040751"/>
    <n v="44118.364636873353"/>
    <n v="5618.3646368733534"/>
    <n v="499"/>
    <n v="3753.75"/>
    <x v="0"/>
    <n v="0"/>
    <n v="2363.614636873353"/>
    <x v="3"/>
    <s v="Oct-2025"/>
    <x v="0"/>
    <x v="1"/>
    <x v="0"/>
    <n v="6117.3646368733534"/>
    <n v="3753.75"/>
    <n v="2363.614636873353"/>
    <n v="6.1392587970736448E-2"/>
    <n v="0"/>
    <s v="OK"/>
  </r>
  <r>
    <s v="LN-0148"/>
    <s v="CUST-1148"/>
    <x v="3"/>
    <n v="22100"/>
    <n v="0.15"/>
    <n v="3315"/>
    <n v="18785"/>
    <n v="0.18990000000000001"/>
    <n v="18"/>
    <n v="1.5824999999999999E-2"/>
    <n v="1207.4753416615511"/>
    <n v="21734.556149907919"/>
    <n v="2949.556149907919"/>
    <n v="499"/>
    <n v="1831.5374999999999"/>
    <x v="0"/>
    <n v="0"/>
    <n v="1617.0186499079191"/>
    <x v="2"/>
    <s v="Oct-2025"/>
    <x v="0"/>
    <x v="1"/>
    <x v="0"/>
    <n v="3448.556149907919"/>
    <n v="1831.5374999999999"/>
    <n v="1617.0186499079191"/>
    <n v="8.6080311413783306E-2"/>
    <n v="0"/>
    <s v="OK"/>
  </r>
  <r>
    <s v="LN-0149"/>
    <s v="CUST-1149"/>
    <x v="1"/>
    <n v="81700"/>
    <n v="0"/>
    <n v="0"/>
    <n v="81700"/>
    <n v="0.16839999999999999"/>
    <n v="6"/>
    <n v="1.403333333333333E-2"/>
    <n v="14293.237949180089"/>
    <n v="85759.427695080522"/>
    <n v="4059.427695080522"/>
    <n v="817"/>
    <n v="2655.25"/>
    <x v="0"/>
    <n v="0"/>
    <n v="2221.177695080522"/>
    <x v="1"/>
    <s v="Jul-2025"/>
    <x v="0"/>
    <x v="1"/>
    <x v="2"/>
    <n v="4876.4276950805224"/>
    <n v="2655.25"/>
    <n v="2221.177695080522"/>
    <n v="2.7186997491805649E-2"/>
    <n v="0"/>
    <s v="OK"/>
  </r>
  <r>
    <s v="LN-0150"/>
    <s v="CUST-1150"/>
    <x v="1"/>
    <n v="53600"/>
    <n v="0.15"/>
    <n v="8040"/>
    <n v="45560"/>
    <n v="0.14710000000000001"/>
    <n v="18"/>
    <n v="1.2258333333333329E-2"/>
    <n v="2836.0366680872598"/>
    <n v="51048.660025570687"/>
    <n v="5488.6600255706871"/>
    <n v="499"/>
    <n v="4442.1000000000004"/>
    <x v="0"/>
    <n v="0"/>
    <n v="1545.560025570687"/>
    <x v="0"/>
    <s v="Jun-2025"/>
    <x v="0"/>
    <x v="0"/>
    <x v="0"/>
    <n v="5987.6600255706871"/>
    <n v="4442.1000000000004"/>
    <n v="1545.560025570687"/>
    <n v="3.3923617769330262E-2"/>
    <n v="0"/>
    <s v="OK"/>
  </r>
  <r>
    <s v="LN-0151"/>
    <s v="CUST-1151"/>
    <x v="1"/>
    <n v="108100"/>
    <n v="0.15"/>
    <n v="16215"/>
    <n v="91885"/>
    <n v="0.14990000000000001"/>
    <n v="9"/>
    <n v="1.249166666666667E-2"/>
    <n v="10857.661981575169"/>
    <n v="97718.957834176501"/>
    <n v="5833.9578341765009"/>
    <n v="918.85"/>
    <n v="4479.3937500000002"/>
    <x v="2"/>
    <n v="0"/>
    <n v="2273.4140841765011"/>
    <x v="0"/>
    <s v="Feb-2025"/>
    <x v="0"/>
    <x v="0"/>
    <x v="2"/>
    <n v="6752.8078341765013"/>
    <n v="4479.3937500000002"/>
    <n v="2273.4140841765011"/>
    <n v="2.474195009170704E-2"/>
    <n v="0"/>
    <s v="OK"/>
  </r>
  <r>
    <s v="LN-0152"/>
    <s v="CUST-1152"/>
    <x v="1"/>
    <n v="118100"/>
    <n v="0.2"/>
    <n v="23620"/>
    <n v="94480"/>
    <n v="0.14979999999999999"/>
    <n v="9"/>
    <n v="1.2483333333333331E-2"/>
    <n v="11163.85032842683"/>
    <n v="100474.65295584151"/>
    <n v="5994.6529558414768"/>
    <n v="944.80000000000007"/>
    <n v="4605.8999999999996"/>
    <x v="1"/>
    <n v="37792"/>
    <n v="-35458.447044158522"/>
    <x v="3"/>
    <s v="Nov-2025"/>
    <x v="0"/>
    <x v="0"/>
    <x v="2"/>
    <n v="6939.452955841477"/>
    <n v="42397.9"/>
    <n v="-35458.447044158522"/>
    <n v="-0.37530109064520029"/>
    <n v="0.4"/>
    <s v="OK"/>
  </r>
  <r>
    <s v="LN-0153"/>
    <s v="CUST-1153"/>
    <x v="3"/>
    <n v="47600"/>
    <n v="0.2"/>
    <n v="9520"/>
    <n v="38080"/>
    <n v="0.19320000000000001"/>
    <n v="12"/>
    <n v="1.61E-2"/>
    <n v="3515.1407766686762"/>
    <n v="42181.68932002411"/>
    <n v="4101.6893200241102"/>
    <n v="499"/>
    <n v="2475.1999999999998"/>
    <x v="1"/>
    <n v="15232"/>
    <n v="-13106.510679975891"/>
    <x v="3"/>
    <s v="Oct-2025"/>
    <x v="0"/>
    <x v="1"/>
    <x v="2"/>
    <n v="4600.6893200241102"/>
    <n v="17707.2"/>
    <n v="-13106.510679975891"/>
    <n v="-0.34418357878087952"/>
    <n v="0.4"/>
    <s v="OK"/>
  </r>
  <r>
    <s v="LN-0154"/>
    <s v="CUST-1154"/>
    <x v="3"/>
    <n v="19600"/>
    <n v="0.2"/>
    <n v="3920"/>
    <n v="15680"/>
    <n v="0.18060000000000001"/>
    <n v="6"/>
    <n v="1.5049999999999999E-2"/>
    <n v="2752.704020646112"/>
    <n v="16516.224123876669"/>
    <n v="836.22412387667282"/>
    <n v="499"/>
    <n v="509.6"/>
    <x v="0"/>
    <n v="0"/>
    <n v="825.6241238766728"/>
    <x v="0"/>
    <s v="Jun-2025"/>
    <x v="0"/>
    <x v="1"/>
    <x v="2"/>
    <n v="1335.224123876673"/>
    <n v="509.6"/>
    <n v="825.6241238766728"/>
    <n v="5.2654599737032702E-2"/>
    <n v="0"/>
    <s v="OK"/>
  </r>
  <r>
    <s v="LN-0155"/>
    <s v="CUST-1155"/>
    <x v="2"/>
    <n v="804300"/>
    <n v="0.15"/>
    <n v="120645"/>
    <n v="683655"/>
    <n v="0.1079"/>
    <n v="84"/>
    <n v="8.9916666666666669E-3"/>
    <n v="11630.489051752869"/>
    <n v="976961.08034724137"/>
    <n v="293306.08034724143"/>
    <n v="6836.55"/>
    <n v="311063.02500000002"/>
    <x v="0"/>
    <n v="0"/>
    <n v="-10920.39465275867"/>
    <x v="0"/>
    <s v="Oct-2025"/>
    <x v="2"/>
    <x v="0"/>
    <x v="1"/>
    <n v="300142.63034724141"/>
    <n v="311063.02500000002"/>
    <n v="-10920.39465275867"/>
    <n v="-1.5973546090877221E-2"/>
    <n v="0"/>
    <s v="OK"/>
  </r>
  <r>
    <s v="LN-0156"/>
    <s v="CUST-1156"/>
    <x v="2"/>
    <n v="1312400"/>
    <n v="0.2"/>
    <n v="262480"/>
    <n v="1049920"/>
    <n v="9.2999999999999999E-2"/>
    <n v="48"/>
    <n v="7.7499999999999999E-3"/>
    <n v="26277.12110215312"/>
    <n v="1261301.81290335"/>
    <n v="211381.81290334949"/>
    <n v="10499.2"/>
    <n v="272979.20000000001"/>
    <x v="0"/>
    <n v="0"/>
    <n v="-51098.187096650479"/>
    <x v="3"/>
    <s v="Jun-2025"/>
    <x v="2"/>
    <x v="2"/>
    <x v="1"/>
    <n v="221881.0129033495"/>
    <n v="272979.20000000001"/>
    <n v="-51098.187096650479"/>
    <n v="-4.8668648179528422E-2"/>
    <n v="0"/>
    <s v="OK"/>
  </r>
  <r>
    <s v="LN-0157"/>
    <s v="CUST-1157"/>
    <x v="1"/>
    <n v="47700"/>
    <n v="0.15"/>
    <n v="7155"/>
    <n v="40545"/>
    <n v="0.13150000000000001"/>
    <n v="36"/>
    <n v="1.095833333333333E-2"/>
    <n v="1369.0524744052691"/>
    <n v="49285.88907858968"/>
    <n v="8740.8890785896801"/>
    <n v="499"/>
    <n v="7906.2750000000005"/>
    <x v="2"/>
    <n v="0"/>
    <n v="1333.61407858968"/>
    <x v="0"/>
    <s v="Feb-2025"/>
    <x v="0"/>
    <x v="0"/>
    <x v="0"/>
    <n v="9239.8890785896801"/>
    <n v="7906.2750000000005"/>
    <n v="1333.61407858968"/>
    <n v="3.2892195797007757E-2"/>
    <n v="0"/>
    <s v="OK"/>
  </r>
  <r>
    <s v="LN-0158"/>
    <s v="CUST-1158"/>
    <x v="0"/>
    <n v="111600"/>
    <n v="0.1"/>
    <n v="11160"/>
    <n v="100440"/>
    <n v="0.1336"/>
    <n v="36"/>
    <n v="1.113333333333333E-2"/>
    <n v="3401.6629337502968"/>
    <n v="122459.8656150107"/>
    <n v="22019.865615010702"/>
    <n v="1004.4"/>
    <n v="19585.8"/>
    <x v="0"/>
    <n v="0"/>
    <n v="3438.4656150106971"/>
    <x v="3"/>
    <s v="Oct-2025"/>
    <x v="1"/>
    <x v="0"/>
    <x v="0"/>
    <n v="23024.2656150107"/>
    <n v="19585.8"/>
    <n v="3438.4656150106971"/>
    <n v="3.4234026433798248E-2"/>
    <n v="0"/>
    <s v="OK"/>
  </r>
  <r>
    <s v="LN-0159"/>
    <s v="CUST-1159"/>
    <x v="0"/>
    <n v="272000"/>
    <n v="0.05"/>
    <n v="13600"/>
    <n v="258400"/>
    <n v="0.1124"/>
    <n v="60"/>
    <n v="9.3666666666666672E-3"/>
    <n v="5649.2194852974144"/>
    <n v="338953.16911784478"/>
    <n v="80553.169117844838"/>
    <n v="2584"/>
    <n v="83980"/>
    <x v="0"/>
    <n v="0"/>
    <n v="-842.83088215516182"/>
    <x v="3"/>
    <s v="Aug-2025"/>
    <x v="3"/>
    <x v="0"/>
    <x v="1"/>
    <n v="83137.169117844838"/>
    <n v="83980"/>
    <n v="-842.83088215516182"/>
    <n v="-3.2617294201051149E-3"/>
    <n v="0"/>
    <s v="OK"/>
  </r>
  <r>
    <s v="LN-0160"/>
    <s v="CUST-1160"/>
    <x v="0"/>
    <n v="176600"/>
    <n v="0.1"/>
    <n v="17660"/>
    <n v="158940"/>
    <n v="0.13539999999999999"/>
    <n v="36"/>
    <n v="1.1283333333333329E-2"/>
    <n v="5396.750114136019"/>
    <n v="194283.00410889671"/>
    <n v="35343.004108896683"/>
    <n v="1589.4"/>
    <n v="30993.3"/>
    <x v="0"/>
    <n v="0"/>
    <n v="5939.1041088966813"/>
    <x v="0"/>
    <s v="Jun-2025"/>
    <x v="1"/>
    <x v="0"/>
    <x v="0"/>
    <n v="36932.404108896677"/>
    <n v="30993.3"/>
    <n v="5939.1041088966813"/>
    <n v="3.736695676920021E-2"/>
    <n v="0"/>
    <s v="OK"/>
  </r>
  <r>
    <s v="LN-0161"/>
    <s v="CUST-1161"/>
    <x v="1"/>
    <n v="60400"/>
    <n v="0.2"/>
    <n v="12080"/>
    <n v="48320"/>
    <n v="0.17430000000000001"/>
    <n v="18"/>
    <n v="1.4525E-2"/>
    <n v="3069.9818677112048"/>
    <n v="55259.673618801688"/>
    <n v="6939.6736188016948"/>
    <n v="499"/>
    <n v="4711.2000000000007"/>
    <x v="0"/>
    <n v="0"/>
    <n v="2727.4736188016941"/>
    <x v="0"/>
    <s v="Apr-2025"/>
    <x v="0"/>
    <x v="1"/>
    <x v="0"/>
    <n v="7438.6736188016948"/>
    <n v="4711.2000000000007"/>
    <n v="2727.4736188016941"/>
    <n v="5.6446059991756913E-2"/>
    <n v="0"/>
    <s v="OK"/>
  </r>
  <r>
    <s v="LN-0162"/>
    <s v="CUST-1162"/>
    <x v="1"/>
    <n v="99900"/>
    <n v="0.05"/>
    <n v="4995"/>
    <n v="94905"/>
    <n v="0.1206"/>
    <n v="12"/>
    <n v="1.005E-2"/>
    <n v="8434.85836568591"/>
    <n v="101218.3003882309"/>
    <n v="6313.3003882309131"/>
    <n v="949.05000000000007"/>
    <n v="6168.8249999999998"/>
    <x v="0"/>
    <n v="0"/>
    <n v="1093.525388230913"/>
    <x v="3"/>
    <s v="May-2025"/>
    <x v="0"/>
    <x v="0"/>
    <x v="2"/>
    <n v="7262.3503882309133"/>
    <n v="6168.8249999999998"/>
    <n v="1093.525388230913"/>
    <n v="1.152231587620161E-2"/>
    <n v="0"/>
    <s v="OK"/>
  </r>
  <r>
    <s v="LN-0163"/>
    <s v="CUST-1163"/>
    <x v="1"/>
    <n v="26000"/>
    <n v="0.05"/>
    <n v="1300"/>
    <n v="24700"/>
    <n v="0.17979999999999999"/>
    <n v="9"/>
    <n v="1.4983333333333329E-2"/>
    <n v="2954.1248975483281"/>
    <n v="26587.12407793495"/>
    <n v="1887.1240779349539"/>
    <n v="499"/>
    <n v="1204.125"/>
    <x v="0"/>
    <n v="0"/>
    <n v="1181.9990779349539"/>
    <x v="1"/>
    <s v="Sep-2025"/>
    <x v="0"/>
    <x v="1"/>
    <x v="2"/>
    <n v="2386.1240779349541"/>
    <n v="1204.125"/>
    <n v="1181.9990779349539"/>
    <n v="4.7854213681577072E-2"/>
    <n v="0"/>
    <s v="OK"/>
  </r>
  <r>
    <s v="LN-0164"/>
    <s v="CUST-1164"/>
    <x v="1"/>
    <n v="108500"/>
    <n v="0"/>
    <n v="0"/>
    <n v="108500"/>
    <n v="0.14829999999999999"/>
    <n v="18"/>
    <n v="1.2358333333333331E-2"/>
    <n v="6760.0718638658427"/>
    <n v="121681.2935495852"/>
    <n v="13181.293549585171"/>
    <n v="1085"/>
    <n v="10578.75"/>
    <x v="0"/>
    <n v="0"/>
    <n v="3687.5435495851711"/>
    <x v="2"/>
    <s v="Feb-2025"/>
    <x v="1"/>
    <x v="0"/>
    <x v="0"/>
    <n v="14266.293549585171"/>
    <n v="10578.75"/>
    <n v="3687.5435495851711"/>
    <n v="3.3986576493872538E-2"/>
    <n v="0"/>
    <s v="OK"/>
  </r>
  <r>
    <s v="LN-0165"/>
    <s v="CUST-1165"/>
    <x v="2"/>
    <n v="1033300"/>
    <n v="0.2"/>
    <n v="206660"/>
    <n v="826640"/>
    <n v="0.1022"/>
    <n v="72"/>
    <n v="8.5166666666666672E-3"/>
    <n v="15406.06640990328"/>
    <n v="1109236.781513036"/>
    <n v="282596.78151303652"/>
    <n v="8266.4"/>
    <n v="322389.59999999998"/>
    <x v="2"/>
    <n v="0"/>
    <n v="-31526.418486963488"/>
    <x v="0"/>
    <s v="Jun-2025"/>
    <x v="2"/>
    <x v="0"/>
    <x v="1"/>
    <n v="290863.18151303648"/>
    <n v="322389.59999999998"/>
    <n v="-31526.418486963488"/>
    <n v="-3.8138026815740217E-2"/>
    <n v="0"/>
    <s v="OK"/>
  </r>
  <r>
    <s v="LN-0166"/>
    <s v="CUST-1166"/>
    <x v="3"/>
    <n v="114100"/>
    <n v="0.05"/>
    <n v="5705"/>
    <n v="108395"/>
    <n v="0.17680000000000001"/>
    <n v="24"/>
    <n v="1.4733333333333329E-2"/>
    <n v="5394.7781998569999"/>
    <n v="129474.676796568"/>
    <n v="21079.676796568001"/>
    <n v="1083.95"/>
    <n v="14091.35"/>
    <x v="1"/>
    <n v="43358"/>
    <n v="-35285.723203431997"/>
    <x v="0"/>
    <s v="Apr-2025"/>
    <x v="1"/>
    <x v="1"/>
    <x v="0"/>
    <n v="22163.626796568009"/>
    <n v="57449.35"/>
    <n v="-35285.72320343199"/>
    <n v="-0.32552906687053829"/>
    <n v="0.4"/>
    <s v="OK"/>
  </r>
  <r>
    <s v="LN-0167"/>
    <s v="CUST-1167"/>
    <x v="1"/>
    <n v="75100"/>
    <n v="0.1"/>
    <n v="7510"/>
    <n v="67590"/>
    <n v="0.1263"/>
    <n v="12"/>
    <n v="1.0525E-2"/>
    <n v="6025.2279207011052"/>
    <n v="72302.735048413262"/>
    <n v="4712.7350484132621"/>
    <n v="675.9"/>
    <n v="4393.3500000000004"/>
    <x v="2"/>
    <n v="0"/>
    <n v="995.28504841326139"/>
    <x v="1"/>
    <s v="Feb-2025"/>
    <x v="0"/>
    <x v="0"/>
    <x v="2"/>
    <n v="5388.6350484132618"/>
    <n v="4393.3500000000004"/>
    <n v="995.28504841326139"/>
    <n v="1.4725329906987151E-2"/>
    <n v="0"/>
    <s v="OK"/>
  </r>
  <r>
    <s v="LN-0168"/>
    <s v="CUST-1168"/>
    <x v="1"/>
    <n v="39300"/>
    <n v="0.1"/>
    <n v="3930"/>
    <n v="35370"/>
    <n v="0.1608"/>
    <n v="12"/>
    <n v="1.34E-2"/>
    <n v="3210.489619044175"/>
    <n v="38525.875428530097"/>
    <n v="3155.875428530097"/>
    <n v="499"/>
    <n v="2299.0500000000002"/>
    <x v="0"/>
    <n v="0"/>
    <n v="1355.8254285300959"/>
    <x v="1"/>
    <s v="Apr-2025"/>
    <x v="0"/>
    <x v="1"/>
    <x v="2"/>
    <n v="3654.875428530097"/>
    <n v="2299.0500000000002"/>
    <n v="1355.8254285300959"/>
    <n v="3.833263863528686E-2"/>
    <n v="0"/>
    <s v="OK"/>
  </r>
  <r>
    <s v="LN-0169"/>
    <s v="CUST-1169"/>
    <x v="3"/>
    <n v="36700"/>
    <n v="0.2"/>
    <n v="7340"/>
    <n v="29360"/>
    <n v="0.15390000000000001"/>
    <n v="6"/>
    <n v="1.2825E-2"/>
    <n v="5115.3151779146974"/>
    <n v="30691.891067488181"/>
    <n v="1331.891067488184"/>
    <n v="499"/>
    <n v="954.2"/>
    <x v="1"/>
    <n v="11744"/>
    <n v="-10867.30893251182"/>
    <x v="2"/>
    <s v="Aug-2025"/>
    <x v="0"/>
    <x v="1"/>
    <x v="2"/>
    <n v="1830.891067488184"/>
    <n v="12698.2"/>
    <n v="-10867.30893251182"/>
    <n v="-0.37013995001743238"/>
    <n v="0.4"/>
    <s v="OK"/>
  </r>
  <r>
    <s v="LN-0170"/>
    <s v="CUST-1170"/>
    <x v="0"/>
    <n v="242400"/>
    <n v="0.25"/>
    <n v="60600"/>
    <n v="181800"/>
    <n v="0.13589999999999999"/>
    <n v="60"/>
    <n v="1.1325E-2"/>
    <n v="4191.6241849045937"/>
    <n v="251497.4510942756"/>
    <n v="69697.451094275631"/>
    <n v="1818"/>
    <n v="59085"/>
    <x v="2"/>
    <n v="0"/>
    <n v="12430.45109427563"/>
    <x v="3"/>
    <s v="Mar-2025"/>
    <x v="1"/>
    <x v="0"/>
    <x v="1"/>
    <n v="71515.451094275631"/>
    <n v="59085"/>
    <n v="12430.45109427563"/>
    <n v="6.8374318450361016E-2"/>
    <n v="0"/>
    <s v="OK"/>
  </r>
  <r>
    <s v="LN-0171"/>
    <s v="CUST-1171"/>
    <x v="1"/>
    <n v="83600"/>
    <n v="0.2"/>
    <n v="16720"/>
    <n v="66880"/>
    <n v="0.17050000000000001"/>
    <n v="12"/>
    <n v="1.420833333333333E-2"/>
    <n v="6101.3608865484521"/>
    <n v="73216.330638581421"/>
    <n v="6336.3306385814212"/>
    <n v="668.80000000000007"/>
    <n v="4347.2"/>
    <x v="1"/>
    <n v="26752"/>
    <n v="-24094.06936141858"/>
    <x v="0"/>
    <s v="May-2025"/>
    <x v="0"/>
    <x v="1"/>
    <x v="2"/>
    <n v="7005.1306385814214"/>
    <n v="31099.200000000001"/>
    <n v="-24094.06936141858"/>
    <n v="-0.36025821413604342"/>
    <n v="0.4"/>
    <s v="OK"/>
  </r>
  <r>
    <s v="LN-0172"/>
    <s v="CUST-1172"/>
    <x v="1"/>
    <n v="29700"/>
    <n v="0"/>
    <n v="0"/>
    <n v="29700"/>
    <n v="0.14949999999999999"/>
    <n v="12"/>
    <n v="1.245833333333333E-2"/>
    <n v="2679.971199155269"/>
    <n v="32159.65438986323"/>
    <n v="2459.6543898632299"/>
    <n v="499"/>
    <n v="1930.5"/>
    <x v="0"/>
    <n v="0"/>
    <n v="1028.1543898632301"/>
    <x v="0"/>
    <s v="Oct-2025"/>
    <x v="0"/>
    <x v="0"/>
    <x v="2"/>
    <n v="2958.6543898632299"/>
    <n v="1930.5"/>
    <n v="1028.1543898632301"/>
    <n v="3.4617992924687882E-2"/>
    <n v="0"/>
    <s v="OK"/>
  </r>
  <r>
    <s v="LN-0173"/>
    <s v="CUST-1173"/>
    <x v="0"/>
    <n v="152300"/>
    <n v="0.2"/>
    <n v="30460"/>
    <n v="121840"/>
    <n v="0.1464"/>
    <n v="12"/>
    <n v="1.2200000000000001E-2"/>
    <n v="10976.386071611219"/>
    <n v="131716.63285933461"/>
    <n v="9876.6328593346407"/>
    <n v="1218.4000000000001"/>
    <n v="7919.6"/>
    <x v="0"/>
    <n v="0"/>
    <n v="3175.4328593346399"/>
    <x v="1"/>
    <s v="Jun-2025"/>
    <x v="1"/>
    <x v="0"/>
    <x v="2"/>
    <n v="11095.03285933464"/>
    <n v="7919.6"/>
    <n v="3175.4328593346399"/>
    <n v="2.6062318280816149E-2"/>
    <n v="0"/>
    <s v="OK"/>
  </r>
  <r>
    <s v="LN-0174"/>
    <s v="CUST-1174"/>
    <x v="0"/>
    <n v="180300"/>
    <n v="0.05"/>
    <n v="9015"/>
    <n v="171285"/>
    <n v="0.17660000000000001"/>
    <n v="48"/>
    <n v="1.471666666666667E-2"/>
    <n v="5001.1166149306691"/>
    <n v="240053.5975166721"/>
    <n v="68768.597516672104"/>
    <n v="1712.85"/>
    <n v="44534.1"/>
    <x v="0"/>
    <n v="0"/>
    <n v="25947.347516672111"/>
    <x v="3"/>
    <s v="Dec-2025"/>
    <x v="1"/>
    <x v="1"/>
    <x v="1"/>
    <n v="70481.447516672109"/>
    <n v="44534.1"/>
    <n v="25947.347516672111"/>
    <n v="0.15148639703810671"/>
    <n v="0"/>
    <s v="OK"/>
  </r>
  <r>
    <s v="LN-0175"/>
    <s v="CUST-1175"/>
    <x v="3"/>
    <n v="80400"/>
    <n v="0.1"/>
    <n v="8040"/>
    <n v="72360"/>
    <n v="0.1431"/>
    <n v="24"/>
    <n v="1.1925E-2"/>
    <n v="3484.818629932327"/>
    <n v="83635.64711837584"/>
    <n v="11275.64711837584"/>
    <n v="723.6"/>
    <n v="9406.8000000000011"/>
    <x v="0"/>
    <n v="0"/>
    <n v="2592.4471183758401"/>
    <x v="1"/>
    <s v="Jun-2025"/>
    <x v="0"/>
    <x v="0"/>
    <x v="0"/>
    <n v="11999.247118375841"/>
    <n v="9406.8000000000011"/>
    <n v="2592.4471183758401"/>
    <n v="3.5827074604420119E-2"/>
    <n v="0"/>
    <s v="OK"/>
  </r>
  <r>
    <s v="LN-0176"/>
    <s v="CUST-1176"/>
    <x v="1"/>
    <n v="60400"/>
    <n v="0.2"/>
    <n v="12080"/>
    <n v="48320"/>
    <n v="0.1527"/>
    <n v="12"/>
    <n v="1.2725E-2"/>
    <n v="4367.4402421478653"/>
    <n v="52409.28290577438"/>
    <n v="4089.2829057743802"/>
    <n v="499"/>
    <n v="3140.8"/>
    <x v="1"/>
    <n v="19328"/>
    <n v="-17880.517094225619"/>
    <x v="3"/>
    <s v="Feb-2025"/>
    <x v="0"/>
    <x v="1"/>
    <x v="2"/>
    <n v="4588.2829057743802"/>
    <n v="22468.799999999999"/>
    <n v="-17880.517094225619"/>
    <n v="-0.37004381403612618"/>
    <n v="0.4"/>
    <s v="OK"/>
  </r>
  <r>
    <s v="LN-0177"/>
    <s v="CUST-1177"/>
    <x v="1"/>
    <n v="94700"/>
    <n v="0.2"/>
    <n v="18940"/>
    <n v="75760"/>
    <n v="0.15090000000000001"/>
    <n v="12"/>
    <n v="1.2574999999999999E-2"/>
    <n v="6841.1875593067434"/>
    <n v="82094.250711680914"/>
    <n v="6334.2507116809138"/>
    <n v="757.6"/>
    <n v="4924.4000000000005"/>
    <x v="0"/>
    <n v="0"/>
    <n v="2167.4507116809141"/>
    <x v="3"/>
    <s v="Feb-2025"/>
    <x v="0"/>
    <x v="1"/>
    <x v="2"/>
    <n v="7091.8507116809142"/>
    <n v="4924.4000000000005"/>
    <n v="2167.4507116809141"/>
    <n v="2.8609433892303509E-2"/>
    <n v="0"/>
    <s v="OK"/>
  </r>
  <r>
    <s v="LN-0178"/>
    <s v="CUST-1178"/>
    <x v="0"/>
    <n v="93900"/>
    <n v="0.1"/>
    <n v="9390"/>
    <n v="84510"/>
    <n v="0.128"/>
    <n v="48"/>
    <n v="1.066666666666667E-2"/>
    <n v="2258.811784280103"/>
    <n v="108422.9656454449"/>
    <n v="23912.96564544494"/>
    <n v="845.1"/>
    <n v="21972.6"/>
    <x v="0"/>
    <n v="0"/>
    <n v="2785.46564544494"/>
    <x v="0"/>
    <s v="May-2025"/>
    <x v="0"/>
    <x v="0"/>
    <x v="1"/>
    <n v="24758.065645444942"/>
    <n v="21972.6"/>
    <n v="2785.46564544494"/>
    <n v="3.2960189864453197E-2"/>
    <n v="0"/>
    <s v="OK"/>
  </r>
  <r>
    <s v="LN-0179"/>
    <s v="CUST-1179"/>
    <x v="1"/>
    <n v="105400"/>
    <n v="0.2"/>
    <n v="21080"/>
    <n v="84320"/>
    <n v="0.14630000000000001"/>
    <n v="9"/>
    <n v="1.219166666666667E-2"/>
    <n v="9949.2264935036183"/>
    <n v="89543.038441532568"/>
    <n v="5223.038441532568"/>
    <n v="843.2"/>
    <n v="4110.6000000000004"/>
    <x v="2"/>
    <n v="0"/>
    <n v="1955.638441532567"/>
    <x v="2"/>
    <s v="Sep-2025"/>
    <x v="0"/>
    <x v="0"/>
    <x v="2"/>
    <n v="6066.2384415325678"/>
    <n v="4110.6000000000004"/>
    <n v="1955.638441532567"/>
    <n v="2.319305552102191E-2"/>
    <n v="0"/>
    <s v="OK"/>
  </r>
  <r>
    <s v="LN-0180"/>
    <s v="CUST-1180"/>
    <x v="1"/>
    <n v="70300"/>
    <n v="0.1"/>
    <n v="7030"/>
    <n v="63270"/>
    <n v="0.13439999999999999"/>
    <n v="9"/>
    <n v="1.12E-2"/>
    <n v="7429.5252853865104"/>
    <n v="66865.7275684786"/>
    <n v="3595.7275684786"/>
    <n v="632.70000000000005"/>
    <n v="3084.4124999999999"/>
    <x v="0"/>
    <n v="0"/>
    <n v="1144.015068478599"/>
    <x v="2"/>
    <s v="Apr-2025"/>
    <x v="0"/>
    <x v="0"/>
    <x v="2"/>
    <n v="4228.4275684785998"/>
    <n v="3084.4124999999999"/>
    <n v="1144.015068478599"/>
    <n v="1.8081477295378529E-2"/>
    <n v="0"/>
    <s v="OK"/>
  </r>
  <r>
    <s v="LN-0181"/>
    <s v="CUST-1181"/>
    <x v="3"/>
    <n v="23400"/>
    <n v="0.15"/>
    <n v="3510"/>
    <n v="19890"/>
    <n v="0.1462"/>
    <n v="3"/>
    <n v="1.2183333333333331E-2"/>
    <n v="6792.2030961912342"/>
    <n v="20376.609288573702"/>
    <n v="486.60928857370158"/>
    <n v="499"/>
    <n v="323.21249999999998"/>
    <x v="0"/>
    <n v="0"/>
    <n v="662.39678857370154"/>
    <x v="0"/>
    <s v="Nov-2025"/>
    <x v="0"/>
    <x v="0"/>
    <x v="2"/>
    <n v="985.60928857370163"/>
    <n v="323.21249999999998"/>
    <n v="662.39678857370154"/>
    <n v="3.3303005961473182E-2"/>
    <n v="0"/>
    <s v="OK"/>
  </r>
  <r>
    <s v="LN-0182"/>
    <s v="CUST-1182"/>
    <x v="1"/>
    <n v="120800"/>
    <n v="0.05"/>
    <n v="6040"/>
    <n v="114760"/>
    <n v="0.1305"/>
    <n v="18"/>
    <n v="1.0874999999999999E-2"/>
    <n v="7054.4032064141784"/>
    <n v="126979.2577154552"/>
    <n v="12219.257715455209"/>
    <n v="1147.5999999999999"/>
    <n v="11189.1"/>
    <x v="2"/>
    <n v="0"/>
    <n v="2177.7577154552132"/>
    <x v="1"/>
    <s v="Dec-2025"/>
    <x v="1"/>
    <x v="0"/>
    <x v="0"/>
    <n v="13366.857715455209"/>
    <n v="11189.1"/>
    <n v="2177.7577154552132"/>
    <n v="1.897662700814929E-2"/>
    <n v="0"/>
    <s v="OK"/>
  </r>
  <r>
    <s v="LN-0183"/>
    <s v="CUST-1183"/>
    <x v="1"/>
    <n v="76400"/>
    <n v="0.15"/>
    <n v="11460"/>
    <n v="64940"/>
    <n v="0.1741"/>
    <n v="9"/>
    <n v="1.450833333333333E-2"/>
    <n v="7749.0338154834117"/>
    <n v="69741.304339350711"/>
    <n v="4801.3043393507114"/>
    <n v="649.4"/>
    <n v="3165.8249999999998"/>
    <x v="0"/>
    <n v="0"/>
    <n v="2284.8793393507099"/>
    <x v="2"/>
    <s v="Apr-2025"/>
    <x v="0"/>
    <x v="1"/>
    <x v="2"/>
    <n v="5450.7043393507101"/>
    <n v="3165.8249999999998"/>
    <n v="2284.8793393507099"/>
    <n v="3.5184467806447642E-2"/>
    <n v="0"/>
    <s v="OK"/>
  </r>
  <r>
    <s v="LN-0184"/>
    <s v="CUST-1184"/>
    <x v="1"/>
    <n v="63700"/>
    <n v="0.05"/>
    <n v="3185"/>
    <n v="60515"/>
    <n v="0.1847"/>
    <n v="18"/>
    <n v="1.539166666666667E-2"/>
    <n v="3874.7785587555081"/>
    <n v="69746.014057599139"/>
    <n v="9231.0140575991391"/>
    <n v="605.15"/>
    <n v="5900.2124999999996"/>
    <x v="0"/>
    <n v="0"/>
    <n v="3935.9515575991391"/>
    <x v="2"/>
    <s v="Aug-2025"/>
    <x v="0"/>
    <x v="1"/>
    <x v="0"/>
    <n v="9836.1640575991387"/>
    <n v="5900.2124999999996"/>
    <n v="3935.9515575991391"/>
    <n v="6.5040924689732119E-2"/>
    <n v="0"/>
    <s v="OK"/>
  </r>
  <r>
    <s v="LN-0185"/>
    <s v="CUST-1185"/>
    <x v="0"/>
    <n v="246700"/>
    <n v="0.1"/>
    <n v="24670"/>
    <n v="222030"/>
    <n v="0.14019999999999999"/>
    <n v="48"/>
    <n v="1.168333333333333E-2"/>
    <n v="6069.5253543704684"/>
    <n v="291337.21700978238"/>
    <n v="69307.217009782442"/>
    <n v="2220.3000000000002"/>
    <n v="57727.8"/>
    <x v="0"/>
    <n v="0"/>
    <n v="13799.71700978244"/>
    <x v="1"/>
    <s v="May-2025"/>
    <x v="1"/>
    <x v="0"/>
    <x v="1"/>
    <n v="71527.517009782445"/>
    <n v="57727.8"/>
    <n v="13799.71700978244"/>
    <n v="6.2152488446527238E-2"/>
    <n v="0"/>
    <s v="OK"/>
  </r>
  <r>
    <s v="LN-0186"/>
    <s v="CUST-1186"/>
    <x v="3"/>
    <n v="61800"/>
    <n v="0.2"/>
    <n v="12360"/>
    <n v="49440"/>
    <n v="0.16969999999999999"/>
    <n v="3"/>
    <n v="1.414166666666667E-2"/>
    <n v="16948.29105822328"/>
    <n v="50844.873174669847"/>
    <n v="1404.873174669847"/>
    <n v="499"/>
    <n v="803.4"/>
    <x v="0"/>
    <n v="0"/>
    <n v="1100.4731746698469"/>
    <x v="0"/>
    <s v="May-2025"/>
    <x v="0"/>
    <x v="1"/>
    <x v="2"/>
    <n v="1903.873174669847"/>
    <n v="803.4"/>
    <n v="1100.4731746698469"/>
    <n v="2.2258761623581039E-2"/>
    <n v="0"/>
    <s v="OK"/>
  </r>
  <r>
    <s v="LN-0187"/>
    <s v="CUST-1187"/>
    <x v="3"/>
    <n v="26000"/>
    <n v="0"/>
    <n v="0"/>
    <n v="26000"/>
    <n v="0.1759"/>
    <n v="18"/>
    <n v="1.4658333333333331E-2"/>
    <n v="1653.8731582520541"/>
    <n v="29769.716848536969"/>
    <n v="3769.716848536973"/>
    <n v="499"/>
    <n v="2535"/>
    <x v="0"/>
    <n v="0"/>
    <n v="1733.716848536973"/>
    <x v="0"/>
    <s v="Apr-2025"/>
    <x v="0"/>
    <x v="1"/>
    <x v="0"/>
    <n v="4268.716848536973"/>
    <n v="2535"/>
    <n v="1733.716848536973"/>
    <n v="6.6681417251422043E-2"/>
    <n v="0"/>
    <s v="OK"/>
  </r>
  <r>
    <s v="LN-0188"/>
    <s v="CUST-1188"/>
    <x v="2"/>
    <n v="1373100"/>
    <n v="0.1"/>
    <n v="137310"/>
    <n v="1235790"/>
    <n v="0.1129"/>
    <n v="72"/>
    <n v="9.4083333333333328E-3"/>
    <n v="23706.091122335089"/>
    <n v="1706838.5608081261"/>
    <n v="471048.56080812629"/>
    <n v="12357.9"/>
    <n v="481958.1"/>
    <x v="0"/>
    <n v="0"/>
    <n v="1448.3608081263369"/>
    <x v="3"/>
    <s v="Apr-2025"/>
    <x v="2"/>
    <x v="0"/>
    <x v="1"/>
    <n v="483406.46080812637"/>
    <n v="481958.1"/>
    <n v="1448.3608081263369"/>
    <n v="1.1720120798245151E-3"/>
    <n v="0"/>
    <s v="OK"/>
  </r>
  <r>
    <s v="LN-0189"/>
    <s v="CUST-1189"/>
    <x v="1"/>
    <n v="35200"/>
    <n v="0"/>
    <n v="0"/>
    <n v="35200"/>
    <n v="0.13800000000000001"/>
    <n v="12"/>
    <n v="1.15E-2"/>
    <n v="3157.1950410673221"/>
    <n v="37886.34049280786"/>
    <n v="2686.3404928078598"/>
    <n v="499"/>
    <n v="2288"/>
    <x v="0"/>
    <n v="0"/>
    <n v="897.34049280785985"/>
    <x v="3"/>
    <s v="Mar-2025"/>
    <x v="0"/>
    <x v="0"/>
    <x v="2"/>
    <n v="3185.3404928078598"/>
    <n v="2288"/>
    <n v="897.34049280785985"/>
    <n v="2.5492627636586929E-2"/>
    <n v="0"/>
    <s v="OK"/>
  </r>
  <r>
    <s v="LN-0190"/>
    <s v="CUST-1190"/>
    <x v="3"/>
    <n v="40100"/>
    <n v="0"/>
    <n v="0"/>
    <n v="40100"/>
    <n v="0.2064"/>
    <n v="24"/>
    <n v="1.72E-2"/>
    <n v="2053.4808707570219"/>
    <n v="49283.540898168532"/>
    <n v="9183.5408981685323"/>
    <n v="499"/>
    <n v="5213"/>
    <x v="0"/>
    <n v="0"/>
    <n v="4469.5408981685323"/>
    <x v="2"/>
    <s v="Aug-2025"/>
    <x v="0"/>
    <x v="1"/>
    <x v="0"/>
    <n v="9682.5408981685323"/>
    <n v="5213"/>
    <n v="4469.5408981685323"/>
    <n v="0.1114598727722826"/>
    <n v="0"/>
    <s v="OK"/>
  </r>
  <r>
    <s v="LN-0191"/>
    <s v="CUST-1191"/>
    <x v="0"/>
    <n v="277400"/>
    <n v="0.1"/>
    <n v="27740"/>
    <n v="249660"/>
    <n v="0.10150000000000001"/>
    <n v="24"/>
    <n v="8.4583333333333333E-3"/>
    <n v="11537.834514244139"/>
    <n v="276908.02834185952"/>
    <n v="27248.028341859459"/>
    <n v="2496.6"/>
    <n v="32455.8"/>
    <x v="0"/>
    <n v="0"/>
    <n v="-2711.1716581405421"/>
    <x v="2"/>
    <s v="Feb-2025"/>
    <x v="1"/>
    <x v="0"/>
    <x v="0"/>
    <n v="29744.628341859461"/>
    <n v="32455.8"/>
    <n v="-2711.1716581405421"/>
    <n v="-1.0859455492031329E-2"/>
    <n v="0"/>
    <s v="OK"/>
  </r>
  <r>
    <s v="LN-0192"/>
    <s v="CUST-1192"/>
    <x v="0"/>
    <n v="117000"/>
    <n v="0.2"/>
    <n v="23400"/>
    <n v="93600"/>
    <n v="0.10970000000000001"/>
    <n v="24"/>
    <n v="9.1416666666666677E-3"/>
    <n v="4361.1900887496249"/>
    <n v="104668.562129991"/>
    <n v="11068.562129991"/>
    <n v="936"/>
    <n v="12168"/>
    <x v="0"/>
    <n v="0"/>
    <n v="-163.4378700090019"/>
    <x v="2"/>
    <s v="Feb-2025"/>
    <x v="0"/>
    <x v="0"/>
    <x v="0"/>
    <n v="12004.562129991"/>
    <n v="12168"/>
    <n v="-163.4378700090019"/>
    <n v="-1.746131089839764E-3"/>
    <n v="0"/>
    <s v="OK"/>
  </r>
  <r>
    <s v="LN-0193"/>
    <s v="CUST-1193"/>
    <x v="3"/>
    <n v="109400"/>
    <n v="0.2"/>
    <n v="21880"/>
    <n v="87520"/>
    <n v="0.18770000000000001"/>
    <n v="3"/>
    <n v="1.5641666666666668E-2"/>
    <n v="30090.693822737991"/>
    <n v="90272.081468213961"/>
    <n v="2752.0814682139612"/>
    <n v="875.2"/>
    <n v="1422.2"/>
    <x v="0"/>
    <n v="0"/>
    <n v="2205.0814682139612"/>
    <x v="1"/>
    <s v="Dec-2025"/>
    <x v="0"/>
    <x v="1"/>
    <x v="2"/>
    <n v="3627.281468213961"/>
    <n v="1422.2"/>
    <n v="2205.0814682139612"/>
    <n v="2.5195172168806679E-2"/>
    <n v="0"/>
    <s v="OK"/>
  </r>
  <r>
    <s v="LN-0194"/>
    <s v="CUST-1194"/>
    <x v="3"/>
    <n v="56100"/>
    <n v="0.15"/>
    <n v="8415"/>
    <n v="47685"/>
    <n v="0.18920000000000001"/>
    <n v="6"/>
    <n v="1.5766666666666668E-2"/>
    <n v="8391.7860411429447"/>
    <n v="50350.716246857672"/>
    <n v="2665.7162468576721"/>
    <n v="499"/>
    <n v="1549.7625"/>
    <x v="0"/>
    <n v="0"/>
    <n v="1614.9537468576721"/>
    <x v="0"/>
    <s v="Sep-2025"/>
    <x v="0"/>
    <x v="1"/>
    <x v="2"/>
    <n v="3164.7162468576721"/>
    <n v="1549.7625"/>
    <n v="1614.9537468576721"/>
    <n v="3.3867122719045233E-2"/>
    <n v="0"/>
    <s v="OK"/>
  </r>
  <r>
    <s v="LN-0195"/>
    <s v="CUST-1195"/>
    <x v="2"/>
    <n v="474400"/>
    <n v="0.3"/>
    <n v="142320"/>
    <n v="332080"/>
    <n v="0.1008"/>
    <n v="84"/>
    <n v="8.3999999999999995E-3"/>
    <n v="5526.6576510762861"/>
    <n v="464239.24269040802"/>
    <n v="132159.24269040799"/>
    <n v="3320.8"/>
    <n v="151096.4"/>
    <x v="0"/>
    <n v="0"/>
    <n v="-15616.357309591989"/>
    <x v="2"/>
    <s v="Aug-2025"/>
    <x v="3"/>
    <x v="0"/>
    <x v="1"/>
    <n v="135480.04269040801"/>
    <n v="151096.4"/>
    <n v="-15616.357309591989"/>
    <n v="-4.7025889272440342E-2"/>
    <n v="0"/>
    <s v="OK"/>
  </r>
  <r>
    <s v="LN-0196"/>
    <s v="CUST-1196"/>
    <x v="3"/>
    <n v="51300"/>
    <n v="0"/>
    <n v="0"/>
    <n v="51300"/>
    <n v="0.1699"/>
    <n v="24"/>
    <n v="1.415833333333333E-2"/>
    <n v="2536.141659576243"/>
    <n v="60867.399829829817"/>
    <n v="9567.3998298298247"/>
    <n v="513"/>
    <n v="6669"/>
    <x v="0"/>
    <n v="0"/>
    <n v="3411.3998298298252"/>
    <x v="0"/>
    <s v="Jun-2025"/>
    <x v="0"/>
    <x v="1"/>
    <x v="0"/>
    <n v="10080.399829829819"/>
    <n v="6669"/>
    <n v="3411.3998298298252"/>
    <n v="6.6499022023973189E-2"/>
    <n v="0"/>
    <s v="OK"/>
  </r>
  <r>
    <s v="LN-0197"/>
    <s v="CUST-1197"/>
    <x v="3"/>
    <n v="81600"/>
    <n v="0.2"/>
    <n v="16320"/>
    <n v="65280"/>
    <n v="0.14829999999999999"/>
    <n v="18"/>
    <n v="1.2358333333333331E-2"/>
    <n v="4067.2579840844442"/>
    <n v="73210.643713519996"/>
    <n v="7930.6437135199958"/>
    <n v="652.80000000000007"/>
    <n v="6364.7999999999993"/>
    <x v="0"/>
    <n v="0"/>
    <n v="2218.6437135199958"/>
    <x v="1"/>
    <s v="Jan-2025"/>
    <x v="0"/>
    <x v="0"/>
    <x v="0"/>
    <n v="8583.4437135199951"/>
    <n v="6364.7999999999993"/>
    <n v="2218.6437135199958"/>
    <n v="3.3986576493872482E-2"/>
    <n v="0"/>
    <s v="OK"/>
  </r>
  <r>
    <s v="LN-0198"/>
    <s v="CUST-1198"/>
    <x v="1"/>
    <n v="67300"/>
    <n v="0.15"/>
    <n v="10095"/>
    <n v="57205"/>
    <n v="0.1714"/>
    <n v="36"/>
    <n v="1.428333333333333E-2"/>
    <n v="2043.502307519514"/>
    <n v="73566.083070702502"/>
    <n v="16361.0830707025"/>
    <n v="572.05000000000007"/>
    <n v="11154.975"/>
    <x v="0"/>
    <n v="0"/>
    <n v="5778.1580707024996"/>
    <x v="2"/>
    <s v="Nov-2025"/>
    <x v="0"/>
    <x v="1"/>
    <x v="0"/>
    <n v="16933.133070702501"/>
    <n v="11154.975"/>
    <n v="5778.1580707024996"/>
    <n v="0.1010079201241587"/>
    <n v="0"/>
    <s v="OK"/>
  </r>
  <r>
    <s v="LN-0199"/>
    <s v="CUST-1199"/>
    <x v="3"/>
    <n v="23100"/>
    <n v="0"/>
    <n v="0"/>
    <n v="23100"/>
    <n v="0.1973"/>
    <n v="12"/>
    <n v="1.644166666666667E-2"/>
    <n v="2136.873198286446"/>
    <n v="25642.478379437351"/>
    <n v="2542.478379437347"/>
    <n v="499"/>
    <n v="1501.5"/>
    <x v="2"/>
    <n v="0"/>
    <n v="1539.978379437347"/>
    <x v="0"/>
    <s v="Apr-2025"/>
    <x v="0"/>
    <x v="1"/>
    <x v="2"/>
    <n v="3041.478379437347"/>
    <n v="1501.5"/>
    <n v="1539.978379437347"/>
    <n v="6.6665730711573459E-2"/>
    <n v="0"/>
    <s v="OK"/>
  </r>
  <r>
    <s v="LN-0200"/>
    <s v="CUST-1200"/>
    <x v="2"/>
    <n v="747200"/>
    <n v="0.3"/>
    <n v="224160"/>
    <n v="523040"/>
    <n v="9.4299999999999995E-2"/>
    <n v="72"/>
    <n v="7.8583333333333335E-3"/>
    <n v="9540.0869994594086"/>
    <n v="686886.26396107743"/>
    <n v="163846.26396107741"/>
    <n v="5230.4000000000005"/>
    <n v="203985.6"/>
    <x v="0"/>
    <n v="0"/>
    <n v="-34908.936038922548"/>
    <x v="0"/>
    <s v="Nov-2025"/>
    <x v="2"/>
    <x v="2"/>
    <x v="1"/>
    <n v="169076.6639610774"/>
    <n v="203985.6"/>
    <n v="-34908.936038922548"/>
    <n v="-6.6742383066156596E-2"/>
    <n v="0"/>
    <s v="OK"/>
  </r>
  <r>
    <s v="LN-0201"/>
    <s v="CUST-1201"/>
    <x v="3"/>
    <n v="48000"/>
    <n v="0.05"/>
    <n v="2400"/>
    <n v="45600"/>
    <n v="0.20250000000000001"/>
    <n v="24"/>
    <n v="1.6875000000000001E-2"/>
    <n v="2326.4215007622261"/>
    <n v="55834.116018293433"/>
    <n v="10234.116018293431"/>
    <n v="499"/>
    <n v="5928"/>
    <x v="2"/>
    <n v="0"/>
    <n v="4805.1160182934254"/>
    <x v="3"/>
    <s v="Jul-2025"/>
    <x v="0"/>
    <x v="1"/>
    <x v="0"/>
    <n v="10733.116018293431"/>
    <n v="5928"/>
    <n v="4805.1160182934254"/>
    <n v="0.1053753512783646"/>
    <n v="0"/>
    <s v="OK"/>
  </r>
  <r>
    <s v="LN-0202"/>
    <s v="CUST-1202"/>
    <x v="2"/>
    <n v="1217600"/>
    <n v="0.2"/>
    <n v="243520"/>
    <n v="974080"/>
    <n v="0.1118"/>
    <n v="72"/>
    <n v="9.3166666666666658E-3"/>
    <n v="18630.644215333559"/>
    <n v="1341406.383504017"/>
    <n v="367326.38350401662"/>
    <n v="9740.8000000000011"/>
    <n v="379891.20000000001"/>
    <x v="0"/>
    <n v="0"/>
    <n v="-2824.016495983466"/>
    <x v="2"/>
    <s v="Dec-2025"/>
    <x v="2"/>
    <x v="0"/>
    <x v="1"/>
    <n v="377067.18350401649"/>
    <n v="379891.20000000001"/>
    <n v="-2824.016495983466"/>
    <n v="-2.8991627956466261E-3"/>
    <n v="0"/>
    <s v="OK"/>
  </r>
  <r>
    <s v="LN-0203"/>
    <s v="CUST-1203"/>
    <x v="1"/>
    <n v="140500"/>
    <n v="0.15"/>
    <n v="21075"/>
    <n v="119425"/>
    <n v="0.1615"/>
    <n v="6"/>
    <n v="1.3458333333333331E-2"/>
    <n v="20852.179669229201"/>
    <n v="125113.0780153752"/>
    <n v="5688.0780153752276"/>
    <n v="1194.25"/>
    <n v="3881.3125"/>
    <x v="2"/>
    <n v="0"/>
    <n v="3001.015515375228"/>
    <x v="1"/>
    <s v="Sep-2025"/>
    <x v="1"/>
    <x v="1"/>
    <x v="2"/>
    <n v="6882.3280153752276"/>
    <n v="3881.3125"/>
    <n v="3001.015515375228"/>
    <n v="2.5128871805528391E-2"/>
    <n v="0"/>
    <s v="OK"/>
  </r>
  <r>
    <s v="LN-0204"/>
    <s v="CUST-1204"/>
    <x v="3"/>
    <n v="19500"/>
    <n v="0.05"/>
    <n v="975"/>
    <n v="18525"/>
    <n v="0.16619999999999999"/>
    <n v="9"/>
    <n v="1.3849999999999999E-2"/>
    <n v="2203.4864103127411"/>
    <n v="19831.377692814669"/>
    <n v="1306.3776928146649"/>
    <n v="499"/>
    <n v="903.09375"/>
    <x v="0"/>
    <n v="0"/>
    <n v="902.28394281466535"/>
    <x v="2"/>
    <s v="Mar-2025"/>
    <x v="0"/>
    <x v="1"/>
    <x v="2"/>
    <n v="1805.3776928146649"/>
    <n v="903.09375"/>
    <n v="902.28394281466535"/>
    <n v="4.8706285711992731E-2"/>
    <n v="0"/>
    <s v="OK"/>
  </r>
  <r>
    <s v="LN-0205"/>
    <s v="CUST-1205"/>
    <x v="0"/>
    <n v="144400"/>
    <n v="0.25"/>
    <n v="36100"/>
    <n v="108300"/>
    <n v="0.10340000000000001"/>
    <n v="36"/>
    <n v="8.6166666666666666E-3"/>
    <n v="3511.8495937851621"/>
    <n v="126426.58537626579"/>
    <n v="18126.585376265841"/>
    <n v="1083"/>
    <n v="21118.5"/>
    <x v="0"/>
    <n v="0"/>
    <n v="-1908.9146237341629"/>
    <x v="3"/>
    <s v="Nov-2025"/>
    <x v="1"/>
    <x v="0"/>
    <x v="0"/>
    <n v="19209.585376265841"/>
    <n v="21118.5"/>
    <n v="-1908.9146237341629"/>
    <n v="-1.7626173811026439E-2"/>
    <n v="0"/>
    <s v="OK"/>
  </r>
  <r>
    <s v="LN-0206"/>
    <s v="CUST-1206"/>
    <x v="2"/>
    <n v="1442700"/>
    <n v="0.2"/>
    <n v="288540"/>
    <n v="1154160"/>
    <n v="8.7300000000000003E-2"/>
    <n v="72"/>
    <n v="7.2750000000000002E-3"/>
    <n v="20650.029631995701"/>
    <n v="1486802.1335036899"/>
    <n v="332642.13350369042"/>
    <n v="11541.6"/>
    <n v="450122.4"/>
    <x v="0"/>
    <n v="0"/>
    <n v="-105938.6664963097"/>
    <x v="1"/>
    <s v="Jan-2025"/>
    <x v="2"/>
    <x v="2"/>
    <x v="1"/>
    <n v="344183.73350369028"/>
    <n v="450122.4"/>
    <n v="-105938.6664963097"/>
    <n v="-9.1788544479370002E-2"/>
    <n v="0"/>
    <s v="OK"/>
  </r>
  <r>
    <s v="LN-0207"/>
    <s v="CUST-1207"/>
    <x v="3"/>
    <n v="76000"/>
    <n v="0"/>
    <n v="0"/>
    <n v="76000"/>
    <n v="0.20250000000000001"/>
    <n v="3"/>
    <n v="1.6875000000000001E-2"/>
    <n v="26193.10235746792"/>
    <n v="78579.307072403753"/>
    <n v="2579.307072403753"/>
    <n v="760"/>
    <n v="1235"/>
    <x v="1"/>
    <n v="30400"/>
    <n v="-28295.69292759625"/>
    <x v="3"/>
    <s v="Jun-2025"/>
    <x v="0"/>
    <x v="1"/>
    <x v="2"/>
    <n v="3339.307072403753"/>
    <n v="31635"/>
    <n v="-28295.69292759625"/>
    <n v="-0.37231174904731901"/>
    <n v="0.4"/>
    <s v="OK"/>
  </r>
  <r>
    <s v="LN-0208"/>
    <s v="CUST-1208"/>
    <x v="1"/>
    <n v="95900"/>
    <n v="0.15"/>
    <n v="14385"/>
    <n v="81515"/>
    <n v="0.16839999999999999"/>
    <n v="36"/>
    <n v="1.403333333333333E-2"/>
    <n v="2899.7452369378948"/>
    <n v="104390.8285297642"/>
    <n v="22875.828529764229"/>
    <n v="815.15"/>
    <n v="15895.424999999999"/>
    <x v="0"/>
    <n v="0"/>
    <n v="7795.5535297642291"/>
    <x v="3"/>
    <s v="Aug-2025"/>
    <x v="0"/>
    <x v="1"/>
    <x v="0"/>
    <n v="23690.97852976423"/>
    <n v="15895.424999999999"/>
    <n v="7795.5535297642291"/>
    <n v="9.5633362323059912E-2"/>
    <n v="0"/>
    <s v="OK"/>
  </r>
  <r>
    <s v="LN-0209"/>
    <s v="CUST-1209"/>
    <x v="0"/>
    <n v="197700"/>
    <n v="0.15"/>
    <n v="29655"/>
    <n v="168045"/>
    <n v="0.1424"/>
    <n v="48"/>
    <n v="1.1866666666666669E-2"/>
    <n v="4612.3345243008389"/>
    <n v="221392.0571664403"/>
    <n v="53347.057166440267"/>
    <n v="1680.45"/>
    <n v="43691.7"/>
    <x v="0"/>
    <n v="0"/>
    <n v="11335.80716644026"/>
    <x v="1"/>
    <s v="Feb-2025"/>
    <x v="1"/>
    <x v="0"/>
    <x v="1"/>
    <n v="55027.507166440257"/>
    <n v="43691.7"/>
    <n v="11335.80716644026"/>
    <n v="6.7456973825107916E-2"/>
    <n v="0"/>
    <s v="OK"/>
  </r>
  <r>
    <s v="LN-0210"/>
    <s v="CUST-1210"/>
    <x v="3"/>
    <n v="28800"/>
    <n v="0"/>
    <n v="0"/>
    <n v="28800"/>
    <n v="0.18140000000000001"/>
    <n v="18"/>
    <n v="1.5116666666666671E-2"/>
    <n v="1839.529120761996"/>
    <n v="33111.524173715923"/>
    <n v="4311.5241737159231"/>
    <n v="499"/>
    <n v="2808"/>
    <x v="2"/>
    <n v="0"/>
    <n v="2002.5241737159231"/>
    <x v="3"/>
    <s v="Dec-2025"/>
    <x v="0"/>
    <x v="1"/>
    <x v="0"/>
    <n v="4810.5241737159231"/>
    <n v="2808"/>
    <n v="2002.5241737159231"/>
    <n v="6.9532089365136218E-2"/>
    <n v="0"/>
    <s v="OK"/>
  </r>
  <r>
    <s v="LN-0211"/>
    <s v="CUST-1211"/>
    <x v="1"/>
    <n v="149500"/>
    <n v="0.05"/>
    <n v="7475"/>
    <n v="142025"/>
    <n v="0.14280000000000001"/>
    <n v="18"/>
    <n v="1.1900000000000001E-2"/>
    <n v="8812.1486304855371"/>
    <n v="158618.67534873969"/>
    <n v="16593.67534873966"/>
    <n v="1420.25"/>
    <n v="13847.4375"/>
    <x v="2"/>
    <n v="0"/>
    <n v="4166.4878487396636"/>
    <x v="0"/>
    <s v="Aug-2025"/>
    <x v="1"/>
    <x v="0"/>
    <x v="0"/>
    <n v="18013.92534873966"/>
    <n v="13847.4375"/>
    <n v="4166.4878487396636"/>
    <n v="2.933629888216626E-2"/>
    <n v="0"/>
    <s v="OK"/>
  </r>
  <r>
    <s v="LN-0212"/>
    <s v="CUST-1212"/>
    <x v="3"/>
    <n v="87900"/>
    <n v="0.05"/>
    <n v="4395"/>
    <n v="83505"/>
    <n v="0.2198"/>
    <n v="24"/>
    <n v="1.8316666666666669E-2"/>
    <n v="4331.260604550811"/>
    <n v="103950.25450921951"/>
    <n v="20445.25450921946"/>
    <n v="835.05000000000007"/>
    <n v="10855.65"/>
    <x v="0"/>
    <n v="0"/>
    <n v="10424.654509219459"/>
    <x v="0"/>
    <s v="Sep-2025"/>
    <x v="0"/>
    <x v="1"/>
    <x v="0"/>
    <n v="21280.304509219459"/>
    <n v="10855.65"/>
    <n v="10424.654509219459"/>
    <n v="0.1248386864166153"/>
    <n v="0"/>
    <s v="OK"/>
  </r>
  <r>
    <s v="LN-0213"/>
    <s v="CUST-1213"/>
    <x v="1"/>
    <n v="136400"/>
    <n v="0.05"/>
    <n v="6820"/>
    <n v="129580"/>
    <n v="0.18809999999999999"/>
    <n v="36"/>
    <n v="1.5675000000000001E-2"/>
    <n v="4737.4483932974363"/>
    <n v="170548.14215870769"/>
    <n v="40968.14215870772"/>
    <n v="1295.8"/>
    <n v="25268.1"/>
    <x v="0"/>
    <n v="0"/>
    <n v="16995.842158707721"/>
    <x v="1"/>
    <s v="Feb-2025"/>
    <x v="1"/>
    <x v="1"/>
    <x v="0"/>
    <n v="42263.942158707723"/>
    <n v="25268.1"/>
    <n v="16995.842158707721"/>
    <n v="0.13116099829223429"/>
    <n v="0"/>
    <s v="OK"/>
  </r>
  <r>
    <s v="LN-0214"/>
    <s v="CUST-1214"/>
    <x v="2"/>
    <n v="1271300"/>
    <n v="0.1"/>
    <n v="127130"/>
    <n v="1144170"/>
    <n v="9.2100000000000001E-2"/>
    <n v="72"/>
    <n v="7.6750000000000004E-3"/>
    <n v="20743.731627396701"/>
    <n v="1493548.677172563"/>
    <n v="349378.67717256257"/>
    <n v="11441.7"/>
    <n v="446226.3"/>
    <x v="0"/>
    <n v="0"/>
    <n v="-85405.922827437462"/>
    <x v="3"/>
    <s v="Aug-2025"/>
    <x v="2"/>
    <x v="2"/>
    <x v="1"/>
    <n v="360820.37717256258"/>
    <n v="446226.3"/>
    <n v="-85405.922827437462"/>
    <n v="-7.4644434679669511E-2"/>
    <n v="0"/>
    <s v="OK"/>
  </r>
  <r>
    <s v="LN-0215"/>
    <s v="CUST-1215"/>
    <x v="2"/>
    <n v="1006800"/>
    <n v="0.1"/>
    <n v="100680"/>
    <n v="906120"/>
    <n v="0.10340000000000001"/>
    <n v="36"/>
    <n v="8.6166666666666666E-3"/>
    <n v="29382.79920517646"/>
    <n v="1057780.7713863531"/>
    <n v="151660.7713863526"/>
    <n v="9061.2000000000007"/>
    <n v="176693.4"/>
    <x v="0"/>
    <n v="0"/>
    <n v="-15971.428613647409"/>
    <x v="2"/>
    <s v="Sep-2025"/>
    <x v="2"/>
    <x v="0"/>
    <x v="0"/>
    <n v="160721.97138635261"/>
    <n v="176693.4"/>
    <n v="-15971.428613647409"/>
    <n v="-1.7626173811026592E-2"/>
    <n v="0"/>
    <s v="OK"/>
  </r>
  <r>
    <s v="LN-0216"/>
    <s v="CUST-1216"/>
    <x v="1"/>
    <n v="76200"/>
    <n v="0.1"/>
    <n v="7620"/>
    <n v="68580"/>
    <n v="0.16600000000000001"/>
    <n v="9"/>
    <n v="1.3833333333333329E-2"/>
    <n v="8156.7020307293797"/>
    <n v="73410.318276564416"/>
    <n v="4830.318276564416"/>
    <n v="685.80000000000007"/>
    <n v="3343.2750000000001"/>
    <x v="0"/>
    <n v="0"/>
    <n v="2172.843276564417"/>
    <x v="2"/>
    <s v="Aug-2025"/>
    <x v="0"/>
    <x v="1"/>
    <x v="2"/>
    <n v="5516.1182765644162"/>
    <n v="3343.2750000000001"/>
    <n v="2172.843276564417"/>
    <n v="3.168333736606032E-2"/>
    <n v="0"/>
    <s v="OK"/>
  </r>
  <r>
    <s v="LN-0217"/>
    <s v="CUST-1217"/>
    <x v="0"/>
    <n v="142700"/>
    <n v="0.25"/>
    <n v="35675"/>
    <n v="107025"/>
    <n v="0.17019999999999999"/>
    <n v="60"/>
    <n v="1.4183333333333331E-2"/>
    <n v="2660.997993440471"/>
    <n v="159659.87960642829"/>
    <n v="52634.879606428272"/>
    <n v="1070.25"/>
    <n v="34783.125"/>
    <x v="2"/>
    <n v="0"/>
    <n v="18922.004606428269"/>
    <x v="1"/>
    <s v="Jul-2025"/>
    <x v="1"/>
    <x v="1"/>
    <x v="1"/>
    <n v="53705.129606428272"/>
    <n v="34783.125"/>
    <n v="18922.004606428269"/>
    <n v="0.17679985616844909"/>
    <n v="0"/>
    <s v="OK"/>
  </r>
  <r>
    <s v="LN-0218"/>
    <s v="CUST-1218"/>
    <x v="1"/>
    <n v="133500"/>
    <n v="0.05"/>
    <n v="6675"/>
    <n v="126825"/>
    <n v="0.1865"/>
    <n v="24"/>
    <n v="1.5541666666666671E-2"/>
    <n v="6371.5272831594702"/>
    <n v="152916.65479582729"/>
    <n v="26091.654795827289"/>
    <n v="1268.25"/>
    <n v="16487.25"/>
    <x v="2"/>
    <n v="0"/>
    <n v="10872.654795827289"/>
    <x v="1"/>
    <s v="Jun-2025"/>
    <x v="1"/>
    <x v="1"/>
    <x v="0"/>
    <n v="27359.904795827289"/>
    <n v="16487.25"/>
    <n v="10872.654795827289"/>
    <n v="8.5729586405103766E-2"/>
    <n v="0"/>
    <s v="OK"/>
  </r>
  <r>
    <s v="LN-0219"/>
    <s v="CUST-1219"/>
    <x v="2"/>
    <n v="648000"/>
    <n v="0.2"/>
    <n v="129600"/>
    <n v="518400"/>
    <n v="0.1134"/>
    <n v="84"/>
    <n v="9.4500000000000001E-3"/>
    <n v="8969.2157037329616"/>
    <n v="753414.1191135688"/>
    <n v="235014.1191135688"/>
    <n v="5184"/>
    <n v="235872"/>
    <x v="0"/>
    <n v="0"/>
    <n v="4326.1191135687986"/>
    <x v="3"/>
    <s v="Apr-2025"/>
    <x v="2"/>
    <x v="0"/>
    <x v="1"/>
    <n v="240198.1191135688"/>
    <n v="235872"/>
    <n v="4326.1191135687986"/>
    <n v="8.3451371789521576E-3"/>
    <n v="0"/>
    <s v="OK"/>
  </r>
  <r>
    <s v="LN-0220"/>
    <s v="CUST-1220"/>
    <x v="0"/>
    <n v="192200"/>
    <n v="0.25"/>
    <n v="48050"/>
    <n v="144150"/>
    <n v="0.11"/>
    <n v="36"/>
    <n v="9.1666666666666667E-3"/>
    <n v="4719.2860724158454"/>
    <n v="169894.29860697041"/>
    <n v="25744.298606970409"/>
    <n v="1441.5"/>
    <n v="28109.25"/>
    <x v="0"/>
    <n v="0"/>
    <n v="-923.45139302959433"/>
    <x v="1"/>
    <s v="Oct-2025"/>
    <x v="1"/>
    <x v="0"/>
    <x v="0"/>
    <n v="27185.798606970409"/>
    <n v="28109.25"/>
    <n v="-923.45139302959433"/>
    <n v="-6.4061837879264274E-3"/>
    <n v="0"/>
    <s v="OK"/>
  </r>
  <r>
    <s v="LN-0221"/>
    <s v="CUST-1221"/>
    <x v="2"/>
    <n v="569600"/>
    <n v="0.2"/>
    <n v="113920"/>
    <n v="455680"/>
    <n v="0.1048"/>
    <n v="84"/>
    <n v="8.7333333333333343E-3"/>
    <n v="7678.3218445633138"/>
    <n v="644979.03494331834"/>
    <n v="189299.03494331829"/>
    <n v="4556.8"/>
    <n v="207334.39999999999"/>
    <x v="0"/>
    <n v="0"/>
    <n v="-13478.56505668166"/>
    <x v="0"/>
    <s v="Jan-2025"/>
    <x v="3"/>
    <x v="0"/>
    <x v="1"/>
    <n v="193855.8349433183"/>
    <n v="207334.39999999999"/>
    <n v="-13478.56505668166"/>
    <n v="-2.9579013905990301E-2"/>
    <n v="0"/>
    <s v="OK"/>
  </r>
  <r>
    <s v="LN-0222"/>
    <s v="CUST-1222"/>
    <x v="3"/>
    <n v="114200"/>
    <n v="0.2"/>
    <n v="22840"/>
    <n v="91360"/>
    <n v="0.20169999999999999"/>
    <n v="9"/>
    <n v="1.6808333333333331E-2"/>
    <n v="11023.18059222693"/>
    <n v="99208.625330042385"/>
    <n v="7848.625330042385"/>
    <n v="913.6"/>
    <n v="4453.8"/>
    <x v="2"/>
    <n v="0"/>
    <n v="4308.4253300423852"/>
    <x v="2"/>
    <s v="Oct-2025"/>
    <x v="0"/>
    <x v="1"/>
    <x v="2"/>
    <n v="8762.2253300423854"/>
    <n v="4453.8"/>
    <n v="4308.4253300423852"/>
    <n v="4.7158771125682848E-2"/>
    <n v="0"/>
    <s v="OK"/>
  </r>
  <r>
    <s v="LN-0223"/>
    <s v="CUST-1223"/>
    <x v="0"/>
    <n v="179500"/>
    <n v="0.15"/>
    <n v="26925"/>
    <n v="152575"/>
    <n v="0.1502"/>
    <n v="36"/>
    <n v="1.2516666666666671E-2"/>
    <n v="5290.5569512068523"/>
    <n v="190460.05024344669"/>
    <n v="37885.050243446691"/>
    <n v="1525.75"/>
    <n v="29752.125"/>
    <x v="0"/>
    <n v="0"/>
    <n v="9658.6752434466907"/>
    <x v="2"/>
    <s v="May-2025"/>
    <x v="1"/>
    <x v="1"/>
    <x v="0"/>
    <n v="39410.800243446691"/>
    <n v="29752.125"/>
    <n v="9658.6752434466907"/>
    <n v="6.330444203471533E-2"/>
    <n v="0"/>
    <s v="OK"/>
  </r>
  <r>
    <s v="LN-0224"/>
    <s v="CUST-1224"/>
    <x v="1"/>
    <n v="111100"/>
    <n v="0.15"/>
    <n v="16665"/>
    <n v="94435"/>
    <n v="0.1326"/>
    <n v="18"/>
    <n v="1.1050000000000001E-2"/>
    <n v="5814.2655265689646"/>
    <n v="104656.7794782414"/>
    <n v="10221.779478241369"/>
    <n v="944.35"/>
    <n v="9207.4125000000004"/>
    <x v="0"/>
    <n v="0"/>
    <n v="1958.7169782413689"/>
    <x v="3"/>
    <s v="Oct-2025"/>
    <x v="0"/>
    <x v="0"/>
    <x v="0"/>
    <n v="11166.12947824137"/>
    <n v="9207.4125000000004"/>
    <n v="1958.7169782413689"/>
    <n v="2.0741430383241059E-2"/>
    <n v="0"/>
    <s v="OK"/>
  </r>
  <r>
    <s v="LN-0225"/>
    <s v="CUST-1225"/>
    <x v="3"/>
    <n v="104500"/>
    <n v="0.1"/>
    <n v="10450"/>
    <n v="94050"/>
    <n v="0.16550000000000001"/>
    <n v="9"/>
    <n v="1.3791666666666671E-2"/>
    <n v="11183.77196428048"/>
    <n v="100653.9476785243"/>
    <n v="6603.9476785243023"/>
    <n v="940.5"/>
    <n v="4584.9375"/>
    <x v="2"/>
    <n v="0"/>
    <n v="2959.5101785243019"/>
    <x v="3"/>
    <s v="Sep-2025"/>
    <x v="0"/>
    <x v="1"/>
    <x v="2"/>
    <n v="7544.4476785243023"/>
    <n v="4584.9375"/>
    <n v="2959.5101785243019"/>
    <n v="3.146741284980651E-2"/>
    <n v="0"/>
    <s v="OK"/>
  </r>
  <r>
    <s v="LN-0226"/>
    <s v="CUST-1226"/>
    <x v="0"/>
    <n v="136600"/>
    <n v="0.2"/>
    <n v="27320"/>
    <n v="109280"/>
    <n v="0.13730000000000001"/>
    <n v="36"/>
    <n v="1.1441666666666669E-2"/>
    <n v="3720.6168056571601"/>
    <n v="133942.20500365779"/>
    <n v="24662.20500365776"/>
    <n v="1092.8"/>
    <n v="21309.599999999999"/>
    <x v="2"/>
    <n v="0"/>
    <n v="4445.4050036577573"/>
    <x v="0"/>
    <s v="Jan-2025"/>
    <x v="1"/>
    <x v="0"/>
    <x v="0"/>
    <n v="25755.00500365776"/>
    <n v="21309.599999999999"/>
    <n v="4445.4050036577573"/>
    <n v="4.0679035538595879E-2"/>
    <n v="0"/>
    <s v="OK"/>
  </r>
  <r>
    <s v="LN-0227"/>
    <s v="CUST-1227"/>
    <x v="3"/>
    <n v="51000"/>
    <n v="0"/>
    <n v="0"/>
    <n v="51000"/>
    <n v="0.18920000000000001"/>
    <n v="6"/>
    <n v="1.5766666666666668E-2"/>
    <n v="8975.1722365165169"/>
    <n v="53851.033419099098"/>
    <n v="2851.033419099098"/>
    <n v="510"/>
    <n v="1657.5"/>
    <x v="0"/>
    <n v="0"/>
    <n v="1703.533419099098"/>
    <x v="3"/>
    <s v="Apr-2025"/>
    <x v="0"/>
    <x v="1"/>
    <x v="2"/>
    <n v="3361.033419099098"/>
    <n v="1657.5"/>
    <n v="1703.533419099098"/>
    <n v="3.3402616060766617E-2"/>
    <n v="0"/>
    <s v="OK"/>
  </r>
  <r>
    <s v="LN-0228"/>
    <s v="CUST-1228"/>
    <x v="0"/>
    <n v="179600"/>
    <n v="0.15"/>
    <n v="26940"/>
    <n v="152660"/>
    <n v="0.14119999999999999"/>
    <n v="48"/>
    <n v="1.176666666666667E-2"/>
    <n v="4180.8551974500369"/>
    <n v="200681.0494776018"/>
    <n v="48021.049477601773"/>
    <n v="1526.6"/>
    <n v="39691.599999999999"/>
    <x v="0"/>
    <n v="0"/>
    <n v="9856.0494776017731"/>
    <x v="0"/>
    <s v="Jul-2025"/>
    <x v="1"/>
    <x v="0"/>
    <x v="1"/>
    <n v="49547.649477601772"/>
    <n v="39691.599999999999"/>
    <n v="9856.0494776017731"/>
    <n v="6.4562095359634308E-2"/>
    <n v="0"/>
    <s v="OK"/>
  </r>
  <r>
    <s v="LN-0229"/>
    <s v="CUST-1229"/>
    <x v="1"/>
    <n v="145800"/>
    <n v="0"/>
    <n v="0"/>
    <n v="145800"/>
    <n v="0.13719999999999999"/>
    <n v="12"/>
    <n v="1.143333333333333E-2"/>
    <n v="13071.761027115401"/>
    <n v="156861.13232538491"/>
    <n v="11061.13232538485"/>
    <n v="1458"/>
    <n v="9477"/>
    <x v="1"/>
    <n v="58320"/>
    <n v="-55277.867674615147"/>
    <x v="2"/>
    <s v="Oct-2025"/>
    <x v="1"/>
    <x v="0"/>
    <x v="2"/>
    <n v="12519.13232538485"/>
    <n v="67797"/>
    <n v="-55277.867674615147"/>
    <n v="-0.37913489488762098"/>
    <n v="0.4"/>
    <s v="OK"/>
  </r>
  <r>
    <s v="LN-0230"/>
    <s v="CUST-1230"/>
    <x v="2"/>
    <n v="1119700"/>
    <n v="0.1"/>
    <n v="111970"/>
    <n v="1007730"/>
    <n v="9.9099999999999994E-2"/>
    <n v="84"/>
    <n v="8.2583333333333328E-3"/>
    <n v="16682.68645563714"/>
    <n v="1401345.662273519"/>
    <n v="393615.66227351938"/>
    <n v="10077.299999999999"/>
    <n v="458517.15"/>
    <x v="0"/>
    <n v="0"/>
    <n v="-54824.187726480603"/>
    <x v="2"/>
    <s v="Mar-2025"/>
    <x v="2"/>
    <x v="2"/>
    <x v="1"/>
    <n v="403692.96227351943"/>
    <n v="458517.15"/>
    <n v="-54824.187726480603"/>
    <n v="-5.4403647531065462E-2"/>
    <n v="0"/>
    <s v="OK"/>
  </r>
  <r>
    <s v="LN-0231"/>
    <s v="CUST-1231"/>
    <x v="2"/>
    <n v="1200300"/>
    <n v="0.1"/>
    <n v="120030"/>
    <n v="1080270"/>
    <n v="0.1079"/>
    <n v="60"/>
    <n v="8.9916666666666669E-3"/>
    <n v="23374.710324796772"/>
    <n v="1402482.619487806"/>
    <n v="322212.61948780599"/>
    <n v="10802.7"/>
    <n v="351087.75"/>
    <x v="0"/>
    <n v="0"/>
    <n v="-18072.430512194001"/>
    <x v="1"/>
    <s v="Jun-2025"/>
    <x v="2"/>
    <x v="0"/>
    <x v="1"/>
    <n v="333015.319487806"/>
    <n v="351087.75"/>
    <n v="-18072.430512194001"/>
    <n v="-1.6729549568343102E-2"/>
    <n v="0"/>
    <s v="OK"/>
  </r>
  <r>
    <s v="LN-0232"/>
    <s v="CUST-1232"/>
    <x v="1"/>
    <n v="34200"/>
    <n v="0.1"/>
    <n v="3420"/>
    <n v="30780"/>
    <n v="0.1603"/>
    <n v="24"/>
    <n v="1.335833333333333E-2"/>
    <n v="1507.525787960056"/>
    <n v="36180.618911041347"/>
    <n v="5400.618911041347"/>
    <n v="499"/>
    <n v="4001.4"/>
    <x v="0"/>
    <n v="0"/>
    <n v="1898.2189110413469"/>
    <x v="0"/>
    <s v="Mar-2025"/>
    <x v="0"/>
    <x v="1"/>
    <x v="0"/>
    <n v="5899.618911041347"/>
    <n v="4001.4"/>
    <n v="1898.2189110413469"/>
    <n v="6.1670529923370597E-2"/>
    <n v="0"/>
    <s v="OK"/>
  </r>
  <r>
    <s v="LN-0233"/>
    <s v="CUST-1233"/>
    <x v="2"/>
    <n v="833300"/>
    <n v="0.3"/>
    <n v="249990"/>
    <n v="583310"/>
    <n v="0.10879999999999999"/>
    <n v="60"/>
    <n v="9.0666666666666656E-3"/>
    <n v="12647.69250207495"/>
    <n v="758861.55012449704"/>
    <n v="175551.55012449701"/>
    <n v="5833.1"/>
    <n v="189575.75"/>
    <x v="0"/>
    <n v="0"/>
    <n v="-8191.0998755029577"/>
    <x v="1"/>
    <s v="Apr-2025"/>
    <x v="2"/>
    <x v="0"/>
    <x v="1"/>
    <n v="181384.65012449701"/>
    <n v="189575.75"/>
    <n v="-8191.0998755029577"/>
    <n v="-1.404244719875016E-2"/>
    <n v="0"/>
    <s v="OK"/>
  </r>
  <r>
    <s v="LN-0234"/>
    <s v="CUST-1234"/>
    <x v="0"/>
    <n v="156300"/>
    <n v="0.1"/>
    <n v="15630"/>
    <n v="140670"/>
    <n v="0.1032"/>
    <n v="12"/>
    <n v="8.6E-3"/>
    <n v="12388.073457668121"/>
    <n v="148656.88149201739"/>
    <n v="7986.88149201739"/>
    <n v="1406.7"/>
    <n v="9143.5500000000011"/>
    <x v="0"/>
    <n v="0"/>
    <n v="250.03149201738961"/>
    <x v="2"/>
    <s v="Sep-2025"/>
    <x v="1"/>
    <x v="0"/>
    <x v="2"/>
    <n v="9393.5814920173907"/>
    <n v="9143.5500000000011"/>
    <n v="250.03149201738961"/>
    <n v="1.7774329424709581E-3"/>
    <n v="0"/>
    <s v="OK"/>
  </r>
  <r>
    <s v="LN-0235"/>
    <s v="CUST-1235"/>
    <x v="1"/>
    <n v="100800"/>
    <n v="0.2"/>
    <n v="20160"/>
    <n v="80640"/>
    <n v="0.16120000000000001"/>
    <n v="12"/>
    <n v="1.343333333333333E-2"/>
    <n v="7321.1164181573477"/>
    <n v="87853.397017888172"/>
    <n v="7213.3970178881718"/>
    <n v="806.4"/>
    <n v="5241.6000000000004"/>
    <x v="0"/>
    <n v="0"/>
    <n v="2778.1970178881711"/>
    <x v="2"/>
    <s v="Oct-2025"/>
    <x v="0"/>
    <x v="1"/>
    <x v="2"/>
    <n v="8019.7970178881706"/>
    <n v="5241.6000000000004"/>
    <n v="2778.1970178881711"/>
    <n v="3.4451847940081493E-2"/>
    <n v="0"/>
    <s v="OK"/>
  </r>
  <r>
    <s v="LN-0236"/>
    <s v="CUST-1236"/>
    <x v="0"/>
    <n v="131800"/>
    <n v="0.25"/>
    <n v="32950"/>
    <n v="98850"/>
    <n v="0.12690000000000001"/>
    <n v="60"/>
    <n v="1.0574999999999999E-2"/>
    <n v="2233.4857083678421"/>
    <n v="134009.14250207049"/>
    <n v="35159.142502070521"/>
    <n v="988.5"/>
    <n v="32126.25"/>
    <x v="0"/>
    <n v="0"/>
    <n v="4021.392502070521"/>
    <x v="3"/>
    <s v="Aug-2025"/>
    <x v="0"/>
    <x v="0"/>
    <x v="1"/>
    <n v="36147.642502070521"/>
    <n v="32126.25"/>
    <n v="4021.392502070521"/>
    <n v="4.0681765321907142E-2"/>
    <n v="0"/>
    <s v="OK"/>
  </r>
  <r>
    <s v="LN-0237"/>
    <s v="CUST-1237"/>
    <x v="2"/>
    <n v="805200"/>
    <n v="0.3"/>
    <n v="241560"/>
    <n v="563640"/>
    <n v="0.1052"/>
    <n v="72"/>
    <n v="8.7666666666666674E-3"/>
    <n v="10590.3088586248"/>
    <n v="762502.23782098596"/>
    <n v="198862.23782098599"/>
    <n v="5636.4000000000005"/>
    <n v="219819.6"/>
    <x v="0"/>
    <n v="0"/>
    <n v="-15320.962179014021"/>
    <x v="0"/>
    <s v="Oct-2025"/>
    <x v="2"/>
    <x v="0"/>
    <x v="1"/>
    <n v="204498.63782098601"/>
    <n v="219819.6"/>
    <n v="-15320.962179014021"/>
    <n v="-2.718217688420627E-2"/>
    <n v="0"/>
    <s v="OK"/>
  </r>
  <r>
    <s v="LN-0238"/>
    <s v="CUST-1238"/>
    <x v="1"/>
    <n v="145900"/>
    <n v="0.2"/>
    <n v="29180"/>
    <n v="116720"/>
    <n v="0.18260000000000001"/>
    <n v="24"/>
    <n v="1.521666666666667E-2"/>
    <n v="5841.8148334147108"/>
    <n v="140203.55600195311"/>
    <n v="23483.556001953049"/>
    <n v="1167.2"/>
    <n v="15173.6"/>
    <x v="2"/>
    <n v="0"/>
    <n v="9477.1560019530534"/>
    <x v="0"/>
    <s v="Oct-2025"/>
    <x v="1"/>
    <x v="1"/>
    <x v="0"/>
    <n v="24650.75600195305"/>
    <n v="15173.6"/>
    <n v="9477.1560019530534"/>
    <n v="8.1195647720639599E-2"/>
    <n v="0"/>
    <s v="OK"/>
  </r>
  <r>
    <s v="LN-0239"/>
    <s v="CUST-1239"/>
    <x v="1"/>
    <n v="90500"/>
    <n v="0.05"/>
    <n v="4525"/>
    <n v="85975"/>
    <n v="0.1777"/>
    <n v="18"/>
    <n v="1.480833333333333E-2"/>
    <n v="5476.2803747893777"/>
    <n v="98573.046746208798"/>
    <n v="12598.0467462088"/>
    <n v="859.75"/>
    <n v="8382.5625"/>
    <x v="0"/>
    <n v="0"/>
    <n v="5075.2342462087981"/>
    <x v="1"/>
    <s v="Jan-2025"/>
    <x v="0"/>
    <x v="1"/>
    <x v="0"/>
    <n v="13457.7967462088"/>
    <n v="8382.5625"/>
    <n v="5075.2342462087981"/>
    <n v="5.9031512023364908E-2"/>
    <n v="0"/>
    <s v="OK"/>
  </r>
  <r>
    <s v="LN-0240"/>
    <s v="CUST-1240"/>
    <x v="0"/>
    <n v="228100"/>
    <n v="0.15"/>
    <n v="34215"/>
    <n v="193885"/>
    <n v="0.1153"/>
    <n v="48"/>
    <n v="9.6083333333333333E-3"/>
    <n v="5061.1082616623016"/>
    <n v="242933.19655979049"/>
    <n v="49048.196559790456"/>
    <n v="1938.85"/>
    <n v="50410.1"/>
    <x v="0"/>
    <n v="0"/>
    <n v="576.94655979046365"/>
    <x v="2"/>
    <s v="Dec-2025"/>
    <x v="1"/>
    <x v="0"/>
    <x v="1"/>
    <n v="50987.046559790462"/>
    <n v="50410.1"/>
    <n v="576.94655979046365"/>
    <n v="2.9757152940684609E-3"/>
    <n v="0"/>
    <s v="OK"/>
  </r>
  <r>
    <s v="LN-0241"/>
    <s v="CUST-1241"/>
    <x v="3"/>
    <n v="64200"/>
    <n v="0.2"/>
    <n v="12840"/>
    <n v="51360"/>
    <n v="0.18890000000000001"/>
    <n v="12"/>
    <n v="1.5741666666666671E-2"/>
    <n v="4730.4659644612038"/>
    <n v="56765.591573534453"/>
    <n v="5405.5915735344461"/>
    <n v="513.6"/>
    <n v="3338.4"/>
    <x v="0"/>
    <n v="0"/>
    <n v="2580.7915735344459"/>
    <x v="1"/>
    <s v="Sep-2025"/>
    <x v="0"/>
    <x v="1"/>
    <x v="2"/>
    <n v="5919.1915735344464"/>
    <n v="3338.4"/>
    <n v="2580.7915735344459"/>
    <n v="5.0249057117103708E-2"/>
    <n v="0"/>
    <s v="OK"/>
  </r>
  <r>
    <s v="LN-0242"/>
    <s v="CUST-1242"/>
    <x v="3"/>
    <n v="44400"/>
    <n v="0.1"/>
    <n v="4440"/>
    <n v="39960"/>
    <n v="0.193"/>
    <n v="18"/>
    <n v="1.6083333333333331E-2"/>
    <n v="2574.5104548374129"/>
    <n v="46341.188187073443"/>
    <n v="6381.188187073436"/>
    <n v="499"/>
    <n v="3896.1"/>
    <x v="2"/>
    <n v="0"/>
    <n v="2984.0881870734361"/>
    <x v="1"/>
    <s v="Aug-2025"/>
    <x v="0"/>
    <x v="1"/>
    <x v="0"/>
    <n v="6880.188187073436"/>
    <n v="3896.1"/>
    <n v="2984.0881870734361"/>
    <n v="7.467688155839429E-2"/>
    <n v="0"/>
    <s v="OK"/>
  </r>
  <r>
    <s v="LN-0243"/>
    <s v="CUST-1243"/>
    <x v="2"/>
    <n v="776600"/>
    <n v="0.3"/>
    <n v="232980"/>
    <n v="543620"/>
    <n v="9.5600000000000004E-2"/>
    <n v="60"/>
    <n v="7.966666666666667E-3"/>
    <n v="11432.978146194529"/>
    <n v="685978.68877167185"/>
    <n v="142358.68877167179"/>
    <n v="5436.2"/>
    <n v="176676.5"/>
    <x v="0"/>
    <n v="0"/>
    <n v="-28881.61122832814"/>
    <x v="1"/>
    <s v="May-2025"/>
    <x v="2"/>
    <x v="2"/>
    <x v="1"/>
    <n v="147794.88877167189"/>
    <n v="176676.5"/>
    <n v="-28881.61122832814"/>
    <n v="-5.3128308797189473E-2"/>
    <n v="0"/>
    <s v="OK"/>
  </r>
  <r>
    <s v="LN-0244"/>
    <s v="CUST-1244"/>
    <x v="1"/>
    <n v="53100"/>
    <n v="0.1"/>
    <n v="5310"/>
    <n v="47790"/>
    <n v="0.1978"/>
    <n v="12"/>
    <n v="1.6483333333333329E-2"/>
    <n v="4421.972701943886"/>
    <n v="53063.672423326629"/>
    <n v="5273.6724233266286"/>
    <n v="499"/>
    <n v="3106.35"/>
    <x v="0"/>
    <n v="0"/>
    <n v="2666.3224233266292"/>
    <x v="2"/>
    <s v="Jun-2025"/>
    <x v="0"/>
    <x v="1"/>
    <x v="2"/>
    <n v="5772.6724233266286"/>
    <n v="3106.35"/>
    <n v="2666.3224233266292"/>
    <n v="5.5792475901373283E-2"/>
    <n v="0"/>
    <s v="OK"/>
  </r>
  <r>
    <s v="LN-0245"/>
    <s v="CUST-1245"/>
    <x v="1"/>
    <n v="95100"/>
    <n v="0.1"/>
    <n v="9510"/>
    <n v="85590"/>
    <n v="0.1948"/>
    <n v="36"/>
    <n v="1.6233333333333329E-2"/>
    <n v="3158.1991013434472"/>
    <n v="113695.16764836411"/>
    <n v="28105.16764836408"/>
    <n v="855.9"/>
    <n v="16690.05"/>
    <x v="2"/>
    <n v="0"/>
    <n v="12271.017648364081"/>
    <x v="2"/>
    <s v="Jul-2025"/>
    <x v="0"/>
    <x v="1"/>
    <x v="0"/>
    <n v="28961.067648364078"/>
    <n v="16690.05"/>
    <n v="12271.017648364081"/>
    <n v="0.1433697587143834"/>
    <n v="0"/>
    <s v="OK"/>
  </r>
  <r>
    <s v="LN-0246"/>
    <s v="CUST-1246"/>
    <x v="2"/>
    <n v="1450100"/>
    <n v="0.1"/>
    <n v="145010"/>
    <n v="1305090"/>
    <n v="0.1091"/>
    <n v="60"/>
    <n v="9.0916666666666663E-3"/>
    <n v="28317.276673600729"/>
    <n v="1699036.600416044"/>
    <n v="393946.60041604401"/>
    <n v="13050.9"/>
    <n v="424154.25"/>
    <x v="0"/>
    <n v="0"/>
    <n v="-17156.749583955971"/>
    <x v="0"/>
    <s v="Jun-2025"/>
    <x v="2"/>
    <x v="0"/>
    <x v="1"/>
    <n v="406997.50041604397"/>
    <n v="424154.25"/>
    <n v="-17156.749583955971"/>
    <n v="-1.314602792447722E-2"/>
    <n v="0"/>
    <s v="OK"/>
  </r>
  <r>
    <s v="LN-0247"/>
    <s v="CUST-1247"/>
    <x v="2"/>
    <n v="1121600"/>
    <n v="0.15"/>
    <n v="168240"/>
    <n v="953360"/>
    <n v="0.1074"/>
    <n v="48"/>
    <n v="8.9499999999999996E-3"/>
    <n v="24519.885761781759"/>
    <n v="1176954.516565525"/>
    <n v="223594.51656552451"/>
    <n v="9533.6"/>
    <n v="247873.6"/>
    <x v="0"/>
    <n v="0"/>
    <n v="-14745.483434475491"/>
    <x v="3"/>
    <s v="Sep-2025"/>
    <x v="2"/>
    <x v="0"/>
    <x v="1"/>
    <n v="233128.11656552451"/>
    <n v="247873.6"/>
    <n v="-14745.483434475491"/>
    <n v="-1.5466857676507821E-2"/>
    <n v="0"/>
    <s v="OK"/>
  </r>
  <r>
    <s v="LN-0248"/>
    <s v="CUST-1248"/>
    <x v="0"/>
    <n v="92900"/>
    <n v="0.1"/>
    <n v="9290"/>
    <n v="83610"/>
    <n v="0.14929999999999999"/>
    <n v="60"/>
    <n v="1.244166666666667E-2"/>
    <n v="1986.005221475938"/>
    <n v="119160.3132885563"/>
    <n v="35550.313288556274"/>
    <n v="836.1"/>
    <n v="27173.25"/>
    <x v="2"/>
    <n v="0"/>
    <n v="9213.1632885562613"/>
    <x v="1"/>
    <s v="Nov-2025"/>
    <x v="0"/>
    <x v="0"/>
    <x v="1"/>
    <n v="36386.413288556258"/>
    <n v="27173.25"/>
    <n v="9213.1632885562613"/>
    <n v="0.11019212161890039"/>
    <n v="0"/>
    <s v="OK"/>
  </r>
  <r>
    <s v="LN-0249"/>
    <s v="CUST-1249"/>
    <x v="3"/>
    <n v="19200"/>
    <n v="0"/>
    <n v="0"/>
    <n v="19200"/>
    <n v="0.16639999999999999"/>
    <n v="12"/>
    <n v="1.3866666666666669E-2"/>
    <n v="1747.852702468196"/>
    <n v="20974.232429618351"/>
    <n v="1774.232429618351"/>
    <n v="499"/>
    <n v="1248"/>
    <x v="0"/>
    <n v="0"/>
    <n v="1025.232429618351"/>
    <x v="1"/>
    <s v="Jan-2025"/>
    <x v="0"/>
    <x v="1"/>
    <x v="2"/>
    <n v="2273.232429618351"/>
    <n v="1248"/>
    <n v="1025.232429618351"/>
    <n v="5.3397522375955762E-2"/>
    <n v="0"/>
    <s v="OK"/>
  </r>
  <r>
    <s v="LN-0250"/>
    <s v="CUST-1250"/>
    <x v="2"/>
    <n v="1475700"/>
    <n v="0.25"/>
    <n v="368925"/>
    <n v="1106775"/>
    <n v="8.9700000000000002E-2"/>
    <n v="72"/>
    <n v="7.4749999999999999E-3"/>
    <n v="19933.738823262182"/>
    <n v="1435229.1952748769"/>
    <n v="328454.19527487707"/>
    <n v="11067.75"/>
    <n v="431642.25"/>
    <x v="0"/>
    <n v="0"/>
    <n v="-92120.304725122871"/>
    <x v="3"/>
    <s v="Jun-2025"/>
    <x v="2"/>
    <x v="2"/>
    <x v="1"/>
    <n v="339521.94527487707"/>
    <n v="431642.25"/>
    <n v="-92120.304725122871"/>
    <n v="-8.3233091391766961E-2"/>
    <n v="0"/>
    <s v="OK"/>
  </r>
  <r>
    <s v="LN-0251"/>
    <s v="CUST-1251"/>
    <x v="3"/>
    <n v="14600"/>
    <n v="0.15"/>
    <n v="2190"/>
    <n v="12410"/>
    <n v="0.20150000000000001"/>
    <n v="24"/>
    <n v="1.679166666666667E-2"/>
    <n v="632.52665899167721"/>
    <n v="15180.63981580025"/>
    <n v="2770.6398158002521"/>
    <n v="499"/>
    <n v="1613.3"/>
    <x v="2"/>
    <n v="0"/>
    <n v="1656.3398158002519"/>
    <x v="0"/>
    <s v="Mar-2025"/>
    <x v="0"/>
    <x v="1"/>
    <x v="0"/>
    <n v="3269.6398158002521"/>
    <n v="1613.3"/>
    <n v="1656.3398158002519"/>
    <n v="0.1334681559871275"/>
    <n v="0"/>
    <s v="OK"/>
  </r>
  <r>
    <s v="LN-0252"/>
    <s v="CUST-1252"/>
    <x v="1"/>
    <n v="129700"/>
    <n v="0.15"/>
    <n v="19455"/>
    <n v="110245"/>
    <n v="0.19470000000000001"/>
    <n v="6"/>
    <n v="1.6225E-2"/>
    <n v="19431.582141905299"/>
    <n v="116589.4928514318"/>
    <n v="6344.4928514317726"/>
    <n v="1102.45"/>
    <n v="3582.9625000000001"/>
    <x v="0"/>
    <n v="0"/>
    <n v="3863.9803514317719"/>
    <x v="1"/>
    <s v="Dec-2025"/>
    <x v="1"/>
    <x v="1"/>
    <x v="2"/>
    <n v="7446.9428514317724"/>
    <n v="3582.9625000000001"/>
    <n v="3863.9803514317719"/>
    <n v="3.5049030354499272E-2"/>
    <n v="0"/>
    <s v="OK"/>
  </r>
  <r>
    <s v="LN-0253"/>
    <s v="CUST-1253"/>
    <x v="2"/>
    <n v="1418600"/>
    <n v="0.2"/>
    <n v="283720"/>
    <n v="1134880"/>
    <n v="0.1113"/>
    <n v="36"/>
    <n v="9.2750000000000003E-3"/>
    <n v="37224.421139868391"/>
    <n v="1340079.161035262"/>
    <n v="205199.16103526199"/>
    <n v="11348.8"/>
    <n v="221301.6"/>
    <x v="0"/>
    <n v="0"/>
    <n v="-4753.6389647379401"/>
    <x v="0"/>
    <s v="Jun-2025"/>
    <x v="2"/>
    <x v="0"/>
    <x v="0"/>
    <n v="216547.96103526201"/>
    <n v="221301.6"/>
    <n v="-4753.6389647379401"/>
    <n v="-4.188671017850293E-3"/>
    <n v="0"/>
    <s v="OK"/>
  </r>
  <r>
    <s v="LN-0254"/>
    <s v="CUST-1254"/>
    <x v="3"/>
    <n v="118800"/>
    <n v="0"/>
    <n v="0"/>
    <n v="118800"/>
    <n v="0.1835"/>
    <n v="12"/>
    <n v="1.529166666666667E-2"/>
    <n v="10911.381418995359"/>
    <n v="130936.5770279444"/>
    <n v="12136.57702794435"/>
    <n v="1188"/>
    <n v="7722"/>
    <x v="0"/>
    <n v="0"/>
    <n v="5602.5770279443532"/>
    <x v="2"/>
    <s v="May-2025"/>
    <x v="1"/>
    <x v="1"/>
    <x v="2"/>
    <n v="13324.57702794435"/>
    <n v="7722"/>
    <n v="5602.5770279443532"/>
    <n v="4.7159739292460888E-2"/>
    <n v="0"/>
    <s v="OK"/>
  </r>
  <r>
    <s v="LN-0255"/>
    <s v="CUST-1255"/>
    <x v="3"/>
    <n v="20600"/>
    <n v="0.2"/>
    <n v="4120"/>
    <n v="16480"/>
    <n v="0.153"/>
    <n v="12"/>
    <n v="1.2749999999999999E-2"/>
    <n v="1489.7909166286699"/>
    <n v="17877.49099954405"/>
    <n v="1397.4909995440471"/>
    <n v="499"/>
    <n v="1071.2"/>
    <x v="2"/>
    <n v="0"/>
    <n v="825.2909995440466"/>
    <x v="1"/>
    <s v="Jan-2025"/>
    <x v="0"/>
    <x v="1"/>
    <x v="2"/>
    <n v="1896.4909995440471"/>
    <n v="1071.2"/>
    <n v="825.2909995440466"/>
    <n v="5.0078337350973702E-2"/>
    <n v="0"/>
    <s v="OK"/>
  </r>
  <r>
    <s v="LN-0256"/>
    <s v="CUST-1256"/>
    <x v="0"/>
    <n v="249800"/>
    <n v="0.1"/>
    <n v="24980"/>
    <n v="224820"/>
    <n v="0.1454"/>
    <n v="24"/>
    <n v="1.211666666666667E-2"/>
    <n v="10851.697372312739"/>
    <n v="260440.73693550579"/>
    <n v="35620.736935505789"/>
    <n v="2248.1999999999998"/>
    <n v="29226.6"/>
    <x v="0"/>
    <n v="0"/>
    <n v="8642.3369355057839"/>
    <x v="2"/>
    <s v="Jul-2025"/>
    <x v="1"/>
    <x v="0"/>
    <x v="0"/>
    <n v="37868.936935505793"/>
    <n v="29226.6"/>
    <n v="8642.3369355057839"/>
    <n v="3.844113929145887E-2"/>
    <n v="0"/>
    <s v="OK"/>
  </r>
  <r>
    <s v="LN-0257"/>
    <s v="CUST-1257"/>
    <x v="1"/>
    <n v="35800"/>
    <n v="0.05"/>
    <n v="1790"/>
    <n v="34010"/>
    <n v="0.17349999999999999"/>
    <n v="9"/>
    <n v="1.445833333333333E-2"/>
    <n v="4057.2982299554469"/>
    <n v="36515.684069599018"/>
    <n v="2505.684069599025"/>
    <n v="499"/>
    <n v="1657.9875"/>
    <x v="0"/>
    <n v="0"/>
    <n v="1346.696569599025"/>
    <x v="1"/>
    <s v="Jan-2025"/>
    <x v="0"/>
    <x v="1"/>
    <x v="2"/>
    <n v="3004.684069599025"/>
    <n v="1657.9875"/>
    <n v="1346.696569599025"/>
    <n v="3.9597076436313577E-2"/>
    <n v="0"/>
    <s v="OK"/>
  </r>
  <r>
    <s v="LN-0258"/>
    <s v="CUST-1258"/>
    <x v="3"/>
    <n v="34400"/>
    <n v="0.05"/>
    <n v="1720"/>
    <n v="32680"/>
    <n v="0.20030000000000001"/>
    <n v="9"/>
    <n v="1.6691666666666671E-2"/>
    <n v="3940.8438871224512"/>
    <n v="35467.594984102063"/>
    <n v="2787.5949841020629"/>
    <n v="499"/>
    <n v="1593.15"/>
    <x v="0"/>
    <n v="0"/>
    <n v="1693.444984102063"/>
    <x v="0"/>
    <s v="May-2025"/>
    <x v="0"/>
    <x v="1"/>
    <x v="2"/>
    <n v="3286.5949841020629"/>
    <n v="1593.15"/>
    <n v="1693.444984102063"/>
    <n v="5.1819001961507433E-2"/>
    <n v="0"/>
    <s v="OK"/>
  </r>
  <r>
    <s v="LN-0259"/>
    <s v="CUST-1259"/>
    <x v="0"/>
    <n v="226300"/>
    <n v="0.2"/>
    <n v="45260"/>
    <n v="181040"/>
    <n v="0.105"/>
    <n v="12"/>
    <n v="8.7499999999999991E-3"/>
    <n v="15958.4230679743"/>
    <n v="191501.07681569149"/>
    <n v="10461.07681569154"/>
    <n v="1810.4"/>
    <n v="11767.6"/>
    <x v="2"/>
    <n v="0"/>
    <n v="503.87681569154302"/>
    <x v="2"/>
    <s v="Nov-2025"/>
    <x v="1"/>
    <x v="0"/>
    <x v="2"/>
    <n v="12271.47681569154"/>
    <n v="11767.6"/>
    <n v="503.87681569154302"/>
    <n v="2.7832347309519612E-3"/>
    <n v="0"/>
    <s v="OK"/>
  </r>
  <r>
    <s v="LN-0260"/>
    <s v="CUST-1260"/>
    <x v="1"/>
    <n v="136900"/>
    <n v="0"/>
    <n v="0"/>
    <n v="136900"/>
    <n v="0.17630000000000001"/>
    <n v="12"/>
    <n v="1.4691666666666671E-2"/>
    <n v="12526.89718742701"/>
    <n v="150322.76624912411"/>
    <n v="13422.766249124081"/>
    <n v="1369"/>
    <n v="8898.5"/>
    <x v="0"/>
    <n v="0"/>
    <n v="5893.2662491240771"/>
    <x v="3"/>
    <s v="Jun-2025"/>
    <x v="1"/>
    <x v="1"/>
    <x v="2"/>
    <n v="14791.766249124081"/>
    <n v="8898.5"/>
    <n v="5893.2662491240771"/>
    <n v="4.304796383582233E-2"/>
    <n v="0"/>
    <s v="OK"/>
  </r>
  <r>
    <s v="LN-0261"/>
    <s v="CUST-1261"/>
    <x v="0"/>
    <n v="112600"/>
    <n v="0.2"/>
    <n v="22520"/>
    <n v="90080"/>
    <n v="0.11070000000000001"/>
    <n v="24"/>
    <n v="9.2250000000000006E-3"/>
    <n v="4201.3621909805888"/>
    <n v="100832.6925835341"/>
    <n v="10752.692583534141"/>
    <n v="900.80000000000007"/>
    <n v="11710.4"/>
    <x v="0"/>
    <n v="0"/>
    <n v="-56.907416465861388"/>
    <x v="3"/>
    <s v="Jul-2025"/>
    <x v="0"/>
    <x v="0"/>
    <x v="0"/>
    <n v="11653.49258353414"/>
    <n v="11710.4"/>
    <n v="-56.907416465861388"/>
    <n v="-6.3174307799579693E-4"/>
    <n v="0"/>
    <s v="OK"/>
  </r>
  <r>
    <s v="LN-0262"/>
    <s v="CUST-1262"/>
    <x v="0"/>
    <n v="279100"/>
    <n v="0.1"/>
    <n v="27910"/>
    <n v="251190"/>
    <n v="0.16059999999999999"/>
    <n v="24"/>
    <n v="1.338333333333333E-2"/>
    <n v="12306.246200205351"/>
    <n v="295349.9088049283"/>
    <n v="44159.908804928302"/>
    <n v="2511.9"/>
    <n v="32654.7"/>
    <x v="0"/>
    <n v="0"/>
    <n v="14017.108804928301"/>
    <x v="0"/>
    <s v="Sep-2025"/>
    <x v="3"/>
    <x v="1"/>
    <x v="0"/>
    <n v="46671.808804928303"/>
    <n v="32654.7"/>
    <n v="14017.108804928301"/>
    <n v="5.5802813825901923E-2"/>
    <n v="0"/>
    <s v="OK"/>
  </r>
  <r>
    <s v="LN-0263"/>
    <s v="CUST-1263"/>
    <x v="1"/>
    <n v="113000"/>
    <n v="0"/>
    <n v="0"/>
    <n v="113000"/>
    <n v="0.12620000000000001"/>
    <n v="24"/>
    <n v="1.0516666666666671E-2"/>
    <n v="5352.0788723659634"/>
    <n v="128449.8929367831"/>
    <n v="15449.892936783121"/>
    <n v="1130"/>
    <n v="14690"/>
    <x v="2"/>
    <n v="0"/>
    <n v="1889.8929367831149"/>
    <x v="1"/>
    <s v="Oct-2025"/>
    <x v="1"/>
    <x v="0"/>
    <x v="0"/>
    <n v="16579.892936783119"/>
    <n v="14690"/>
    <n v="1889.8929367831149"/>
    <n v="1.6724716254717831E-2"/>
    <n v="0"/>
    <s v="OK"/>
  </r>
  <r>
    <s v="LN-0264"/>
    <s v="CUST-1264"/>
    <x v="1"/>
    <n v="45600"/>
    <n v="0"/>
    <n v="0"/>
    <n v="45600"/>
    <n v="0.18840000000000001"/>
    <n v="18"/>
    <n v="1.5699999999999999E-2"/>
    <n v="2927.835421119943"/>
    <n v="52701.037580158969"/>
    <n v="7101.0375801589689"/>
    <n v="499"/>
    <n v="4446"/>
    <x v="0"/>
    <n v="0"/>
    <n v="3154.0375801589689"/>
    <x v="2"/>
    <s v="Feb-2025"/>
    <x v="0"/>
    <x v="1"/>
    <x v="0"/>
    <n v="7600.0375801589689"/>
    <n v="4446"/>
    <n v="3154.0375801589689"/>
    <n v="6.9167490792959849E-2"/>
    <n v="0"/>
    <s v="OK"/>
  </r>
  <r>
    <s v="LN-0265"/>
    <s v="CUST-1265"/>
    <x v="2"/>
    <n v="890000"/>
    <n v="0.3"/>
    <n v="267000"/>
    <n v="623000"/>
    <n v="8.6699999999999999E-2"/>
    <n v="48"/>
    <n v="7.2249999999999997E-3"/>
    <n v="15405.94420937802"/>
    <n v="739485.32205014501"/>
    <n v="116485.322050145"/>
    <n v="6230"/>
    <n v="161980"/>
    <x v="0"/>
    <n v="0"/>
    <n v="-39264.677949854988"/>
    <x v="0"/>
    <s v="Sep-2025"/>
    <x v="2"/>
    <x v="2"/>
    <x v="1"/>
    <n v="122715.322050145"/>
    <n v="161980"/>
    <n v="-39264.677949854988"/>
    <n v="-6.3025165248563386E-2"/>
    <n v="0"/>
    <s v="OK"/>
  </r>
  <r>
    <s v="LN-0266"/>
    <s v="CUST-1266"/>
    <x v="1"/>
    <n v="125900"/>
    <n v="0.1"/>
    <n v="12590"/>
    <n v="113310"/>
    <n v="0.1779"/>
    <n v="18"/>
    <n v="1.4825E-2"/>
    <n v="7218.4951502667082"/>
    <n v="129932.91270480079"/>
    <n v="16622.91270480075"/>
    <n v="1133.0999999999999"/>
    <n v="11047.725"/>
    <x v="0"/>
    <n v="0"/>
    <n v="6708.2877048007495"/>
    <x v="1"/>
    <s v="Oct-2025"/>
    <x v="1"/>
    <x v="1"/>
    <x v="0"/>
    <n v="17756.012704800749"/>
    <n v="11047.725"/>
    <n v="6708.2877048007495"/>
    <n v="5.9202962711153023E-2"/>
    <n v="0"/>
    <s v="OK"/>
  </r>
  <r>
    <s v="LN-0267"/>
    <s v="CUST-1267"/>
    <x v="3"/>
    <n v="55500"/>
    <n v="0"/>
    <n v="0"/>
    <n v="55500"/>
    <n v="0.19600000000000001"/>
    <n v="18"/>
    <n v="1.6333333333333339E-2"/>
    <n v="3583.6945590894461"/>
    <n v="64506.502063610031"/>
    <n v="9006.5020636100307"/>
    <n v="555"/>
    <n v="5411.25"/>
    <x v="0"/>
    <n v="0"/>
    <n v="4150.2520636100307"/>
    <x v="0"/>
    <s v="Aug-2025"/>
    <x v="0"/>
    <x v="1"/>
    <x v="0"/>
    <n v="9561.5020636100307"/>
    <n v="5411.25"/>
    <n v="4150.2520636100307"/>
    <n v="7.4779316461441994E-2"/>
    <n v="0"/>
    <s v="OK"/>
  </r>
  <r>
    <s v="LN-0268"/>
    <s v="CUST-1268"/>
    <x v="3"/>
    <n v="53800"/>
    <n v="0.2"/>
    <n v="10760"/>
    <n v="43040"/>
    <n v="0.20150000000000001"/>
    <n v="24"/>
    <n v="1.679166666666667E-2"/>
    <n v="2193.7105078970012"/>
    <n v="52649.052189528033"/>
    <n v="9609.0521895280253"/>
    <n v="499"/>
    <n v="5595.2"/>
    <x v="0"/>
    <n v="0"/>
    <n v="4512.8521895280264"/>
    <x v="2"/>
    <s v="Jun-2025"/>
    <x v="0"/>
    <x v="1"/>
    <x v="0"/>
    <n v="10108.052189528031"/>
    <n v="5595.2"/>
    <n v="4512.8521895280264"/>
    <n v="0.1048525136972125"/>
    <n v="0"/>
    <s v="OK"/>
  </r>
  <r>
    <s v="LN-0269"/>
    <s v="CUST-1269"/>
    <x v="2"/>
    <n v="820700"/>
    <n v="0.25"/>
    <n v="205175"/>
    <n v="615525"/>
    <n v="0.1111"/>
    <n v="72"/>
    <n v="9.2583333333333337E-3"/>
    <n v="11750.659959670469"/>
    <n v="846047.51709627348"/>
    <n v="230522.51709627351"/>
    <n v="6155.25"/>
    <n v="240054.75"/>
    <x v="2"/>
    <n v="0"/>
    <n v="-3376.9829037265149"/>
    <x v="1"/>
    <s v="Nov-2025"/>
    <x v="2"/>
    <x v="0"/>
    <x v="1"/>
    <n v="236677.76709627351"/>
    <n v="240054.75"/>
    <n v="-3376.9829037265149"/>
    <n v="-5.4863456459551038E-3"/>
    <n v="0"/>
    <s v="OK"/>
  </r>
  <r>
    <s v="LN-0270"/>
    <s v="CUST-1270"/>
    <x v="2"/>
    <n v="530500"/>
    <n v="0.3"/>
    <n v="159150"/>
    <n v="371350"/>
    <n v="0.1148"/>
    <n v="72"/>
    <n v="9.566666666666666E-3"/>
    <n v="7159.938230195462"/>
    <n v="515515.55257407331"/>
    <n v="144165.55257407331"/>
    <n v="3713.5"/>
    <n v="144826.5"/>
    <x v="2"/>
    <n v="0"/>
    <n v="3052.552574073256"/>
    <x v="1"/>
    <s v="Jan-2025"/>
    <x v="3"/>
    <x v="0"/>
    <x v="1"/>
    <n v="147879.05257407331"/>
    <n v="144826.5"/>
    <n v="3052.552574073256"/>
    <n v="8.2201496541625292E-3"/>
    <n v="0"/>
    <s v="OK"/>
  </r>
  <r>
    <s v="LN-0271"/>
    <s v="CUST-1271"/>
    <x v="0"/>
    <n v="294800"/>
    <n v="0.2"/>
    <n v="58960"/>
    <n v="235840"/>
    <n v="0.13700000000000001"/>
    <n v="60"/>
    <n v="1.141666666666667E-2"/>
    <n v="5450.9728644170182"/>
    <n v="327058.37186502112"/>
    <n v="91218.371865021065"/>
    <n v="2358.4"/>
    <n v="76648"/>
    <x v="0"/>
    <n v="0"/>
    <n v="16928.771865021059"/>
    <x v="1"/>
    <s v="Apr-2025"/>
    <x v="1"/>
    <x v="0"/>
    <x v="1"/>
    <n v="93576.771865021059"/>
    <n v="76648"/>
    <n v="16928.771865021059"/>
    <n v="7.178074908845429E-2"/>
    <n v="0"/>
    <s v="OK"/>
  </r>
  <r>
    <s v="LN-0272"/>
    <s v="CUST-1272"/>
    <x v="1"/>
    <n v="44400"/>
    <n v="0"/>
    <n v="0"/>
    <n v="44400"/>
    <n v="0.1351"/>
    <n v="36"/>
    <n v="1.125833333333333E-2"/>
    <n v="1506.94151963124"/>
    <n v="54249.894706724634"/>
    <n v="9849.8947067246336"/>
    <n v="499"/>
    <n v="8658"/>
    <x v="1"/>
    <n v="17760"/>
    <n v="-16069.10529327537"/>
    <x v="2"/>
    <s v="Oct-2025"/>
    <x v="0"/>
    <x v="0"/>
    <x v="0"/>
    <n v="10348.89470672463"/>
    <n v="26418"/>
    <n v="-16069.10529327537"/>
    <n v="-0.36191678588458032"/>
    <n v="0.4"/>
    <s v="OK"/>
  </r>
  <r>
    <s v="LN-0273"/>
    <s v="CUST-1273"/>
    <x v="0"/>
    <n v="272100"/>
    <n v="0.05"/>
    <n v="13605"/>
    <n v="258495"/>
    <n v="0.1013"/>
    <n v="24"/>
    <n v="8.4416666666666668E-3"/>
    <n v="11943.748741556499"/>
    <n v="286649.96979735588"/>
    <n v="28154.969797355941"/>
    <n v="2584.9499999999998"/>
    <n v="33604.35"/>
    <x v="2"/>
    <n v="0"/>
    <n v="-2864.43020264406"/>
    <x v="0"/>
    <s v="Aug-2025"/>
    <x v="3"/>
    <x v="0"/>
    <x v="0"/>
    <n v="30739.919797355938"/>
    <n v="33604.35"/>
    <n v="-2864.43020264406"/>
    <n v="-1.108118223812476E-2"/>
    <n v="0"/>
    <s v="OK"/>
  </r>
  <r>
    <s v="LN-0274"/>
    <s v="CUST-1274"/>
    <x v="0"/>
    <n v="228800"/>
    <n v="0.2"/>
    <n v="45760"/>
    <n v="183040"/>
    <n v="0.10390000000000001"/>
    <n v="12"/>
    <n v="8.6583333333333339E-3"/>
    <n v="16125.343752589741"/>
    <n v="193504.1250310769"/>
    <n v="10464.125031076899"/>
    <n v="1830.4"/>
    <n v="11897.6"/>
    <x v="0"/>
    <n v="0"/>
    <n v="396.92503107689481"/>
    <x v="1"/>
    <s v="Jan-2025"/>
    <x v="1"/>
    <x v="0"/>
    <x v="2"/>
    <n v="12294.525031076901"/>
    <n v="11897.6"/>
    <n v="396.92503107689481"/>
    <n v="2.168515248453315E-3"/>
    <n v="0"/>
    <s v="OK"/>
  </r>
  <r>
    <s v="LN-0275"/>
    <s v="CUST-1275"/>
    <x v="3"/>
    <n v="119300"/>
    <n v="0.15"/>
    <n v="17895"/>
    <n v="101405"/>
    <n v="0.15870000000000001"/>
    <n v="24"/>
    <n v="1.3225000000000001E-2"/>
    <n v="4958.8077376457804"/>
    <n v="119011.3857034987"/>
    <n v="17606.385703498701"/>
    <n v="1014.05"/>
    <n v="13182.65"/>
    <x v="2"/>
    <n v="0"/>
    <n v="5437.785703498701"/>
    <x v="3"/>
    <s v="Apr-2025"/>
    <x v="1"/>
    <x v="1"/>
    <x v="0"/>
    <n v="18620.435703498701"/>
    <n v="13182.65"/>
    <n v="5437.785703498701"/>
    <n v="5.3624433740926992E-2"/>
    <n v="0"/>
    <s v="OK"/>
  </r>
  <r>
    <s v="LN-0276"/>
    <s v="CUST-1276"/>
    <x v="3"/>
    <n v="24000"/>
    <n v="0.1"/>
    <n v="2400"/>
    <n v="21600"/>
    <n v="0.1928"/>
    <n v="6"/>
    <n v="1.606666666666667E-2"/>
    <n v="3805.1284820293749"/>
    <n v="22830.77089217625"/>
    <n v="1230.770892176253"/>
    <n v="499"/>
    <n v="702"/>
    <x v="2"/>
    <n v="0"/>
    <n v="1027.770892176253"/>
    <x v="0"/>
    <s v="Sep-2025"/>
    <x v="0"/>
    <x v="1"/>
    <x v="2"/>
    <n v="1729.770892176253"/>
    <n v="702"/>
    <n v="1027.770892176253"/>
    <n v="4.7581985748900622E-2"/>
    <n v="0"/>
    <s v="OK"/>
  </r>
  <r>
    <s v="LN-0277"/>
    <s v="CUST-1277"/>
    <x v="2"/>
    <n v="1367700"/>
    <n v="0.3"/>
    <n v="410310"/>
    <n v="957390"/>
    <n v="0.1123"/>
    <n v="72"/>
    <n v="9.3583333333333331E-3"/>
    <n v="18336.020014043272"/>
    <n v="1320193.441011115"/>
    <n v="362803.44101111538"/>
    <n v="9573.9"/>
    <n v="373382.1"/>
    <x v="0"/>
    <n v="0"/>
    <n v="-1004.75898888451"/>
    <x v="3"/>
    <s v="Nov-2025"/>
    <x v="2"/>
    <x v="0"/>
    <x v="1"/>
    <n v="372377.34101111552"/>
    <n v="373382.1"/>
    <n v="-1004.75898888451"/>
    <n v="-1.0494772129273451E-3"/>
    <n v="0"/>
    <s v="OK"/>
  </r>
  <r>
    <s v="LN-0278"/>
    <s v="CUST-1278"/>
    <x v="0"/>
    <n v="248600"/>
    <n v="0.2"/>
    <n v="49720"/>
    <n v="198880"/>
    <n v="0.1255"/>
    <n v="48"/>
    <n v="1.045833333333333E-2"/>
    <n v="5291.140476592378"/>
    <n v="253974.74287643409"/>
    <n v="55094.742876434153"/>
    <n v="1988.8"/>
    <n v="51708.800000000003"/>
    <x v="2"/>
    <n v="0"/>
    <n v="5374.7428764341457"/>
    <x v="2"/>
    <s v="Mar-2025"/>
    <x v="1"/>
    <x v="0"/>
    <x v="1"/>
    <n v="57083.542876434149"/>
    <n v="51708.800000000003"/>
    <n v="5374.7428764341457"/>
    <n v="2.702505468842591E-2"/>
    <n v="0"/>
    <s v="OK"/>
  </r>
  <r>
    <s v="LN-0279"/>
    <s v="CUST-1279"/>
    <x v="0"/>
    <n v="173600"/>
    <n v="0.1"/>
    <n v="17360"/>
    <n v="156240"/>
    <n v="0.16789999999999999"/>
    <n v="36"/>
    <n v="1.399166666666667E-2"/>
    <n v="5554.0666296885338"/>
    <n v="199946.39866878721"/>
    <n v="43706.398668787209"/>
    <n v="1562.4"/>
    <n v="30466.799999999999"/>
    <x v="0"/>
    <n v="0"/>
    <n v="14801.99866878721"/>
    <x v="0"/>
    <s v="Sep-2025"/>
    <x v="1"/>
    <x v="1"/>
    <x v="0"/>
    <n v="45268.798668787211"/>
    <n v="30466.799999999999"/>
    <n v="14801.99866878721"/>
    <n v="9.4738854766943215E-2"/>
    <n v="0"/>
    <s v="OK"/>
  </r>
  <r>
    <s v="LN-0280"/>
    <s v="CUST-1280"/>
    <x v="1"/>
    <n v="77100"/>
    <n v="0.05"/>
    <n v="3855"/>
    <n v="73245"/>
    <n v="0.16239999999999999"/>
    <n v="18"/>
    <n v="1.353333333333333E-2"/>
    <n v="4612.2321048630238"/>
    <n v="83020.177887534432"/>
    <n v="9775.1778875344316"/>
    <n v="732.45"/>
    <n v="7141.3875000000007"/>
    <x v="2"/>
    <n v="0"/>
    <n v="3366.2403875344321"/>
    <x v="3"/>
    <s v="Nov-2025"/>
    <x v="0"/>
    <x v="1"/>
    <x v="0"/>
    <n v="10507.627887534431"/>
    <n v="7141.3875000000007"/>
    <n v="3366.2403875344321"/>
    <n v="4.5958637279465239E-2"/>
    <n v="0"/>
    <s v="OK"/>
  </r>
  <r>
    <s v="LN-0281"/>
    <s v="CUST-1281"/>
    <x v="3"/>
    <n v="58400"/>
    <n v="0.2"/>
    <n v="11680"/>
    <n v="46720"/>
    <n v="0.16969999999999999"/>
    <n v="18"/>
    <n v="1.414166666666667E-2"/>
    <n v="2958.1167761772349"/>
    <n v="53246.101971190234"/>
    <n v="6526.1019711902263"/>
    <n v="499"/>
    <n v="4555.2000000000007"/>
    <x v="0"/>
    <n v="0"/>
    <n v="2469.901971190226"/>
    <x v="0"/>
    <s v="May-2025"/>
    <x v="0"/>
    <x v="1"/>
    <x v="0"/>
    <n v="7025.1019711902263"/>
    <n v="4555.2000000000007"/>
    <n v="2469.901971190226"/>
    <n v="5.2866052465544211E-2"/>
    <n v="0"/>
    <s v="OK"/>
  </r>
  <r>
    <s v="LN-0282"/>
    <s v="CUST-1282"/>
    <x v="1"/>
    <n v="100600"/>
    <n v="0.05"/>
    <n v="5030"/>
    <n v="95570"/>
    <n v="0.1232"/>
    <n v="6"/>
    <n v="1.026666666666667E-2"/>
    <n v="16505.563006256922"/>
    <n v="99033.378037541523"/>
    <n v="3463.3780375415231"/>
    <n v="955.7"/>
    <n v="3106.0250000000001"/>
    <x v="0"/>
    <n v="0"/>
    <n v="1313.0530375415219"/>
    <x v="1"/>
    <s v="Aug-2025"/>
    <x v="0"/>
    <x v="0"/>
    <x v="2"/>
    <n v="4419.0780375415216"/>
    <n v="3106.0250000000001"/>
    <n v="1313.0530375415219"/>
    <n v="1.3739175866291959E-2"/>
    <n v="0"/>
    <s v="OK"/>
  </r>
  <r>
    <s v="LN-0283"/>
    <s v="CUST-1283"/>
    <x v="3"/>
    <n v="109600"/>
    <n v="0"/>
    <n v="0"/>
    <n v="109600"/>
    <n v="0.1643"/>
    <n v="3"/>
    <n v="1.369166666666667E-2"/>
    <n v="37538.272398888483"/>
    <n v="112614.8171966654"/>
    <n v="3014.817196665419"/>
    <n v="1096"/>
    <n v="1781"/>
    <x v="0"/>
    <n v="0"/>
    <n v="2329.817196665419"/>
    <x v="0"/>
    <s v="Dec-2025"/>
    <x v="1"/>
    <x v="1"/>
    <x v="2"/>
    <n v="4110.817196665419"/>
    <n v="1781"/>
    <n v="2329.817196665419"/>
    <n v="2.125745617395455E-2"/>
    <n v="0"/>
    <s v="OK"/>
  </r>
  <r>
    <s v="LN-0284"/>
    <s v="CUST-1284"/>
    <x v="2"/>
    <n v="926800"/>
    <n v="0.15"/>
    <n v="139020"/>
    <n v="787780"/>
    <n v="9.2299999999999993E-2"/>
    <n v="84"/>
    <n v="7.6916666666666661E-3"/>
    <n v="12766.80014049604"/>
    <n v="1072411.211801667"/>
    <n v="284631.21180166717"/>
    <n v="7877.8"/>
    <n v="358439.9"/>
    <x v="0"/>
    <n v="0"/>
    <n v="-65930.888198332803"/>
    <x v="1"/>
    <s v="Sep-2025"/>
    <x v="2"/>
    <x v="2"/>
    <x v="1"/>
    <n v="292509.01180166722"/>
    <n v="358439.9"/>
    <n v="-65930.888198332803"/>
    <n v="-8.369200563397497E-2"/>
    <n v="0"/>
    <s v="OK"/>
  </r>
  <r>
    <s v="LN-0285"/>
    <s v="CUST-1285"/>
    <x v="1"/>
    <n v="60400"/>
    <n v="0.1"/>
    <n v="6040"/>
    <n v="54360"/>
    <n v="0.1573"/>
    <n v="36"/>
    <n v="1.3108333333333329E-2"/>
    <n v="1903.898058680049"/>
    <n v="68540.330112481781"/>
    <n v="14180.330112481781"/>
    <n v="543.6"/>
    <n v="10600.2"/>
    <x v="2"/>
    <n v="0"/>
    <n v="4123.7301124817805"/>
    <x v="3"/>
    <s v="Sep-2025"/>
    <x v="0"/>
    <x v="1"/>
    <x v="0"/>
    <n v="14723.930112481779"/>
    <n v="10600.2"/>
    <n v="4123.7301124817805"/>
    <n v="7.5859641509966533E-2"/>
    <n v="0"/>
    <s v="OK"/>
  </r>
  <r>
    <s v="LN-0286"/>
    <s v="CUST-1286"/>
    <x v="2"/>
    <n v="912600"/>
    <n v="0.2"/>
    <n v="182520"/>
    <n v="730080"/>
    <n v="0.1091"/>
    <n v="72"/>
    <n v="9.0916666666666663E-3"/>
    <n v="13862.769166027971"/>
    <n v="998119.37995401397"/>
    <n v="268039.37995401397"/>
    <n v="7300.8"/>
    <n v="284731.2"/>
    <x v="0"/>
    <n v="0"/>
    <n v="-9391.0200459860498"/>
    <x v="3"/>
    <s v="Jun-2025"/>
    <x v="2"/>
    <x v="0"/>
    <x v="1"/>
    <n v="275340.17995401402"/>
    <n v="284731.2"/>
    <n v="-9391.0200459860498"/>
    <n v="-1.2863001377912081E-2"/>
    <n v="0"/>
    <s v="OK"/>
  </r>
  <r>
    <s v="LN-0287"/>
    <s v="CUST-1287"/>
    <x v="1"/>
    <n v="95300"/>
    <n v="0"/>
    <n v="0"/>
    <n v="95300"/>
    <n v="0.13769999999999999"/>
    <n v="9"/>
    <n v="1.1475000000000001E-2"/>
    <n v="11205.667141297379"/>
    <n v="100851.0042716764"/>
    <n v="5551.0042716764146"/>
    <n v="953"/>
    <n v="4645.875"/>
    <x v="2"/>
    <n v="0"/>
    <n v="1858.1292716764151"/>
    <x v="2"/>
    <s v="May-2025"/>
    <x v="0"/>
    <x v="0"/>
    <x v="2"/>
    <n v="6504.0042716764146"/>
    <n v="4645.875"/>
    <n v="1858.1292716764151"/>
    <n v="1.949768385809459E-2"/>
    <n v="0"/>
    <s v="OK"/>
  </r>
  <r>
    <s v="LN-0288"/>
    <s v="CUST-1288"/>
    <x v="3"/>
    <n v="44900"/>
    <n v="0.1"/>
    <n v="4490"/>
    <n v="40410"/>
    <n v="0.1704"/>
    <n v="6"/>
    <n v="1.4200000000000001E-2"/>
    <n v="7073.6621241962184"/>
    <n v="42441.972745177307"/>
    <n v="2031.9727451773069"/>
    <n v="499"/>
    <n v="1313.325"/>
    <x v="0"/>
    <n v="0"/>
    <n v="1217.6477451773069"/>
    <x v="3"/>
    <s v="May-2025"/>
    <x v="0"/>
    <x v="1"/>
    <x v="2"/>
    <n v="2530.9727451773069"/>
    <n v="1313.325"/>
    <n v="1217.6477451773069"/>
    <n v="3.0132337173405271E-2"/>
    <n v="0"/>
    <s v="OK"/>
  </r>
  <r>
    <s v="LN-0289"/>
    <s v="CUST-1289"/>
    <x v="0"/>
    <n v="177300"/>
    <n v="0.2"/>
    <n v="35460"/>
    <n v="141840"/>
    <n v="0.15790000000000001"/>
    <n v="48"/>
    <n v="1.3158333333333329E-2"/>
    <n v="4004.5466134557319"/>
    <n v="192218.23744587519"/>
    <n v="50378.237445875158"/>
    <n v="1418.4"/>
    <n v="36878.400000000001"/>
    <x v="2"/>
    <n v="0"/>
    <n v="14918.23744587516"/>
    <x v="3"/>
    <s v="Mar-2025"/>
    <x v="1"/>
    <x v="1"/>
    <x v="1"/>
    <n v="51796.63744587516"/>
    <n v="36878.400000000001"/>
    <n v="14918.23744587516"/>
    <n v="0.10517651893595011"/>
    <n v="0"/>
    <s v="OK"/>
  </r>
  <r>
    <s v="LN-0290"/>
    <s v="CUST-1290"/>
    <x v="3"/>
    <n v="69200"/>
    <n v="0.2"/>
    <n v="13840"/>
    <n v="55360"/>
    <n v="0.1547"/>
    <n v="18"/>
    <n v="1.2891666666666669E-2"/>
    <n v="3465.879588157457"/>
    <n v="62385.832586834207"/>
    <n v="7025.8325868342145"/>
    <n v="553.6"/>
    <n v="5397.6"/>
    <x v="0"/>
    <n v="0"/>
    <n v="2181.832586834214"/>
    <x v="0"/>
    <s v="Feb-2025"/>
    <x v="0"/>
    <x v="1"/>
    <x v="0"/>
    <n v="7579.4325868342148"/>
    <n v="5397.6"/>
    <n v="2181.832586834214"/>
    <n v="3.9411715802641148E-2"/>
    <n v="0"/>
    <s v="OK"/>
  </r>
  <r>
    <s v="LN-0291"/>
    <s v="CUST-1291"/>
    <x v="2"/>
    <n v="1135000"/>
    <n v="0.15"/>
    <n v="170250"/>
    <n v="964750"/>
    <n v="0.1079"/>
    <n v="72"/>
    <n v="8.9916666666666669E-3"/>
    <n v="18259.527052071269"/>
    <n v="1314685.9477491321"/>
    <n v="349935.94774913159"/>
    <n v="9647.5"/>
    <n v="376252.5"/>
    <x v="0"/>
    <n v="0"/>
    <n v="-16669.052250868412"/>
    <x v="1"/>
    <s v="Feb-2025"/>
    <x v="2"/>
    <x v="0"/>
    <x v="1"/>
    <n v="359583.44774913159"/>
    <n v="376252.5"/>
    <n v="-16669.052250868412"/>
    <n v="-1.7278105468637891E-2"/>
    <n v="0"/>
    <s v="OK"/>
  </r>
  <r>
    <s v="LN-0292"/>
    <s v="CUST-1292"/>
    <x v="0"/>
    <n v="62200"/>
    <n v="0.05"/>
    <n v="3110"/>
    <n v="59090"/>
    <n v="0.14050000000000001"/>
    <n v="36"/>
    <n v="1.1708333333333329E-2"/>
    <n v="2020.9914126563881"/>
    <n v="72755.690855629975"/>
    <n v="13665.69085562997"/>
    <n v="590.9"/>
    <n v="11522.55"/>
    <x v="0"/>
    <n v="0"/>
    <n v="2734.0408556299749"/>
    <x v="2"/>
    <s v="Nov-2025"/>
    <x v="0"/>
    <x v="0"/>
    <x v="0"/>
    <n v="14256.590855629969"/>
    <n v="11522.55"/>
    <n v="2734.0408556299749"/>
    <n v="4.6269095542900242E-2"/>
    <n v="0"/>
    <s v="OK"/>
  </r>
  <r>
    <s v="LN-0293"/>
    <s v="CUST-1293"/>
    <x v="1"/>
    <n v="25800"/>
    <n v="0"/>
    <n v="0"/>
    <n v="25800"/>
    <n v="0.1641"/>
    <n v="6"/>
    <n v="1.3675E-2"/>
    <n v="4508.1379555499889"/>
    <n v="27048.827733299939"/>
    <n v="1248.8277332999351"/>
    <n v="499"/>
    <n v="838.5"/>
    <x v="0"/>
    <n v="0"/>
    <n v="909.32773329993506"/>
    <x v="3"/>
    <s v="Sep-2025"/>
    <x v="0"/>
    <x v="1"/>
    <x v="2"/>
    <n v="1747.8277332999351"/>
    <n v="838.5"/>
    <n v="909.32773329993506"/>
    <n v="3.5245260980617643E-2"/>
    <n v="0"/>
    <s v="OK"/>
  </r>
  <r>
    <s v="LN-0294"/>
    <s v="CUST-1294"/>
    <x v="2"/>
    <n v="418900"/>
    <n v="0.15"/>
    <n v="62835"/>
    <n v="356065"/>
    <n v="0.1094"/>
    <n v="72"/>
    <n v="9.116666666666667E-3"/>
    <n v="6766.4320281546879"/>
    <n v="487183.10602713749"/>
    <n v="131118.10602713749"/>
    <n v="3560.65"/>
    <n v="138865.35"/>
    <x v="2"/>
    <n v="0"/>
    <n v="-4186.5939728624653"/>
    <x v="0"/>
    <s v="Sep-2025"/>
    <x v="3"/>
    <x v="0"/>
    <x v="1"/>
    <n v="134678.75602713751"/>
    <n v="138865.35"/>
    <n v="-4186.5939728624653"/>
    <n v="-1.1757948612928721E-2"/>
    <n v="0"/>
    <s v="OK"/>
  </r>
  <r>
    <s v="LN-0295"/>
    <s v="CUST-1295"/>
    <x v="3"/>
    <n v="29500"/>
    <n v="0.05"/>
    <n v="1475"/>
    <n v="28025"/>
    <n v="0.18210000000000001"/>
    <n v="9"/>
    <n v="1.5174999999999999E-2"/>
    <n v="3354.898284451539"/>
    <n v="30194.084560063849"/>
    <n v="2169.0845600638459"/>
    <n v="499"/>
    <n v="1366.21875"/>
    <x v="0"/>
    <n v="0"/>
    <n v="1301.8658100638461"/>
    <x v="0"/>
    <s v="Jun-2025"/>
    <x v="0"/>
    <x v="1"/>
    <x v="2"/>
    <n v="2668.0845600638459"/>
    <n v="1366.21875"/>
    <n v="1301.8658100638461"/>
    <n v="4.6453730956783082E-2"/>
    <n v="0"/>
    <s v="OK"/>
  </r>
  <r>
    <s v="LN-0296"/>
    <s v="CUST-1296"/>
    <x v="2"/>
    <n v="904900"/>
    <n v="0.2"/>
    <n v="180980"/>
    <n v="723920"/>
    <n v="9.2299999999999993E-2"/>
    <n v="48"/>
    <n v="7.6916666666666661E-3"/>
    <n v="18093.94430508916"/>
    <n v="868509.32664427976"/>
    <n v="144589.32664427979"/>
    <n v="7239.2"/>
    <n v="188219.2"/>
    <x v="0"/>
    <n v="0"/>
    <n v="-36390.673355720239"/>
    <x v="0"/>
    <s v="Nov-2025"/>
    <x v="2"/>
    <x v="2"/>
    <x v="1"/>
    <n v="151828.5266442798"/>
    <n v="188219.2"/>
    <n v="-36390.673355720239"/>
    <n v="-5.0268915564869378E-2"/>
    <n v="0"/>
    <s v="OK"/>
  </r>
  <r>
    <s v="LN-0297"/>
    <s v="CUST-1297"/>
    <x v="2"/>
    <n v="1114900"/>
    <n v="0.25"/>
    <n v="278725"/>
    <n v="836175"/>
    <n v="8.5999999999999993E-2"/>
    <n v="72"/>
    <n v="7.1666666666666658E-3"/>
    <n v="14907.03914865307"/>
    <n v="1073306.8187030209"/>
    <n v="237131.81870302089"/>
    <n v="8361.75"/>
    <n v="326108.25"/>
    <x v="0"/>
    <n v="0"/>
    <n v="-80614.681296979077"/>
    <x v="2"/>
    <s v="Jan-2025"/>
    <x v="2"/>
    <x v="2"/>
    <x v="1"/>
    <n v="245493.56870302089"/>
    <n v="326108.25"/>
    <n v="-80614.681296979077"/>
    <n v="-9.6408863332411374E-2"/>
    <n v="0"/>
    <s v="OK"/>
  </r>
  <r>
    <s v="LN-0298"/>
    <s v="CUST-1298"/>
    <x v="0"/>
    <n v="228700"/>
    <n v="0.15"/>
    <n v="34305"/>
    <n v="194395"/>
    <n v="0.1066"/>
    <n v="48"/>
    <n v="8.8833333333333334E-3"/>
    <n v="4992.2033913841788"/>
    <n v="239625.76278644061"/>
    <n v="45230.76278644058"/>
    <n v="1943.95"/>
    <n v="50542.7"/>
    <x v="0"/>
    <n v="0"/>
    <n v="-3367.9872135594269"/>
    <x v="0"/>
    <s v="Sep-2025"/>
    <x v="1"/>
    <x v="0"/>
    <x v="1"/>
    <n v="47174.712786440577"/>
    <n v="50542.7"/>
    <n v="-3367.9872135594269"/>
    <n v="-1.7325482721054691E-2"/>
    <n v="0"/>
    <s v="OK"/>
  </r>
  <r>
    <s v="LN-0299"/>
    <s v="CUST-1299"/>
    <x v="2"/>
    <n v="652700"/>
    <n v="0.25"/>
    <n v="163175"/>
    <n v="489525"/>
    <n v="0.112"/>
    <n v="84"/>
    <n v="9.3333333333333341E-3"/>
    <n v="8433.4268524363015"/>
    <n v="708407.85560464929"/>
    <n v="218882.85560464929"/>
    <n v="4895.25"/>
    <n v="222733.875"/>
    <x v="2"/>
    <n v="0"/>
    <n v="1044.230604649289"/>
    <x v="0"/>
    <s v="Nov-2025"/>
    <x v="3"/>
    <x v="0"/>
    <x v="1"/>
    <n v="223778.10560464929"/>
    <n v="222733.875"/>
    <n v="1044.230604649289"/>
    <n v="2.13315071681587E-3"/>
    <n v="0"/>
    <s v="OK"/>
  </r>
  <r>
    <s v="LN-0300"/>
    <s v="CUST-1300"/>
    <x v="2"/>
    <n v="1389200"/>
    <n v="0.15"/>
    <n v="208380"/>
    <n v="1180820"/>
    <n v="0.1019"/>
    <n v="36"/>
    <n v="8.4916666666666665E-3"/>
    <n v="38207.160592653221"/>
    <n v="1375457.7813355159"/>
    <n v="194637.7813355159"/>
    <n v="11808.2"/>
    <n v="230259.9"/>
    <x v="0"/>
    <n v="0"/>
    <n v="-23813.91866448411"/>
    <x v="3"/>
    <s v="Jan-2025"/>
    <x v="2"/>
    <x v="0"/>
    <x v="0"/>
    <n v="206445.98133551591"/>
    <n v="230259.9"/>
    <n v="-23813.91866448411"/>
    <n v="-2.0167272458532299E-2"/>
    <n v="0"/>
    <s v="OK"/>
  </r>
  <r>
    <s v="LN-0301"/>
    <s v="CUST-1301"/>
    <x v="2"/>
    <n v="1045700"/>
    <n v="0.1"/>
    <n v="104570"/>
    <n v="941130"/>
    <n v="0.1076"/>
    <n v="72"/>
    <n v="8.9666666666666662E-3"/>
    <n v="17798.06752907308"/>
    <n v="1281460.862093261"/>
    <n v="340330.86209326138"/>
    <n v="9411.3000000000011"/>
    <n v="367040.7"/>
    <x v="0"/>
    <n v="0"/>
    <n v="-17298.53790673858"/>
    <x v="1"/>
    <s v="Oct-2025"/>
    <x v="2"/>
    <x v="0"/>
    <x v="1"/>
    <n v="349742.16209326137"/>
    <n v="367040.7"/>
    <n v="-17298.53790673858"/>
    <n v="-1.838060406823561E-2"/>
    <n v="0"/>
    <s v="OK"/>
  </r>
  <r>
    <s v="LN-0302"/>
    <s v="CUST-1302"/>
    <x v="2"/>
    <n v="828100"/>
    <n v="0.25"/>
    <n v="207025"/>
    <n v="621075"/>
    <n v="0.1119"/>
    <n v="60"/>
    <n v="9.325E-3"/>
    <n v="13562.599650163491"/>
    <n v="813755.97900980909"/>
    <n v="192680.97900980909"/>
    <n v="6210.75"/>
    <n v="201849.375"/>
    <x v="0"/>
    <n v="0"/>
    <n v="-2957.6459901909111"/>
    <x v="1"/>
    <s v="Dec-2025"/>
    <x v="2"/>
    <x v="0"/>
    <x v="1"/>
    <n v="198891.72900980909"/>
    <n v="201849.375"/>
    <n v="-2957.6459901909111"/>
    <n v="-4.7621398223900678E-3"/>
    <n v="0"/>
    <s v="OK"/>
  </r>
  <r>
    <s v="LN-0303"/>
    <s v="CUST-1303"/>
    <x v="0"/>
    <n v="180200"/>
    <n v="0.05"/>
    <n v="9010"/>
    <n v="171190"/>
    <n v="0.1779"/>
    <n v="12"/>
    <n v="1.4825E-2"/>
    <n v="15677.594021140771"/>
    <n v="188131.1282536893"/>
    <n v="16941.128253689301"/>
    <n v="1711.9"/>
    <n v="11127.35"/>
    <x v="0"/>
    <n v="0"/>
    <n v="7525.6782536892988"/>
    <x v="0"/>
    <s v="Jun-2025"/>
    <x v="1"/>
    <x v="1"/>
    <x v="2"/>
    <n v="18653.028253689299"/>
    <n v="11127.35"/>
    <n v="7525.6782536892988"/>
    <n v="4.3960968828140073E-2"/>
    <n v="0"/>
    <s v="OK"/>
  </r>
  <r>
    <s v="LN-0304"/>
    <s v="CUST-1304"/>
    <x v="0"/>
    <n v="207300"/>
    <n v="0.05"/>
    <n v="10365"/>
    <n v="196935"/>
    <n v="0.14760000000000001"/>
    <n v="36"/>
    <n v="1.23E-2"/>
    <n v="6803.6936196199467"/>
    <n v="244932.97030631811"/>
    <n v="47997.970306318079"/>
    <n v="1969.35"/>
    <n v="38402.324999999997"/>
    <x v="0"/>
    <n v="0"/>
    <n v="11564.99530631808"/>
    <x v="2"/>
    <s v="Aug-2025"/>
    <x v="1"/>
    <x v="0"/>
    <x v="0"/>
    <n v="49967.320306318077"/>
    <n v="38402.324999999997"/>
    <n v="11564.99530631808"/>
    <n v="5.8724936178526317E-2"/>
    <n v="0"/>
    <s v="OK"/>
  </r>
  <r>
    <s v="LN-0305"/>
    <s v="CUST-1305"/>
    <x v="3"/>
    <n v="69900"/>
    <n v="0.2"/>
    <n v="13980"/>
    <n v="55920"/>
    <n v="0.17"/>
    <n v="6"/>
    <n v="1.4166666666666669E-2"/>
    <n v="9787.5332673826888"/>
    <n v="58725.199604296133"/>
    <n v="2805.1996042961332"/>
    <n v="559.20000000000005"/>
    <n v="1817.4"/>
    <x v="0"/>
    <n v="0"/>
    <n v="1546.999604296132"/>
    <x v="2"/>
    <s v="Feb-2025"/>
    <x v="0"/>
    <x v="1"/>
    <x v="2"/>
    <n v="3364.399604296133"/>
    <n v="1817.4"/>
    <n v="1546.999604296132"/>
    <n v="2.7664513667670469E-2"/>
    <n v="0"/>
    <s v="OK"/>
  </r>
  <r>
    <s v="LN-0306"/>
    <s v="CUST-1306"/>
    <x v="0"/>
    <n v="130900"/>
    <n v="0.05"/>
    <n v="6545"/>
    <n v="124355"/>
    <n v="0.1197"/>
    <n v="12"/>
    <n v="9.9749999999999995E-3"/>
    <n v="11047.045960648449"/>
    <n v="132564.55152778141"/>
    <n v="8209.5515277813829"/>
    <n v="1243.55"/>
    <n v="8083.0750000000007"/>
    <x v="2"/>
    <n v="0"/>
    <n v="1370.026527781381"/>
    <x v="2"/>
    <s v="Dec-2025"/>
    <x v="1"/>
    <x v="0"/>
    <x v="2"/>
    <n v="9453.1015277813822"/>
    <n v="8083.0750000000007"/>
    <n v="1370.026527781381"/>
    <n v="1.1017060253157339E-2"/>
    <n v="0"/>
    <s v="OK"/>
  </r>
  <r>
    <s v="LN-0307"/>
    <s v="CUST-1307"/>
    <x v="2"/>
    <n v="569700"/>
    <n v="0.1"/>
    <n v="56970"/>
    <n v="512730"/>
    <n v="9.6699999999999994E-2"/>
    <n v="60"/>
    <n v="8.0583333333333323E-3"/>
    <n v="10810.93036497482"/>
    <n v="648655.82189848914"/>
    <n v="135925.82189848911"/>
    <n v="5127.3"/>
    <n v="166637.25"/>
    <x v="2"/>
    <n v="0"/>
    <n v="-25584.128101510902"/>
    <x v="3"/>
    <s v="Aug-2025"/>
    <x v="2"/>
    <x v="2"/>
    <x v="1"/>
    <n v="141053.1218984891"/>
    <n v="166637.25"/>
    <n v="-25584.128101510902"/>
    <n v="-4.9897856769666099E-2"/>
    <n v="0"/>
    <s v="OK"/>
  </r>
  <r>
    <s v="LN-0308"/>
    <s v="CUST-1308"/>
    <x v="1"/>
    <n v="58700"/>
    <n v="0.15"/>
    <n v="8805"/>
    <n v="49895"/>
    <n v="0.13059999999999999"/>
    <n v="9"/>
    <n v="1.088333333333333E-2"/>
    <n v="5849.9222062466733"/>
    <n v="52649.299856220059"/>
    <n v="2754.2998562200592"/>
    <n v="499"/>
    <n v="2432.3812499999999"/>
    <x v="0"/>
    <n v="0"/>
    <n v="820.91860622005879"/>
    <x v="2"/>
    <s v="Feb-2025"/>
    <x v="0"/>
    <x v="0"/>
    <x v="2"/>
    <n v="3253.2998562200592"/>
    <n v="2432.3812499999999"/>
    <n v="820.91860622005879"/>
    <n v="1.645292326325401E-2"/>
    <n v="0"/>
    <s v="OK"/>
  </r>
  <r>
    <s v="LN-0309"/>
    <s v="CUST-1309"/>
    <x v="3"/>
    <n v="47600"/>
    <n v="0.05"/>
    <n v="2380"/>
    <n v="45220"/>
    <n v="0.1474"/>
    <n v="18"/>
    <n v="1.228333333333333E-2"/>
    <n v="2815.509912468875"/>
    <n v="50679.178424439757"/>
    <n v="5459.1784244397568"/>
    <n v="499"/>
    <n v="4408.9500000000007"/>
    <x v="0"/>
    <n v="0"/>
    <n v="1549.2284244397561"/>
    <x v="0"/>
    <s v="May-2025"/>
    <x v="0"/>
    <x v="0"/>
    <x v="0"/>
    <n v="5958.1784244397568"/>
    <n v="4408.9500000000007"/>
    <n v="1549.2284244397561"/>
    <n v="3.4259805936305968E-2"/>
    <n v="0"/>
    <s v="OK"/>
  </r>
  <r>
    <s v="LN-0310"/>
    <s v="CUST-1310"/>
    <x v="1"/>
    <n v="122400"/>
    <n v="0.05"/>
    <n v="6120"/>
    <n v="116280"/>
    <n v="0.17799999999999999"/>
    <n v="24"/>
    <n v="1.483333333333333E-2"/>
    <n v="5793.9440231711451"/>
    <n v="139054.65655610751"/>
    <n v="22774.656556107479"/>
    <n v="1162.8"/>
    <n v="15116.4"/>
    <x v="0"/>
    <n v="0"/>
    <n v="8821.0565561074818"/>
    <x v="1"/>
    <s v="Nov-2025"/>
    <x v="1"/>
    <x v="1"/>
    <x v="0"/>
    <n v="23937.456556107481"/>
    <n v="15116.4"/>
    <n v="8821.0565561074818"/>
    <n v="7.5860479498688349E-2"/>
    <n v="0"/>
    <s v="OK"/>
  </r>
  <r>
    <s v="LN-0311"/>
    <s v="CUST-1311"/>
    <x v="1"/>
    <n v="42400"/>
    <n v="0.05"/>
    <n v="2120"/>
    <n v="40280"/>
    <n v="0.14410000000000001"/>
    <n v="18"/>
    <n v="1.2008333333333329E-2"/>
    <n v="2501.6888865029332"/>
    <n v="45030.399957052789"/>
    <n v="4750.3999570527894"/>
    <n v="499"/>
    <n v="3927.3"/>
    <x v="2"/>
    <n v="0"/>
    <n v="1322.0999570527881"/>
    <x v="2"/>
    <s v="May-2025"/>
    <x v="0"/>
    <x v="0"/>
    <x v="0"/>
    <n v="5249.3999570527894"/>
    <n v="3927.3"/>
    <n v="1322.0999570527881"/>
    <n v="3.2822739748083127E-2"/>
    <n v="0"/>
    <s v="OK"/>
  </r>
  <r>
    <s v="LN-0312"/>
    <s v="CUST-1312"/>
    <x v="1"/>
    <n v="85500"/>
    <n v="0.05"/>
    <n v="4275"/>
    <n v="81225"/>
    <n v="0.12620000000000001"/>
    <n v="12"/>
    <n v="1.0516666666666671E-2"/>
    <n v="7240.32266049598"/>
    <n v="86883.871925951767"/>
    <n v="5658.8719259517666"/>
    <n v="812.25"/>
    <n v="5279.625"/>
    <x v="0"/>
    <n v="0"/>
    <n v="1191.496925951767"/>
    <x v="2"/>
    <s v="Oct-2025"/>
    <x v="0"/>
    <x v="0"/>
    <x v="2"/>
    <n v="6471.1219259517666"/>
    <n v="5279.625"/>
    <n v="1191.496925951767"/>
    <n v="1.466909111667304E-2"/>
    <n v="0"/>
    <s v="OK"/>
  </r>
  <r>
    <s v="LN-0313"/>
    <s v="CUST-1313"/>
    <x v="0"/>
    <n v="169900"/>
    <n v="0.2"/>
    <n v="33980"/>
    <n v="135920"/>
    <n v="0.1108"/>
    <n v="12"/>
    <n v="9.233333333333333E-3"/>
    <n v="12017.907619442491"/>
    <n v="144214.89143330991"/>
    <n v="8294.891433309851"/>
    <n v="1359.2"/>
    <n v="8834.8000000000011"/>
    <x v="2"/>
    <n v="0"/>
    <n v="819.29143330985062"/>
    <x v="2"/>
    <s v="Jun-2025"/>
    <x v="1"/>
    <x v="0"/>
    <x v="2"/>
    <n v="9654.0914333098517"/>
    <n v="8834.8000000000011"/>
    <n v="819.29143330985062"/>
    <n v="6.0277474493073179E-3"/>
    <n v="0"/>
    <s v="OK"/>
  </r>
  <r>
    <s v="LN-0314"/>
    <s v="CUST-1314"/>
    <x v="1"/>
    <n v="78800"/>
    <n v="0.2"/>
    <n v="15760"/>
    <n v="63040"/>
    <n v="0.18590000000000001"/>
    <n v="36"/>
    <n v="1.5491666666666669E-2"/>
    <n v="2297.748525826823"/>
    <n v="82718.946929765603"/>
    <n v="19678.9469297656"/>
    <n v="630.4"/>
    <n v="12292.8"/>
    <x v="2"/>
    <n v="0"/>
    <n v="8016.5469297656036"/>
    <x v="3"/>
    <s v="Oct-2025"/>
    <x v="0"/>
    <x v="1"/>
    <x v="0"/>
    <n v="20309.346929765601"/>
    <n v="12292.8"/>
    <n v="8016.5469297656036"/>
    <n v="0.1271660363224239"/>
    <n v="0"/>
    <s v="OK"/>
  </r>
  <r>
    <s v="LN-0315"/>
    <s v="CUST-1315"/>
    <x v="2"/>
    <n v="620900"/>
    <n v="0.2"/>
    <n v="124180"/>
    <n v="496720"/>
    <n v="9.4399999999999998E-2"/>
    <n v="72"/>
    <n v="7.8666666666666659E-3"/>
    <n v="9062.5009130103263"/>
    <n v="652500.06573674351"/>
    <n v="155780.06573674351"/>
    <n v="4967.2"/>
    <n v="193720.8"/>
    <x v="0"/>
    <n v="0"/>
    <n v="-32973.534263256501"/>
    <x v="2"/>
    <s v="Oct-2025"/>
    <x v="3"/>
    <x v="2"/>
    <x v="1"/>
    <n v="160747.26573674349"/>
    <n v="193720.8"/>
    <n v="-32973.534263256501"/>
    <n v="-6.6382537975633149E-2"/>
    <n v="0"/>
    <s v="OK"/>
  </r>
  <r>
    <s v="LN-0316"/>
    <s v="CUST-1316"/>
    <x v="2"/>
    <n v="758500"/>
    <n v="0.2"/>
    <n v="151700"/>
    <n v="606800"/>
    <n v="9.3399999999999997E-2"/>
    <n v="72"/>
    <n v="7.7833333333333331E-3"/>
    <n v="11040.570899152861"/>
    <n v="794921.10473900556"/>
    <n v="188121.10473900559"/>
    <n v="6068"/>
    <n v="236652"/>
    <x v="2"/>
    <n v="0"/>
    <n v="-42462.895260994439"/>
    <x v="1"/>
    <s v="Oct-2025"/>
    <x v="2"/>
    <x v="2"/>
    <x v="1"/>
    <n v="194189.10473900559"/>
    <n v="236652"/>
    <n v="-42462.895260994439"/>
    <n v="-6.9978403528336258E-2"/>
    <n v="0"/>
    <s v="OK"/>
  </r>
  <r>
    <s v="LN-0317"/>
    <s v="CUST-1317"/>
    <x v="2"/>
    <n v="597900"/>
    <n v="0.25"/>
    <n v="149475"/>
    <n v="448425"/>
    <n v="0.108"/>
    <n v="36"/>
    <n v="8.9999999999999993E-3"/>
    <n v="14638.42412878492"/>
    <n v="526983.26863625715"/>
    <n v="78558.268636257155"/>
    <n v="4484.25"/>
    <n v="87442.875"/>
    <x v="0"/>
    <n v="0"/>
    <n v="-4400.3563637428451"/>
    <x v="1"/>
    <s v="Aug-2025"/>
    <x v="3"/>
    <x v="0"/>
    <x v="0"/>
    <n v="83042.518636257155"/>
    <n v="87442.875"/>
    <n v="-4400.3563637428451"/>
    <n v="-9.8129148993540624E-3"/>
    <n v="0"/>
    <s v="OK"/>
  </r>
  <r>
    <s v="LN-0318"/>
    <s v="CUST-1318"/>
    <x v="2"/>
    <n v="1314400"/>
    <n v="0.25"/>
    <n v="328600"/>
    <n v="985800"/>
    <n v="8.7099999999999997E-2"/>
    <n v="72"/>
    <n v="7.2583333333333328E-3"/>
    <n v="17628.02085739774"/>
    <n v="1269217.5017326381"/>
    <n v="283417.50173263758"/>
    <n v="9858"/>
    <n v="384462"/>
    <x v="2"/>
    <n v="0"/>
    <n v="-91186.49826736236"/>
    <x v="3"/>
    <s v="Apr-2025"/>
    <x v="2"/>
    <x v="2"/>
    <x v="1"/>
    <n v="293275.50173263758"/>
    <n v="384462"/>
    <n v="-91186.49826736236"/>
    <n v="-9.2499998242404499E-2"/>
    <n v="0"/>
    <s v="OK"/>
  </r>
  <r>
    <s v="LN-0319"/>
    <s v="CUST-1319"/>
    <x v="3"/>
    <n v="25300"/>
    <n v="0"/>
    <n v="0"/>
    <n v="25300"/>
    <n v="0.1739"/>
    <n v="12"/>
    <n v="1.449166666666667E-2"/>
    <n v="2312.1653792408529"/>
    <n v="27745.98455089024"/>
    <n v="2445.9845508902399"/>
    <n v="499"/>
    <n v="1644.5"/>
    <x v="0"/>
    <n v="0"/>
    <n v="1300.4845508902399"/>
    <x v="2"/>
    <s v="Oct-2025"/>
    <x v="0"/>
    <x v="1"/>
    <x v="2"/>
    <n v="2944.9845508902399"/>
    <n v="1644.5"/>
    <n v="1300.4845508902399"/>
    <n v="5.1402551418586559E-2"/>
    <n v="0"/>
    <s v="OK"/>
  </r>
  <r>
    <s v="LN-0320"/>
    <s v="CUST-1320"/>
    <x v="1"/>
    <n v="88300"/>
    <n v="0.15"/>
    <n v="13245"/>
    <n v="75055"/>
    <n v="0.19359999999999999"/>
    <n v="36"/>
    <n v="1.6133333333333329E-2"/>
    <n v="2764.897856541897"/>
    <n v="99536.322835508312"/>
    <n v="24481.322835508308"/>
    <n v="750.55000000000007"/>
    <n v="14635.725"/>
    <x v="0"/>
    <n v="0"/>
    <n v="10596.147835508311"/>
    <x v="3"/>
    <s v="Dec-2025"/>
    <x v="0"/>
    <x v="1"/>
    <x v="0"/>
    <n v="25231.872835508311"/>
    <n v="14635.725"/>
    <n v="10596.147835508311"/>
    <n v="0.14117844028390261"/>
    <n v="0"/>
    <s v="OK"/>
  </r>
  <r>
    <s v="LN-0321"/>
    <s v="CUST-1321"/>
    <x v="2"/>
    <n v="990600"/>
    <n v="0.1"/>
    <n v="99060"/>
    <n v="891540"/>
    <n v="0.1041"/>
    <n v="36"/>
    <n v="8.6750000000000004E-3"/>
    <n v="28939.408233339109"/>
    <n v="1041818.696400208"/>
    <n v="150278.69640020779"/>
    <n v="8915.4"/>
    <n v="173850.3"/>
    <x v="0"/>
    <n v="0"/>
    <n v="-14656.203599792179"/>
    <x v="3"/>
    <s v="Mar-2025"/>
    <x v="2"/>
    <x v="0"/>
    <x v="0"/>
    <n v="159194.09640020781"/>
    <n v="173850.3"/>
    <n v="-14656.203599792179"/>
    <n v="-1.6439199138336111E-2"/>
    <n v="0"/>
    <s v="OK"/>
  </r>
  <r>
    <s v="LN-0322"/>
    <s v="CUST-1322"/>
    <x v="0"/>
    <n v="70600"/>
    <n v="0.15"/>
    <n v="10590"/>
    <n v="60010"/>
    <n v="0.1787"/>
    <n v="48"/>
    <n v="1.4891666666666669E-2"/>
    <n v="1758.7198234976081"/>
    <n v="84418.551527885196"/>
    <n v="24408.5515278852"/>
    <n v="600.1"/>
    <n v="15602.6"/>
    <x v="0"/>
    <n v="0"/>
    <n v="9406.0515278851944"/>
    <x v="2"/>
    <s v="Feb-2025"/>
    <x v="0"/>
    <x v="1"/>
    <x v="1"/>
    <n v="25008.651527885191"/>
    <n v="15602.6"/>
    <n v="9406.0515278851944"/>
    <n v="0.1567414018977703"/>
    <n v="0"/>
    <s v="OK"/>
  </r>
  <r>
    <s v="LN-0323"/>
    <s v="CUST-1323"/>
    <x v="3"/>
    <n v="37000"/>
    <n v="0.15"/>
    <n v="5550"/>
    <n v="31450"/>
    <n v="0.18090000000000001"/>
    <n v="18"/>
    <n v="1.5075E-2"/>
    <n v="2008.041380368747"/>
    <n v="36144.744846637448"/>
    <n v="4694.7448466374481"/>
    <n v="499"/>
    <n v="3066.375"/>
    <x v="0"/>
    <n v="0"/>
    <n v="2127.3698466374481"/>
    <x v="1"/>
    <s v="Aug-2025"/>
    <x v="0"/>
    <x v="1"/>
    <x v="0"/>
    <n v="5193.7448466374481"/>
    <n v="3066.375"/>
    <n v="2127.3698466374481"/>
    <n v="6.7642920401826651E-2"/>
    <n v="0"/>
    <s v="OK"/>
  </r>
  <r>
    <s v="LN-0324"/>
    <s v="CUST-1324"/>
    <x v="1"/>
    <n v="82900"/>
    <n v="0.2"/>
    <n v="16580"/>
    <n v="66320"/>
    <n v="0.1744"/>
    <n v="36"/>
    <n v="1.453333333333333E-2"/>
    <n v="2379.037201607433"/>
    <n v="85645.339257867585"/>
    <n v="19325.339257867581"/>
    <n v="663.2"/>
    <n v="12932.4"/>
    <x v="2"/>
    <n v="0"/>
    <n v="7056.1392578675841"/>
    <x v="0"/>
    <s v="Aug-2025"/>
    <x v="0"/>
    <x v="1"/>
    <x v="0"/>
    <n v="19988.539257867589"/>
    <n v="12932.4"/>
    <n v="7056.1392578675841"/>
    <n v="0.106395344660247"/>
    <n v="0"/>
    <s v="OK"/>
  </r>
  <r>
    <s v="LN-0325"/>
    <s v="CUST-1325"/>
    <x v="3"/>
    <n v="54600"/>
    <n v="0.2"/>
    <n v="10920"/>
    <n v="43680"/>
    <n v="0.21690000000000001"/>
    <n v="3"/>
    <n v="1.8075000000000001E-2"/>
    <n v="15089.48673533333"/>
    <n v="45268.460205999989"/>
    <n v="1588.4602059999891"/>
    <n v="499"/>
    <n v="709.80000000000007"/>
    <x v="2"/>
    <n v="0"/>
    <n v="1377.6602059999891"/>
    <x v="3"/>
    <s v="Jun-2025"/>
    <x v="0"/>
    <x v="1"/>
    <x v="2"/>
    <n v="2087.4602059999888"/>
    <n v="709.80000000000007"/>
    <n v="1377.6602059999891"/>
    <n v="3.1539839880952117E-2"/>
    <n v="0"/>
    <s v="OK"/>
  </r>
  <r>
    <s v="LN-0326"/>
    <s v="CUST-1326"/>
    <x v="1"/>
    <n v="50900"/>
    <n v="0"/>
    <n v="0"/>
    <n v="50900"/>
    <n v="0.15859999999999999"/>
    <n v="18"/>
    <n v="1.321666666666667E-2"/>
    <n v="3196.025104851919"/>
    <n v="57528.451887334537"/>
    <n v="6628.4518873345369"/>
    <n v="509"/>
    <n v="4962.75"/>
    <x v="0"/>
    <n v="0"/>
    <n v="2174.7018873345369"/>
    <x v="2"/>
    <s v="Jun-2025"/>
    <x v="0"/>
    <x v="1"/>
    <x v="0"/>
    <n v="7137.4518873345369"/>
    <n v="4962.75"/>
    <n v="2174.7018873345369"/>
    <n v="4.2724987963350433E-2"/>
    <n v="0"/>
    <s v="OK"/>
  </r>
  <r>
    <s v="LN-0327"/>
    <s v="CUST-1327"/>
    <x v="3"/>
    <n v="13000"/>
    <n v="0.05"/>
    <n v="650"/>
    <n v="12350"/>
    <n v="0.19689999999999999"/>
    <n v="3"/>
    <n v="1.640833333333333E-2"/>
    <n v="4252.4948116870592"/>
    <n v="12757.48443506118"/>
    <n v="407.48443506117837"/>
    <n v="499"/>
    <n v="200.6875"/>
    <x v="0"/>
    <n v="0"/>
    <n v="705.79693506117837"/>
    <x v="1"/>
    <s v="Dec-2025"/>
    <x v="0"/>
    <x v="1"/>
    <x v="2"/>
    <n v="906.48443506117837"/>
    <n v="200.6875"/>
    <n v="705.79693506117837"/>
    <n v="5.7149549397666262E-2"/>
    <n v="0"/>
    <s v="OK"/>
  </r>
  <r>
    <s v="LN-0328"/>
    <s v="CUST-1328"/>
    <x v="3"/>
    <n v="27500"/>
    <n v="0.1"/>
    <n v="2750"/>
    <n v="24750"/>
    <n v="0.15279999999999999"/>
    <n v="18"/>
    <n v="1.2733333333333329E-2"/>
    <n v="1547.2869050173681"/>
    <n v="27851.16429031263"/>
    <n v="3101.1642903126299"/>
    <n v="499"/>
    <n v="2413.125"/>
    <x v="0"/>
    <n v="0"/>
    <n v="1187.0392903126301"/>
    <x v="1"/>
    <s v="Jul-2025"/>
    <x v="0"/>
    <x v="1"/>
    <x v="0"/>
    <n v="3600.1642903126299"/>
    <n v="2413.125"/>
    <n v="1187.0392903126301"/>
    <n v="4.7961183446974961E-2"/>
    <n v="0"/>
    <s v="OK"/>
  </r>
  <r>
    <s v="LN-0329"/>
    <s v="CUST-1329"/>
    <x v="0"/>
    <n v="104700"/>
    <n v="0.05"/>
    <n v="5235"/>
    <n v="99465"/>
    <n v="0.15260000000000001"/>
    <n v="48"/>
    <n v="1.271666666666667E-2"/>
    <n v="2781.3121339129721"/>
    <n v="133502.9824278226"/>
    <n v="34037.98242782263"/>
    <n v="994.65"/>
    <n v="25860.9"/>
    <x v="0"/>
    <n v="0"/>
    <n v="9171.7324278226297"/>
    <x v="1"/>
    <s v="Aug-2025"/>
    <x v="0"/>
    <x v="1"/>
    <x v="1"/>
    <n v="35032.632427822631"/>
    <n v="25860.9"/>
    <n v="9171.7324278226297"/>
    <n v="9.221065126248057E-2"/>
    <n v="0"/>
    <s v="OK"/>
  </r>
  <r>
    <s v="LN-0330"/>
    <s v="CUST-1330"/>
    <x v="0"/>
    <n v="153300"/>
    <n v="0.15"/>
    <n v="22995"/>
    <n v="130305"/>
    <n v="0.15640000000000001"/>
    <n v="24"/>
    <n v="1.3033333333333331E-2"/>
    <n v="6357.7469149637845"/>
    <n v="152585.92595913089"/>
    <n v="22280.925959130869"/>
    <n v="1303.05"/>
    <n v="16939.650000000001"/>
    <x v="0"/>
    <n v="0"/>
    <n v="6644.3259591308633"/>
    <x v="0"/>
    <s v="Oct-2025"/>
    <x v="1"/>
    <x v="1"/>
    <x v="0"/>
    <n v="23583.975959130861"/>
    <n v="16939.650000000001"/>
    <n v="6644.3259591308633"/>
    <n v="5.0990567968465239E-2"/>
    <n v="0"/>
    <s v="OK"/>
  </r>
  <r>
    <s v="LN-0331"/>
    <s v="CUST-1331"/>
    <x v="3"/>
    <n v="105700"/>
    <n v="0"/>
    <n v="0"/>
    <n v="105700"/>
    <n v="0.155"/>
    <n v="9"/>
    <n v="1.291666666666667E-2"/>
    <n v="12515.91622432133"/>
    <n v="112643.24601889199"/>
    <n v="6943.2460188919786"/>
    <n v="1057"/>
    <n v="5152.875"/>
    <x v="0"/>
    <n v="0"/>
    <n v="2847.371018891979"/>
    <x v="3"/>
    <s v="Nov-2025"/>
    <x v="1"/>
    <x v="1"/>
    <x v="2"/>
    <n v="8000.2460188919786"/>
    <n v="5152.875"/>
    <n v="2847.371018891979"/>
    <n v="2.6938231020737741E-2"/>
    <n v="0"/>
    <s v="OK"/>
  </r>
  <r>
    <s v="LN-0332"/>
    <s v="CUST-1332"/>
    <x v="2"/>
    <n v="980500"/>
    <n v="0.25"/>
    <n v="245125"/>
    <n v="735375"/>
    <n v="0.1042"/>
    <n v="84"/>
    <n v="8.6833333333333328E-3"/>
    <n v="12368.273398817049"/>
    <n v="1038934.965500632"/>
    <n v="303559.96550063242"/>
    <n v="7353.75"/>
    <n v="334595.625"/>
    <x v="0"/>
    <n v="0"/>
    <n v="-23681.909499367579"/>
    <x v="0"/>
    <s v="Jun-2025"/>
    <x v="2"/>
    <x v="0"/>
    <x v="1"/>
    <n v="310913.71550063242"/>
    <n v="334595.625"/>
    <n v="-23681.909499367579"/>
    <n v="-3.2203854495145449E-2"/>
    <n v="0"/>
    <s v="OK"/>
  </r>
  <r>
    <s v="LN-0333"/>
    <s v="CUST-1333"/>
    <x v="1"/>
    <n v="82200"/>
    <n v="0.1"/>
    <n v="8220"/>
    <n v="73980"/>
    <n v="0.1338"/>
    <n v="36"/>
    <n v="1.115E-2"/>
    <n v="2506.2407997868781"/>
    <n v="90224.668792327604"/>
    <n v="16244.6687923276"/>
    <n v="739.80000000000007"/>
    <n v="14426.1"/>
    <x v="0"/>
    <n v="0"/>
    <n v="2558.3687923276052"/>
    <x v="0"/>
    <s v="Nov-2025"/>
    <x v="0"/>
    <x v="0"/>
    <x v="0"/>
    <n v="16984.4687923276"/>
    <n v="14426.1"/>
    <n v="2558.3687923276052"/>
    <n v="3.4581897706509927E-2"/>
    <n v="0"/>
    <s v="OK"/>
  </r>
  <r>
    <s v="LN-0334"/>
    <s v="CUST-1334"/>
    <x v="3"/>
    <n v="21200"/>
    <n v="0.05"/>
    <n v="1060"/>
    <n v="20140"/>
    <n v="0.16439999999999999"/>
    <n v="6"/>
    <n v="1.37E-2"/>
    <n v="3519.4436888876799"/>
    <n v="21116.662133326081"/>
    <n v="976.66213332608095"/>
    <n v="499"/>
    <n v="654.55000000000007"/>
    <x v="0"/>
    <n v="0"/>
    <n v="821.11213332608088"/>
    <x v="2"/>
    <s v="Jul-2025"/>
    <x v="0"/>
    <x v="1"/>
    <x v="2"/>
    <n v="1475.6621333260809"/>
    <n v="654.55000000000007"/>
    <n v="821.11213332608088"/>
    <n v="4.0770215160182761E-2"/>
    <n v="0"/>
    <s v="OK"/>
  </r>
  <r>
    <s v="LN-0335"/>
    <s v="CUST-1335"/>
    <x v="0"/>
    <n v="198000"/>
    <n v="0.25"/>
    <n v="49500"/>
    <n v="148500"/>
    <n v="0.1338"/>
    <n v="48"/>
    <n v="1.115E-2"/>
    <n v="4011.9477771414372"/>
    <n v="192573.49330278899"/>
    <n v="44073.493302788993"/>
    <n v="1485"/>
    <n v="38610"/>
    <x v="0"/>
    <n v="0"/>
    <n v="6948.4933027889929"/>
    <x v="1"/>
    <s v="Sep-2025"/>
    <x v="1"/>
    <x v="0"/>
    <x v="1"/>
    <n v="45558.493302788993"/>
    <n v="38610"/>
    <n v="6948.4933027889929"/>
    <n v="4.6791200692181768E-2"/>
    <n v="0"/>
    <s v="OK"/>
  </r>
  <r>
    <s v="LN-0336"/>
    <s v="CUST-1336"/>
    <x v="3"/>
    <n v="40300"/>
    <n v="0.15"/>
    <n v="6045"/>
    <n v="34255"/>
    <n v="0.155"/>
    <n v="12"/>
    <n v="1.291666666666667E-2"/>
    <n v="3099.8862332285571"/>
    <n v="37198.634798742678"/>
    <n v="2943.634798742678"/>
    <n v="499"/>
    <n v="2226.5749999999998"/>
    <x v="1"/>
    <n v="13702"/>
    <n v="-12485.940201257319"/>
    <x v="3"/>
    <s v="Jan-2025"/>
    <x v="0"/>
    <x v="1"/>
    <x v="2"/>
    <n v="3442.634798742678"/>
    <n v="15928.575000000001"/>
    <n v="-12485.940201257319"/>
    <n v="-0.36449978692912932"/>
    <n v="0.4"/>
    <s v="OK"/>
  </r>
  <r>
    <s v="LN-0337"/>
    <s v="CUST-1337"/>
    <x v="1"/>
    <n v="49400"/>
    <n v="0.2"/>
    <n v="9880"/>
    <n v="39520"/>
    <n v="0.1507"/>
    <n v="24"/>
    <n v="1.2558333333333329E-2"/>
    <n v="1917.5069493322401"/>
    <n v="46020.166783973757"/>
    <n v="6500.1667839737574"/>
    <n v="499"/>
    <n v="5137.6000000000004"/>
    <x v="0"/>
    <n v="0"/>
    <n v="1861.5667839737559"/>
    <x v="2"/>
    <s v="Nov-2025"/>
    <x v="0"/>
    <x v="1"/>
    <x v="0"/>
    <n v="6999.1667839737574"/>
    <n v="5137.6000000000004"/>
    <n v="1861.5667839737559"/>
    <n v="4.7104422671400713E-2"/>
    <n v="0"/>
    <s v="OK"/>
  </r>
  <r>
    <s v="LN-0338"/>
    <s v="CUST-1338"/>
    <x v="1"/>
    <n v="113800"/>
    <n v="0"/>
    <n v="0"/>
    <n v="113800"/>
    <n v="0.1555"/>
    <n v="9"/>
    <n v="1.295833333333333E-2"/>
    <n v="13477.759861054959"/>
    <n v="121299.83874949469"/>
    <n v="7499.8387494946664"/>
    <n v="1138"/>
    <n v="5547.75"/>
    <x v="0"/>
    <n v="0"/>
    <n v="3090.088749494666"/>
    <x v="1"/>
    <s v="May-2025"/>
    <x v="1"/>
    <x v="1"/>
    <x v="2"/>
    <n v="8637.8387494946655"/>
    <n v="5547.75"/>
    <n v="3090.088749494666"/>
    <n v="2.7153679696789682E-2"/>
    <n v="0"/>
    <s v="OK"/>
  </r>
  <r>
    <s v="LN-0339"/>
    <s v="CUST-1339"/>
    <x v="3"/>
    <n v="33200"/>
    <n v="0.15"/>
    <n v="4980"/>
    <n v="28220"/>
    <n v="0.16309999999999999"/>
    <n v="12"/>
    <n v="1.359166666666667E-2"/>
    <n v="2564.566462380094"/>
    <n v="30774.79754856112"/>
    <n v="2554.7975485611241"/>
    <n v="499"/>
    <n v="1834.3"/>
    <x v="0"/>
    <n v="0"/>
    <n v="1219.4975485611239"/>
    <x v="2"/>
    <s v="Sep-2025"/>
    <x v="0"/>
    <x v="1"/>
    <x v="2"/>
    <n v="3053.7975485611241"/>
    <n v="1834.3"/>
    <n v="1219.4975485611239"/>
    <n v="4.3213945732144723E-2"/>
    <n v="0"/>
    <s v="OK"/>
  </r>
  <r>
    <s v="LN-0340"/>
    <s v="CUST-1340"/>
    <x v="1"/>
    <n v="96600"/>
    <n v="0.1"/>
    <n v="9660"/>
    <n v="86940"/>
    <n v="0.1414"/>
    <n v="24"/>
    <n v="1.178333333333333E-2"/>
    <n v="4179.9924066197609"/>
    <n v="100319.8177588743"/>
    <n v="13379.817758874269"/>
    <n v="869.4"/>
    <n v="11302.2"/>
    <x v="0"/>
    <n v="0"/>
    <n v="2947.0177588742681"/>
    <x v="0"/>
    <s v="Dec-2025"/>
    <x v="0"/>
    <x v="0"/>
    <x v="0"/>
    <n v="14249.217758874271"/>
    <n v="11302.2"/>
    <n v="2947.0177588742681"/>
    <n v="3.3897144684544148E-2"/>
    <n v="0"/>
    <s v="OK"/>
  </r>
  <r>
    <s v="LN-0341"/>
    <s v="CUST-1341"/>
    <x v="1"/>
    <n v="52300"/>
    <n v="0.05"/>
    <n v="2615"/>
    <n v="49685"/>
    <n v="0.154"/>
    <n v="36"/>
    <n v="1.283333333333333E-2"/>
    <n v="1732.0951426572351"/>
    <n v="62355.425135660473"/>
    <n v="12670.425135660469"/>
    <n v="499"/>
    <n v="9688.5750000000007"/>
    <x v="2"/>
    <n v="0"/>
    <n v="3480.850135660472"/>
    <x v="0"/>
    <s v="Aug-2025"/>
    <x v="0"/>
    <x v="1"/>
    <x v="0"/>
    <n v="13169.425135660469"/>
    <n v="9688.5750000000007"/>
    <n v="3480.850135660472"/>
    <n v="7.0058370447025703E-2"/>
    <n v="0"/>
    <s v="OK"/>
  </r>
  <r>
    <s v="LN-0342"/>
    <s v="CUST-1342"/>
    <x v="3"/>
    <n v="104600"/>
    <n v="0"/>
    <n v="0"/>
    <n v="104600"/>
    <n v="0.14699999999999999"/>
    <n v="3"/>
    <n v="1.225E-2"/>
    <n v="35724.366841947864"/>
    <n v="107173.10052584361"/>
    <n v="2573.1005258435621"/>
    <n v="1046"/>
    <n v="1699.75"/>
    <x v="2"/>
    <n v="0"/>
    <n v="1919.3505258435621"/>
    <x v="3"/>
    <s v="Dec-2025"/>
    <x v="1"/>
    <x v="0"/>
    <x v="2"/>
    <n v="3619.1005258435621"/>
    <n v="1699.75"/>
    <n v="1919.3505258435621"/>
    <n v="1.8349431413418368E-2"/>
    <n v="0"/>
    <s v="OK"/>
  </r>
  <r>
    <s v="LN-0343"/>
    <s v="CUST-1343"/>
    <x v="0"/>
    <n v="162800"/>
    <n v="0.1"/>
    <n v="16280"/>
    <n v="146520"/>
    <n v="0.14929999999999999"/>
    <n v="24"/>
    <n v="1.244166666666667E-2"/>
    <n v="7099.391673808178"/>
    <n v="170385.40017139629"/>
    <n v="23865.400171396261"/>
    <n v="1465.2"/>
    <n v="19047.599999999999"/>
    <x v="0"/>
    <n v="0"/>
    <n v="6283.0001713962629"/>
    <x v="3"/>
    <s v="Sep-2025"/>
    <x v="1"/>
    <x v="0"/>
    <x v="0"/>
    <n v="25330.600171396269"/>
    <n v="19047.599999999999"/>
    <n v="6283.0001713962629"/>
    <n v="4.2881519051298549E-2"/>
    <n v="0"/>
    <s v="OK"/>
  </r>
  <r>
    <s v="LN-0344"/>
    <s v="CUST-1344"/>
    <x v="3"/>
    <n v="68300"/>
    <n v="0.05"/>
    <n v="3415"/>
    <n v="64885"/>
    <n v="0.16589999999999999"/>
    <n v="24"/>
    <n v="1.3825E-2"/>
    <n v="3195.2933633250932"/>
    <n v="76687.040719802229"/>
    <n v="11802.040719802229"/>
    <n v="648.85"/>
    <n v="8435.0500000000011"/>
    <x v="2"/>
    <n v="0"/>
    <n v="4015.8407198022292"/>
    <x v="3"/>
    <s v="Sep-2025"/>
    <x v="0"/>
    <x v="1"/>
    <x v="0"/>
    <n v="12450.89071980223"/>
    <n v="8435.0500000000011"/>
    <n v="4015.8407198022292"/>
    <n v="6.1891665559100389E-2"/>
    <n v="0"/>
    <s v="OK"/>
  </r>
  <r>
    <s v="LN-0345"/>
    <s v="CUST-1345"/>
    <x v="2"/>
    <n v="1147200"/>
    <n v="0.1"/>
    <n v="114720"/>
    <n v="1032480"/>
    <n v="8.7900000000000006E-2"/>
    <n v="72"/>
    <n v="7.3250000000000008E-3"/>
    <n v="18503.57888609383"/>
    <n v="1332257.679798756"/>
    <n v="299777.67979875603"/>
    <n v="10324.799999999999"/>
    <n v="402667.2"/>
    <x v="0"/>
    <n v="0"/>
    <n v="-92564.720201243937"/>
    <x v="1"/>
    <s v="Dec-2025"/>
    <x v="2"/>
    <x v="2"/>
    <x v="1"/>
    <n v="310102.47979875602"/>
    <n v="402667.2"/>
    <n v="-92564.720201243937"/>
    <n v="-8.96527973435262E-2"/>
    <n v="0"/>
    <s v="OK"/>
  </r>
  <r>
    <s v="LN-0346"/>
    <s v="CUST-1346"/>
    <x v="2"/>
    <n v="674600"/>
    <n v="0.25"/>
    <n v="168650"/>
    <n v="505950"/>
    <n v="0.10630000000000001"/>
    <n v="48"/>
    <n v="8.8583333333333344E-3"/>
    <n v="12985.8176754548"/>
    <n v="623319.24842183047"/>
    <n v="117369.2484218305"/>
    <n v="5059.5"/>
    <n v="131547"/>
    <x v="0"/>
    <n v="0"/>
    <n v="-9118.2515781695256"/>
    <x v="3"/>
    <s v="Nov-2025"/>
    <x v="2"/>
    <x v="0"/>
    <x v="1"/>
    <n v="122428.7484218305"/>
    <n v="131547"/>
    <n v="-9118.2515781695256"/>
    <n v="-1.8022040869986211E-2"/>
    <n v="0"/>
    <s v="OK"/>
  </r>
  <r>
    <s v="LN-0347"/>
    <s v="CUST-1347"/>
    <x v="1"/>
    <n v="81500"/>
    <n v="0.15"/>
    <n v="12225"/>
    <n v="69275"/>
    <n v="0.17069999999999999"/>
    <n v="6"/>
    <n v="1.4225E-2"/>
    <n v="12127.436894243439"/>
    <n v="72764.621365460654"/>
    <n v="3489.621365460654"/>
    <n v="692.75"/>
    <n v="2251.4375"/>
    <x v="0"/>
    <n v="0"/>
    <n v="1930.933865460654"/>
    <x v="3"/>
    <s v="Dec-2025"/>
    <x v="0"/>
    <x v="1"/>
    <x v="2"/>
    <n v="4182.3713654606536"/>
    <n v="2251.4375"/>
    <n v="1930.933865460654"/>
    <n v="2.787345890235517E-2"/>
    <n v="0"/>
    <s v="OK"/>
  </r>
  <r>
    <s v="LN-0348"/>
    <s v="CUST-1348"/>
    <x v="2"/>
    <n v="806000"/>
    <n v="0.3"/>
    <n v="241800"/>
    <n v="564200"/>
    <n v="0.1135"/>
    <n v="60"/>
    <n v="9.4583333333333342E-3"/>
    <n v="12365.784636644659"/>
    <n v="741947.07819867984"/>
    <n v="177747.07819867981"/>
    <n v="5642"/>
    <n v="183365"/>
    <x v="1"/>
    <n v="225680"/>
    <n v="-225655.92180132019"/>
    <x v="0"/>
    <s v="Dec-2025"/>
    <x v="2"/>
    <x v="0"/>
    <x v="1"/>
    <n v="183389.07819867981"/>
    <n v="409045"/>
    <n v="-225655.92180132019"/>
    <n v="-0.39995732329195349"/>
    <n v="0.4"/>
    <s v="OK"/>
  </r>
  <r>
    <s v="LN-0349"/>
    <s v="CUST-1349"/>
    <x v="2"/>
    <n v="1098300"/>
    <n v="0.3"/>
    <n v="329490"/>
    <n v="768810"/>
    <n v="0.10589999999999999"/>
    <n v="36"/>
    <n v="8.8249999999999995E-3"/>
    <n v="25020.842819106001"/>
    <n v="900750.34148781619"/>
    <n v="131940.34148781619"/>
    <n v="7688.1"/>
    <n v="149917.95000000001"/>
    <x v="0"/>
    <n v="0"/>
    <n v="-10289.50851218382"/>
    <x v="2"/>
    <s v="Apr-2025"/>
    <x v="2"/>
    <x v="0"/>
    <x v="0"/>
    <n v="139628.44148781619"/>
    <n v="149917.95000000001"/>
    <n v="-10289.50851218382"/>
    <n v="-1.338368193986007E-2"/>
    <n v="0"/>
    <s v="OK"/>
  </r>
  <r>
    <s v="LN-0350"/>
    <s v="CUST-1350"/>
    <x v="1"/>
    <n v="65400"/>
    <n v="0.2"/>
    <n v="13080"/>
    <n v="52320"/>
    <n v="0.14269999999999999"/>
    <n v="24"/>
    <n v="1.189166666666667E-2"/>
    <n v="2518.712714474756"/>
    <n v="60449.105147394133"/>
    <n v="8129.1051473941334"/>
    <n v="523.20000000000005"/>
    <n v="6801.6"/>
    <x v="2"/>
    <n v="0"/>
    <n v="1850.705147394134"/>
    <x v="2"/>
    <s v="Jun-2025"/>
    <x v="0"/>
    <x v="0"/>
    <x v="0"/>
    <n v="8652.3051473941341"/>
    <n v="6801.6"/>
    <n v="1850.705147394134"/>
    <n v="3.5372804804933752E-2"/>
    <n v="0"/>
    <s v="OK"/>
  </r>
  <r>
    <s v="LN-0351"/>
    <s v="CUST-1351"/>
    <x v="2"/>
    <n v="1238500"/>
    <n v="0.1"/>
    <n v="123850"/>
    <n v="1114650"/>
    <n v="8.6400000000000005E-2"/>
    <n v="72"/>
    <n v="7.2000000000000007E-3"/>
    <n v="19893.587894378819"/>
    <n v="1432338.3283952749"/>
    <n v="317688.3283952747"/>
    <n v="11146.5"/>
    <n v="434713.5"/>
    <x v="2"/>
    <n v="0"/>
    <n v="-105878.6716047253"/>
    <x v="1"/>
    <s v="Aug-2025"/>
    <x v="2"/>
    <x v="2"/>
    <x v="1"/>
    <n v="328834.8283952747"/>
    <n v="434713.5"/>
    <n v="-105878.6716047253"/>
    <n v="-9.4988266814448746E-2"/>
    <n v="0"/>
    <s v="OK"/>
  </r>
  <r>
    <s v="LN-0352"/>
    <s v="CUST-1352"/>
    <x v="1"/>
    <n v="149000"/>
    <n v="0.05"/>
    <n v="7450"/>
    <n v="141550"/>
    <n v="0.1542"/>
    <n v="36"/>
    <n v="1.285E-2"/>
    <n v="4936.0406401698192"/>
    <n v="177697.46304611349"/>
    <n v="36147.463046113488"/>
    <n v="1415.5"/>
    <n v="27602.25"/>
    <x v="0"/>
    <n v="0"/>
    <n v="9960.7130461134948"/>
    <x v="3"/>
    <s v="Mar-2025"/>
    <x v="1"/>
    <x v="1"/>
    <x v="0"/>
    <n v="37562.963046113488"/>
    <n v="27602.25"/>
    <n v="9960.7130461134948"/>
    <n v="7.0368866450819467E-2"/>
    <n v="0"/>
    <s v="OK"/>
  </r>
  <r>
    <s v="LN-0353"/>
    <s v="CUST-1353"/>
    <x v="2"/>
    <n v="1364300"/>
    <n v="0.2"/>
    <n v="272860"/>
    <n v="1091440"/>
    <n v="8.7800000000000003E-2"/>
    <n v="60"/>
    <n v="7.3166666666666666E-3"/>
    <n v="22540.140764322761"/>
    <n v="1352408.4458593661"/>
    <n v="260968.4458593656"/>
    <n v="10914.4"/>
    <n v="354718"/>
    <x v="2"/>
    <n v="0"/>
    <n v="-82835.154140634346"/>
    <x v="1"/>
    <s v="Jan-2025"/>
    <x v="2"/>
    <x v="2"/>
    <x v="1"/>
    <n v="271882.84585936571"/>
    <n v="354718"/>
    <n v="-82835.154140634346"/>
    <n v="-7.5895288921639617E-2"/>
    <n v="0"/>
    <s v="OK"/>
  </r>
  <r>
    <s v="LN-0354"/>
    <s v="CUST-1354"/>
    <x v="1"/>
    <n v="63200"/>
    <n v="0.15"/>
    <n v="9480"/>
    <n v="53720"/>
    <n v="0.17599999999999999"/>
    <n v="9"/>
    <n v="1.466666666666667E-2"/>
    <n v="6415.1026102072929"/>
    <n v="57735.923491865637"/>
    <n v="4015.9234918656371"/>
    <n v="537.20000000000005"/>
    <n v="2618.85"/>
    <x v="0"/>
    <n v="0"/>
    <n v="1934.2734918656361"/>
    <x v="0"/>
    <s v="Jan-2025"/>
    <x v="0"/>
    <x v="1"/>
    <x v="2"/>
    <n v="4553.1234918656364"/>
    <n v="2618.85"/>
    <n v="1934.2734918656361"/>
    <n v="3.60065802655554E-2"/>
    <n v="0"/>
    <s v="OK"/>
  </r>
  <r>
    <s v="LN-0355"/>
    <s v="CUST-1355"/>
    <x v="3"/>
    <n v="16700"/>
    <n v="0.2"/>
    <n v="3340"/>
    <n v="13360"/>
    <n v="0.1875"/>
    <n v="18"/>
    <n v="1.5625E-2"/>
    <n v="857.22930796333083"/>
    <n v="15430.127543339961"/>
    <n v="2070.1275433399551"/>
    <n v="499"/>
    <n v="1302.5999999999999"/>
    <x v="0"/>
    <n v="0"/>
    <n v="1266.5275433399549"/>
    <x v="0"/>
    <s v="Dec-2025"/>
    <x v="0"/>
    <x v="1"/>
    <x v="0"/>
    <n v="2569.1275433399551"/>
    <n v="1302.5999999999999"/>
    <n v="1266.5275433399549"/>
    <n v="9.4799965818858925E-2"/>
    <n v="0"/>
    <s v="OK"/>
  </r>
  <r>
    <s v="LN-0356"/>
    <s v="CUST-1356"/>
    <x v="1"/>
    <n v="40100"/>
    <n v="0.05"/>
    <n v="2005"/>
    <n v="38095"/>
    <n v="0.1888"/>
    <n v="36"/>
    <n v="1.5733333333333328E-2"/>
    <n v="1394.1008777075399"/>
    <n v="50187.631597471453"/>
    <n v="12092.631597471451"/>
    <n v="499"/>
    <n v="7428.5250000000005"/>
    <x v="0"/>
    <n v="0"/>
    <n v="5163.106597471452"/>
    <x v="1"/>
    <s v="Jul-2025"/>
    <x v="0"/>
    <x v="1"/>
    <x v="0"/>
    <n v="12591.631597471451"/>
    <n v="7428.5250000000005"/>
    <n v="5163.106597471452"/>
    <n v="0.13553239526109601"/>
    <n v="0"/>
    <s v="OK"/>
  </r>
  <r>
    <s v="LN-0357"/>
    <s v="CUST-1357"/>
    <x v="3"/>
    <n v="98300"/>
    <n v="0.05"/>
    <n v="4915"/>
    <n v="93385"/>
    <n v="0.14829999999999999"/>
    <n v="9"/>
    <n v="1.2358333333333331E-2"/>
    <n v="11027.7662427421"/>
    <n v="99249.896184678873"/>
    <n v="5864.8961846788734"/>
    <n v="933.85"/>
    <n v="4552.5187500000002"/>
    <x v="2"/>
    <n v="0"/>
    <n v="2246.227434678874"/>
    <x v="1"/>
    <s v="Nov-2025"/>
    <x v="0"/>
    <x v="0"/>
    <x v="2"/>
    <n v="6798.7461846788738"/>
    <n v="4552.5187500000002"/>
    <n v="2246.227434678874"/>
    <n v="2.4053407235411189E-2"/>
    <n v="0"/>
    <s v="OK"/>
  </r>
  <r>
    <s v="LN-0358"/>
    <s v="CUST-1358"/>
    <x v="2"/>
    <n v="557100"/>
    <n v="0.3"/>
    <n v="167130"/>
    <n v="389970"/>
    <n v="0.1009"/>
    <n v="36"/>
    <n v="8.4083333333333336E-3"/>
    <n v="12599.719407511569"/>
    <n v="453589.8986704165"/>
    <n v="63619.8986704165"/>
    <n v="3899.7"/>
    <n v="76044.149999999994"/>
    <x v="0"/>
    <n v="0"/>
    <n v="-8524.5513295834971"/>
    <x v="2"/>
    <s v="Jun-2025"/>
    <x v="3"/>
    <x v="0"/>
    <x v="0"/>
    <n v="67519.598670416497"/>
    <n v="76044.149999999994"/>
    <n v="-8524.5513295834971"/>
    <n v="-2.1859505422426082E-2"/>
    <n v="0"/>
    <s v="OK"/>
  </r>
  <r>
    <s v="LN-0359"/>
    <s v="CUST-1359"/>
    <x v="0"/>
    <n v="210700"/>
    <n v="0.25"/>
    <n v="52675"/>
    <n v="158025"/>
    <n v="0.11210000000000001"/>
    <n v="48"/>
    <n v="9.3416666666666665E-3"/>
    <n v="4100.3731889290539"/>
    <n v="196817.91306859459"/>
    <n v="38792.913068594593"/>
    <n v="1580.25"/>
    <n v="41086.5"/>
    <x v="0"/>
    <n v="0"/>
    <n v="-713.33693140541436"/>
    <x v="1"/>
    <s v="Feb-2025"/>
    <x v="1"/>
    <x v="0"/>
    <x v="1"/>
    <n v="40373.163068594593"/>
    <n v="41086.5"/>
    <n v="-713.33693140541436"/>
    <n v="-4.5140764524943169E-3"/>
    <n v="0"/>
    <s v="OK"/>
  </r>
  <r>
    <s v="LN-0360"/>
    <s v="CUST-1360"/>
    <x v="2"/>
    <n v="554000"/>
    <n v="0.2"/>
    <n v="110800"/>
    <n v="443200"/>
    <n v="8.8700000000000001E-2"/>
    <n v="72"/>
    <n v="7.391666666666667E-3"/>
    <n v="7960.3527357212488"/>
    <n v="573145.39697192993"/>
    <n v="129945.39697192991"/>
    <n v="4432"/>
    <n v="172848"/>
    <x v="0"/>
    <n v="0"/>
    <n v="-38470.603028070072"/>
    <x v="3"/>
    <s v="Mar-2025"/>
    <x v="3"/>
    <x v="2"/>
    <x v="1"/>
    <n v="134377.39697192991"/>
    <n v="172848"/>
    <n v="-38470.603028070072"/>
    <n v="-8.6801902139147263E-2"/>
    <n v="0"/>
    <s v="OK"/>
  </r>
  <r>
    <s v="LN-0361"/>
    <s v="CUST-1361"/>
    <x v="3"/>
    <n v="80200"/>
    <n v="0.15"/>
    <n v="12030"/>
    <n v="68170"/>
    <n v="0.15989999999999999"/>
    <n v="18"/>
    <n v="1.3325E-2"/>
    <n v="4284.6005566812082"/>
    <n v="77122.81002026175"/>
    <n v="8952.8100202617497"/>
    <n v="681.7"/>
    <n v="6646.5750000000007"/>
    <x v="0"/>
    <n v="0"/>
    <n v="2987.9350202617502"/>
    <x v="3"/>
    <s v="Dec-2025"/>
    <x v="0"/>
    <x v="1"/>
    <x v="0"/>
    <n v="9634.5100202617505"/>
    <n v="6646.5750000000007"/>
    <n v="2987.9350202617502"/>
    <n v="4.383064427551342E-2"/>
    <n v="0"/>
    <s v="OK"/>
  </r>
  <r>
    <s v="LN-0362"/>
    <s v="CUST-1362"/>
    <x v="3"/>
    <n v="102900"/>
    <n v="0.15"/>
    <n v="15435"/>
    <n v="87465"/>
    <n v="0.21010000000000001"/>
    <n v="6"/>
    <n v="1.7508333333333331E-2"/>
    <n v="15483.71532197944"/>
    <n v="92902.291931876636"/>
    <n v="5437.2919318766362"/>
    <n v="874.65"/>
    <n v="2842.6125000000002"/>
    <x v="0"/>
    <n v="0"/>
    <n v="3469.3294318766361"/>
    <x v="1"/>
    <s v="Dec-2025"/>
    <x v="0"/>
    <x v="1"/>
    <x v="2"/>
    <n v="6311.9419318766359"/>
    <n v="2842.6125000000002"/>
    <n v="3469.3294318766361"/>
    <n v="3.9665345359591098E-2"/>
    <n v="0"/>
    <s v="OK"/>
  </r>
  <r>
    <s v="LN-0363"/>
    <s v="CUST-1363"/>
    <x v="1"/>
    <n v="105800"/>
    <n v="0.15"/>
    <n v="15870"/>
    <n v="89930"/>
    <n v="0.1827"/>
    <n v="9"/>
    <n v="1.5225000000000001E-2"/>
    <n v="10768.200347058"/>
    <n v="96913.803123521982"/>
    <n v="6983.8031235219823"/>
    <n v="899.30000000000007"/>
    <n v="4384.0874999999996"/>
    <x v="0"/>
    <n v="0"/>
    <n v="3499.0156235219829"/>
    <x v="1"/>
    <s v="Aug-2025"/>
    <x v="0"/>
    <x v="1"/>
    <x v="2"/>
    <n v="7883.1031235219834"/>
    <n v="4384.0874999999996"/>
    <n v="3499.0156235219829"/>
    <n v="3.890821331615682E-2"/>
    <n v="0"/>
    <s v="OK"/>
  </r>
  <r>
    <s v="LN-0364"/>
    <s v="CUST-1364"/>
    <x v="0"/>
    <n v="77000"/>
    <n v="0.15"/>
    <n v="11550"/>
    <n v="65450"/>
    <n v="0.1711"/>
    <n v="12"/>
    <n v="1.4258333333333329E-2"/>
    <n v="5972.7682081335988"/>
    <n v="71673.218497603186"/>
    <n v="6223.2184976031858"/>
    <n v="654.5"/>
    <n v="4254.25"/>
    <x v="0"/>
    <n v="0"/>
    <n v="2623.4684976031858"/>
    <x v="1"/>
    <s v="Jul-2025"/>
    <x v="0"/>
    <x v="1"/>
    <x v="2"/>
    <n v="6877.7184976031858"/>
    <n v="4254.25"/>
    <n v="2623.4684976031858"/>
    <n v="4.008355229340238E-2"/>
    <n v="0"/>
    <s v="OK"/>
  </r>
  <r>
    <s v="LN-0365"/>
    <s v="CUST-1365"/>
    <x v="2"/>
    <n v="1025200"/>
    <n v="0.25"/>
    <n v="256300"/>
    <n v="768900"/>
    <n v="9.6000000000000002E-2"/>
    <n v="48"/>
    <n v="8.0000000000000002E-3"/>
    <n v="19353.918787283259"/>
    <n v="928988.10178959626"/>
    <n v="160088.10178959629"/>
    <n v="7689"/>
    <n v="199914"/>
    <x v="0"/>
    <n v="0"/>
    <n v="-32136.898210403739"/>
    <x v="0"/>
    <s v="Jan-2025"/>
    <x v="2"/>
    <x v="2"/>
    <x v="1"/>
    <n v="167777.10178959629"/>
    <n v="199914"/>
    <n v="-32136.898210403739"/>
    <n v="-4.1795939927693773E-2"/>
    <n v="0"/>
    <s v="OK"/>
  </r>
  <r>
    <s v="LN-0366"/>
    <s v="CUST-1366"/>
    <x v="0"/>
    <n v="63300"/>
    <n v="0.2"/>
    <n v="12660"/>
    <n v="50640"/>
    <n v="0.1173"/>
    <n v="12"/>
    <n v="9.7750000000000007E-3"/>
    <n v="4492.9089056523489"/>
    <n v="53914.906867828191"/>
    <n v="3274.906867828191"/>
    <n v="506.4"/>
    <n v="3291.6"/>
    <x v="0"/>
    <n v="0"/>
    <n v="489.70686782819121"/>
    <x v="2"/>
    <s v="Jul-2025"/>
    <x v="0"/>
    <x v="0"/>
    <x v="2"/>
    <n v="3781.3068678281911"/>
    <n v="3291.6"/>
    <n v="489.70686782819121"/>
    <n v="9.6703567896562238E-3"/>
    <n v="0"/>
    <s v="OK"/>
  </r>
  <r>
    <s v="LN-0367"/>
    <s v="CUST-1367"/>
    <x v="0"/>
    <n v="79800"/>
    <n v="0.1"/>
    <n v="7980"/>
    <n v="71820"/>
    <n v="0.1429"/>
    <n v="60"/>
    <n v="1.190833333333333E-2"/>
    <n v="1681.943303105352"/>
    <n v="100916.59818632111"/>
    <n v="29096.598186321149"/>
    <n v="718.2"/>
    <n v="23341.5"/>
    <x v="2"/>
    <n v="0"/>
    <n v="6473.2981863211498"/>
    <x v="3"/>
    <s v="Feb-2025"/>
    <x v="0"/>
    <x v="0"/>
    <x v="1"/>
    <n v="29814.79818632115"/>
    <n v="23341.5"/>
    <n v="6473.2981863211498"/>
    <n v="9.0132249879158313E-2"/>
    <n v="0"/>
    <s v="OK"/>
  </r>
  <r>
    <s v="LN-0368"/>
    <s v="CUST-1368"/>
    <x v="1"/>
    <n v="50400"/>
    <n v="0.1"/>
    <n v="5040"/>
    <n v="45360"/>
    <n v="0.18459999999999999"/>
    <n v="24"/>
    <n v="1.538333333333333E-2"/>
    <n v="2274.651902403743"/>
    <n v="54591.645657689827"/>
    <n v="9231.6456576898345"/>
    <n v="499"/>
    <n v="5896.8"/>
    <x v="0"/>
    <n v="0"/>
    <n v="3833.8456576898338"/>
    <x v="0"/>
    <s v="May-2025"/>
    <x v="0"/>
    <x v="1"/>
    <x v="0"/>
    <n v="9730.6456576898345"/>
    <n v="5896.8"/>
    <n v="3833.8456576898338"/>
    <n v="8.4520406915560717E-2"/>
    <n v="0"/>
    <s v="OK"/>
  </r>
  <r>
    <s v="LN-0369"/>
    <s v="CUST-1369"/>
    <x v="0"/>
    <n v="235200"/>
    <n v="0.1"/>
    <n v="23520"/>
    <n v="211680"/>
    <n v="0.16769999999999999"/>
    <n v="12"/>
    <n v="1.3975E-2"/>
    <n v="19283.12445906665"/>
    <n v="231397.49350879979"/>
    <n v="19717.49350879982"/>
    <n v="2116.8000000000002"/>
    <n v="13759.2"/>
    <x v="1"/>
    <n v="84672"/>
    <n v="-76596.906491200178"/>
    <x v="2"/>
    <s v="Feb-2025"/>
    <x v="1"/>
    <x v="1"/>
    <x v="2"/>
    <n v="21834.293508799819"/>
    <n v="98431.2"/>
    <n v="-76596.906491200178"/>
    <n v="-0.36185235492819429"/>
    <n v="0.4"/>
    <s v="OK"/>
  </r>
  <r>
    <s v="LN-0370"/>
    <s v="CUST-1370"/>
    <x v="1"/>
    <n v="101100"/>
    <n v="0.05"/>
    <n v="5055"/>
    <n v="96045"/>
    <n v="0.1447"/>
    <n v="36"/>
    <n v="1.2058333333333331E-2"/>
    <n v="3304.5577193590088"/>
    <n v="118964.0778969243"/>
    <n v="22919.077896924311"/>
    <n v="960.45"/>
    <n v="18728.775000000001"/>
    <x v="2"/>
    <n v="0"/>
    <n v="5150.7528969243103"/>
    <x v="1"/>
    <s v="Dec-2025"/>
    <x v="0"/>
    <x v="0"/>
    <x v="0"/>
    <n v="23879.527896924312"/>
    <n v="18728.775000000001"/>
    <n v="5150.7528969243103"/>
    <n v="5.3628537632612952E-2"/>
    <n v="0"/>
    <s v="OK"/>
  </r>
  <r>
    <s v="LN-0371"/>
    <s v="CUST-1371"/>
    <x v="3"/>
    <n v="63600"/>
    <n v="0.2"/>
    <n v="12720"/>
    <n v="50880"/>
    <n v="0.16769999999999999"/>
    <n v="18"/>
    <n v="1.3975E-2"/>
    <n v="3216.6830949257978"/>
    <n v="57900.295708664373"/>
    <n v="7020.2957086643728"/>
    <n v="508.8"/>
    <n v="4960.8"/>
    <x v="2"/>
    <n v="0"/>
    <n v="2568.2957086643728"/>
    <x v="3"/>
    <s v="Mar-2025"/>
    <x v="0"/>
    <x v="1"/>
    <x v="0"/>
    <n v="7529.095708664373"/>
    <n v="4960.8"/>
    <n v="2568.2957086643728"/>
    <n v="5.0477509997334372E-2"/>
    <n v="0"/>
    <s v="OK"/>
  </r>
  <r>
    <s v="LN-0372"/>
    <s v="CUST-1372"/>
    <x v="0"/>
    <n v="269600"/>
    <n v="0.05"/>
    <n v="13480"/>
    <n v="256120"/>
    <n v="0.15859999999999999"/>
    <n v="12"/>
    <n v="1.321666666666667E-2"/>
    <n v="23221.022537788151"/>
    <n v="278652.27045345778"/>
    <n v="22532.270453457779"/>
    <n v="2561.1999999999998"/>
    <n v="16647.8"/>
    <x v="2"/>
    <n v="0"/>
    <n v="8445.6704534577802"/>
    <x v="2"/>
    <s v="May-2025"/>
    <x v="3"/>
    <x v="1"/>
    <x v="2"/>
    <n v="25093.47045345778"/>
    <n v="16647.8"/>
    <n v="8445.6704534577802"/>
    <n v="3.2975442969927299E-2"/>
    <n v="0"/>
    <s v="OK"/>
  </r>
  <r>
    <s v="LN-0373"/>
    <s v="CUST-1373"/>
    <x v="1"/>
    <n v="57900"/>
    <n v="0"/>
    <n v="0"/>
    <n v="57900"/>
    <n v="0.19800000000000001"/>
    <n v="36"/>
    <n v="1.6500000000000001E-2"/>
    <n v="2145.8756984774268"/>
    <n v="77251.525145187377"/>
    <n v="19351.525145187381"/>
    <n v="579"/>
    <n v="11290.5"/>
    <x v="0"/>
    <n v="0"/>
    <n v="8640.0251451873773"/>
    <x v="3"/>
    <s v="Jan-2025"/>
    <x v="0"/>
    <x v="1"/>
    <x v="0"/>
    <n v="19930.525145187381"/>
    <n v="11290.5"/>
    <n v="8640.0251451873773"/>
    <n v="0.14922323221394429"/>
    <n v="0"/>
    <s v="OK"/>
  </r>
  <r>
    <s v="LN-0374"/>
    <s v="CUST-1374"/>
    <x v="1"/>
    <n v="95900"/>
    <n v="0"/>
    <n v="0"/>
    <n v="95900"/>
    <n v="0.14940000000000001"/>
    <n v="12"/>
    <n v="1.2449999999999999E-2"/>
    <n v="8653.0572444069057"/>
    <n v="103836.68693288291"/>
    <n v="7936.6869328828761"/>
    <n v="959"/>
    <n v="6233.5"/>
    <x v="0"/>
    <n v="0"/>
    <n v="2662.1869328828761"/>
    <x v="0"/>
    <s v="Apr-2025"/>
    <x v="0"/>
    <x v="0"/>
    <x v="2"/>
    <n v="8895.6869328828761"/>
    <n v="6233.5"/>
    <n v="2662.1869328828761"/>
    <n v="2.776003058272029E-2"/>
    <n v="0"/>
    <s v="OK"/>
  </r>
  <r>
    <s v="LN-0375"/>
    <s v="CUST-1375"/>
    <x v="0"/>
    <n v="60600"/>
    <n v="0.1"/>
    <n v="6060"/>
    <n v="54540"/>
    <n v="0.16869999999999999"/>
    <n v="12"/>
    <n v="1.4058333333333331E-2"/>
    <n v="4970.9430178546172"/>
    <n v="59651.316214255407"/>
    <n v="5111.3162142554074"/>
    <n v="545.4"/>
    <n v="3545.1"/>
    <x v="1"/>
    <n v="21816"/>
    <n v="-19704.383785744591"/>
    <x v="3"/>
    <s v="Jul-2025"/>
    <x v="0"/>
    <x v="1"/>
    <x v="2"/>
    <n v="5656.7162142554062"/>
    <n v="25361.1"/>
    <n v="-19704.383785744591"/>
    <n v="-0.36128316438842312"/>
    <n v="0.4"/>
    <s v="OK"/>
  </r>
  <r>
    <s v="LN-0376"/>
    <s v="CUST-1376"/>
    <x v="2"/>
    <n v="596900"/>
    <n v="0.3"/>
    <n v="179070"/>
    <n v="417830"/>
    <n v="0.1138"/>
    <n v="36"/>
    <n v="9.4833333333333332E-3"/>
    <n v="13754.530916934789"/>
    <n v="495163.11300965259"/>
    <n v="77333.113009652589"/>
    <n v="4178.3"/>
    <n v="81476.850000000006"/>
    <x v="0"/>
    <n v="0"/>
    <n v="34.563009652585613"/>
    <x v="2"/>
    <s v="Apr-2025"/>
    <x v="3"/>
    <x v="0"/>
    <x v="0"/>
    <n v="81511.413009652591"/>
    <n v="81476.850000000006"/>
    <n v="34.563009652585613"/>
    <n v="8.2720268177454006E-5"/>
    <n v="0"/>
    <s v="OK"/>
  </r>
  <r>
    <s v="LN-0377"/>
    <s v="CUST-1377"/>
    <x v="1"/>
    <n v="77000"/>
    <n v="0"/>
    <n v="0"/>
    <n v="77000"/>
    <n v="0.17760000000000001"/>
    <n v="12"/>
    <n v="1.4800000000000001E-2"/>
    <n v="7050.5675555530206"/>
    <n v="84606.810666636244"/>
    <n v="7606.8106666362437"/>
    <n v="770"/>
    <n v="5005"/>
    <x v="0"/>
    <n v="0"/>
    <n v="3371.8106666362442"/>
    <x v="0"/>
    <s v="Sep-2025"/>
    <x v="0"/>
    <x v="1"/>
    <x v="2"/>
    <n v="8376.8106666362437"/>
    <n v="5005"/>
    <n v="3371.8106666362442"/>
    <n v="4.3789748917353807E-2"/>
    <n v="0"/>
    <s v="OK"/>
  </r>
  <r>
    <s v="LN-0378"/>
    <s v="CUST-1378"/>
    <x v="0"/>
    <n v="72600"/>
    <n v="0.05"/>
    <n v="3630"/>
    <n v="68970"/>
    <n v="0.1179"/>
    <n v="60"/>
    <n v="9.8250000000000004E-3"/>
    <n v="1526.8905117450549"/>
    <n v="91613.430704703278"/>
    <n v="22643.430704703282"/>
    <n v="689.7"/>
    <n v="22415.25"/>
    <x v="0"/>
    <n v="0"/>
    <n v="917.88070470327875"/>
    <x v="0"/>
    <s v="Aug-2025"/>
    <x v="0"/>
    <x v="0"/>
    <x v="1"/>
    <n v="23333.130704703279"/>
    <n v="22415.25"/>
    <n v="917.88070470327875"/>
    <n v="1.3308405171861369E-2"/>
    <n v="0"/>
    <s v="OK"/>
  </r>
  <r>
    <s v="LN-0379"/>
    <s v="CUST-1379"/>
    <x v="2"/>
    <n v="1250900"/>
    <n v="0.3"/>
    <n v="375270"/>
    <n v="875630"/>
    <n v="9.4299999999999995E-2"/>
    <n v="36"/>
    <n v="7.8583333333333335E-3"/>
    <n v="28020.368302681771"/>
    <n v="1008733.258896544"/>
    <n v="133103.25889654379"/>
    <n v="8756.2999999999993"/>
    <n v="170747.85"/>
    <x v="0"/>
    <n v="0"/>
    <n v="-28888.29110345626"/>
    <x v="3"/>
    <s v="Apr-2025"/>
    <x v="2"/>
    <x v="2"/>
    <x v="0"/>
    <n v="141859.55889654369"/>
    <n v="170747.85"/>
    <n v="-28888.29110345626"/>
    <n v="-3.2991435998602443E-2"/>
    <n v="0"/>
    <s v="OK"/>
  </r>
  <r>
    <s v="LN-0380"/>
    <s v="CUST-1380"/>
    <x v="3"/>
    <n v="95900"/>
    <n v="0.1"/>
    <n v="9590"/>
    <n v="86310"/>
    <n v="0.19919999999999999"/>
    <n v="6"/>
    <n v="1.66E-2"/>
    <n v="15232.233136817171"/>
    <n v="91393.39882090305"/>
    <n v="5083.3988209030504"/>
    <n v="863.1"/>
    <n v="2805.0749999999998"/>
    <x v="0"/>
    <n v="0"/>
    <n v="3141.42382090305"/>
    <x v="2"/>
    <s v="Apr-2025"/>
    <x v="0"/>
    <x v="1"/>
    <x v="2"/>
    <n v="5946.4988209030507"/>
    <n v="2805.0749999999998"/>
    <n v="3141.42382090305"/>
    <n v="3.6396985527784163E-2"/>
    <n v="0"/>
    <s v="OK"/>
  </r>
  <r>
    <s v="LN-0381"/>
    <s v="CUST-1381"/>
    <x v="0"/>
    <n v="191200"/>
    <n v="0.05"/>
    <n v="9560"/>
    <n v="181640"/>
    <n v="0.16370000000000001"/>
    <n v="24"/>
    <n v="1.364166666666667E-2"/>
    <n v="8925.8048663424215"/>
    <n v="214219.3167922181"/>
    <n v="32579.316792218131"/>
    <n v="1816.4"/>
    <n v="23613.200000000001"/>
    <x v="0"/>
    <n v="0"/>
    <n v="10782.51679221813"/>
    <x v="0"/>
    <s v="Apr-2025"/>
    <x v="1"/>
    <x v="1"/>
    <x v="0"/>
    <n v="34395.716792218132"/>
    <n v="23613.200000000001"/>
    <n v="10782.51679221813"/>
    <n v="5.9362017133991037E-2"/>
    <n v="0"/>
    <s v="OK"/>
  </r>
  <r>
    <s v="LN-0382"/>
    <s v="CUST-1382"/>
    <x v="1"/>
    <n v="104500"/>
    <n v="0.1"/>
    <n v="10450"/>
    <n v="94050"/>
    <n v="0.17549999999999999"/>
    <n v="6"/>
    <n v="1.4625000000000001E-2"/>
    <n v="16487.070794819148"/>
    <n v="98922.424768914905"/>
    <n v="4872.4247689149051"/>
    <n v="940.5"/>
    <n v="3056.625"/>
    <x v="1"/>
    <n v="37620"/>
    <n v="-34863.700231085088"/>
    <x v="2"/>
    <s v="Dec-2025"/>
    <x v="0"/>
    <x v="1"/>
    <x v="2"/>
    <n v="5812.9247689149051"/>
    <n v="40676.625"/>
    <n v="-34863.700231085088"/>
    <n v="-0.37069325072924081"/>
    <n v="0.4"/>
    <s v="OK"/>
  </r>
  <r>
    <s v="LN-0383"/>
    <s v="CUST-1383"/>
    <x v="0"/>
    <n v="84900"/>
    <n v="0.2"/>
    <n v="16980"/>
    <n v="67920"/>
    <n v="0.1424"/>
    <n v="24"/>
    <n v="1.1866666666666669E-2"/>
    <n v="3268.741042671636"/>
    <n v="78449.785024119279"/>
    <n v="10529.785024119279"/>
    <n v="679.2"/>
    <n v="8829.6"/>
    <x v="0"/>
    <n v="0"/>
    <n v="2379.385024119279"/>
    <x v="0"/>
    <s v="Mar-2025"/>
    <x v="0"/>
    <x v="0"/>
    <x v="0"/>
    <n v="11208.98502411928"/>
    <n v="8829.6"/>
    <n v="2379.385024119279"/>
    <n v="3.5032170555348643E-2"/>
    <n v="0"/>
    <s v="OK"/>
  </r>
  <r>
    <s v="LN-0384"/>
    <s v="CUST-1384"/>
    <x v="0"/>
    <n v="82300"/>
    <n v="0.2"/>
    <n v="16460"/>
    <n v="65840"/>
    <n v="0.17369999999999999"/>
    <n v="60"/>
    <n v="1.4475E-2"/>
    <n v="1649.4207806402931"/>
    <n v="98965.246838417588"/>
    <n v="33125.246838417588"/>
    <n v="658.4"/>
    <n v="21398"/>
    <x v="0"/>
    <n v="0"/>
    <n v="12385.64683841759"/>
    <x v="3"/>
    <s v="Aug-2025"/>
    <x v="0"/>
    <x v="1"/>
    <x v="1"/>
    <n v="33783.64683841759"/>
    <n v="21398"/>
    <n v="12385.64683841759"/>
    <n v="0.1881173578131469"/>
    <n v="0"/>
    <s v="OK"/>
  </r>
  <r>
    <s v="LN-0385"/>
    <s v="CUST-1385"/>
    <x v="2"/>
    <n v="493400"/>
    <n v="0.25"/>
    <n v="123350"/>
    <n v="370050"/>
    <n v="8.7900000000000006E-2"/>
    <n v="48"/>
    <n v="7.3250000000000008E-3"/>
    <n v="9171.8545718406203"/>
    <n v="440249.01944834978"/>
    <n v="70199.019448349776"/>
    <n v="3700.5"/>
    <n v="96213"/>
    <x v="2"/>
    <n v="0"/>
    <n v="-22313.48055165022"/>
    <x v="0"/>
    <s v="Jul-2025"/>
    <x v="3"/>
    <x v="2"/>
    <x v="1"/>
    <n v="73899.519448349776"/>
    <n v="96213"/>
    <n v="-22313.48055165022"/>
    <n v="-6.0298555740170852E-2"/>
    <n v="0"/>
    <s v="OK"/>
  </r>
  <r>
    <s v="LN-0386"/>
    <s v="CUST-1386"/>
    <x v="0"/>
    <n v="91400"/>
    <n v="0.2"/>
    <n v="18280"/>
    <n v="73120"/>
    <n v="0.12330000000000001"/>
    <n v="36"/>
    <n v="1.0274999999999999E-2"/>
    <n v="2440.1712229168529"/>
    <n v="87846.164025006728"/>
    <n v="14726.16402500673"/>
    <n v="731.2"/>
    <n v="14258.4"/>
    <x v="0"/>
    <n v="0"/>
    <n v="1198.964025006728"/>
    <x v="3"/>
    <s v="Jun-2025"/>
    <x v="0"/>
    <x v="0"/>
    <x v="0"/>
    <n v="15457.364025006729"/>
    <n v="14258.4"/>
    <n v="1198.964025006728"/>
    <n v="1.6397210407641239E-2"/>
    <n v="0"/>
    <s v="OK"/>
  </r>
  <r>
    <s v="LN-0387"/>
    <s v="CUST-1387"/>
    <x v="1"/>
    <n v="54200"/>
    <n v="0.2"/>
    <n v="10840"/>
    <n v="43360"/>
    <n v="0.19550000000000001"/>
    <n v="9"/>
    <n v="1.629166666666667E-2"/>
    <n v="5218.6790583428792"/>
    <n v="46968.111525085907"/>
    <n v="3608.1115250859152"/>
    <n v="499"/>
    <n v="2113.8000000000002"/>
    <x v="2"/>
    <n v="0"/>
    <n v="1993.311525085915"/>
    <x v="0"/>
    <s v="Mar-2025"/>
    <x v="0"/>
    <x v="1"/>
    <x v="2"/>
    <n v="4107.1115250859148"/>
    <n v="2113.8000000000002"/>
    <n v="1993.311525085915"/>
    <n v="4.5971206759361498E-2"/>
    <n v="0"/>
    <s v="OK"/>
  </r>
  <r>
    <s v="LN-0388"/>
    <s v="CUST-1388"/>
    <x v="1"/>
    <n v="64300"/>
    <n v="0.05"/>
    <n v="3215"/>
    <n v="61085"/>
    <n v="0.12970000000000001"/>
    <n v="12"/>
    <n v="1.080833333333333E-2"/>
    <n v="5455.0860561351792"/>
    <n v="65461.032673622147"/>
    <n v="4376.0326736221468"/>
    <n v="610.85"/>
    <n v="3970.5250000000001"/>
    <x v="0"/>
    <n v="0"/>
    <n v="1016.357673622147"/>
    <x v="2"/>
    <s v="May-2025"/>
    <x v="0"/>
    <x v="0"/>
    <x v="2"/>
    <n v="4986.8826736221472"/>
    <n v="3970.5250000000001"/>
    <n v="1016.357673622147"/>
    <n v="1.6638416528151709E-2"/>
    <n v="0"/>
    <s v="OK"/>
  </r>
  <r>
    <s v="LN-0389"/>
    <s v="CUST-1389"/>
    <x v="2"/>
    <n v="499500"/>
    <n v="0.3"/>
    <n v="149850"/>
    <n v="349650"/>
    <n v="0.10920000000000001"/>
    <n v="60"/>
    <n v="9.1000000000000004E-3"/>
    <n v="7588.2957817965435"/>
    <n v="455297.74690779258"/>
    <n v="105647.74690779261"/>
    <n v="3496.5"/>
    <n v="113636.25"/>
    <x v="2"/>
    <n v="0"/>
    <n v="-4492.0030922073638"/>
    <x v="3"/>
    <s v="Mar-2025"/>
    <x v="3"/>
    <x v="0"/>
    <x v="1"/>
    <n v="109144.24690779261"/>
    <n v="113636.25"/>
    <n v="-4492.0030922073638"/>
    <n v="-1.284714169085475E-2"/>
    <n v="0"/>
    <s v="OK"/>
  </r>
  <r>
    <s v="LN-0390"/>
    <s v="CUST-1390"/>
    <x v="3"/>
    <n v="35800"/>
    <n v="0"/>
    <n v="0"/>
    <n v="35800"/>
    <n v="0.16850000000000001"/>
    <n v="18"/>
    <n v="1.4041666666666669E-2"/>
    <n v="2264.669200928869"/>
    <n v="40764.045616719653"/>
    <n v="4964.0456167196526"/>
    <n v="499"/>
    <n v="3490.5"/>
    <x v="0"/>
    <n v="0"/>
    <n v="1972.545616719653"/>
    <x v="3"/>
    <s v="Mar-2025"/>
    <x v="0"/>
    <x v="1"/>
    <x v="0"/>
    <n v="5463.0456167196526"/>
    <n v="3490.5"/>
    <n v="1972.545616719653"/>
    <n v="5.5099039573174677E-2"/>
    <n v="0"/>
    <s v="OK"/>
  </r>
  <r>
    <s v="LN-0391"/>
    <s v="CUST-1391"/>
    <x v="3"/>
    <n v="53300"/>
    <n v="0.15"/>
    <n v="7995"/>
    <n v="45305"/>
    <n v="0.1762"/>
    <n v="24"/>
    <n v="1.4683333333333329E-2"/>
    <n v="2253.501860788022"/>
    <n v="54084.04465891252"/>
    <n v="8779.0446589125204"/>
    <n v="499"/>
    <n v="5889.6500000000005"/>
    <x v="2"/>
    <n v="0"/>
    <n v="3388.3946589125198"/>
    <x v="2"/>
    <s v="Feb-2025"/>
    <x v="0"/>
    <x v="1"/>
    <x v="0"/>
    <n v="9278.0446589125204"/>
    <n v="5889.6500000000005"/>
    <n v="3388.3946589125198"/>
    <n v="7.4790744043980131E-2"/>
    <n v="0"/>
    <s v="OK"/>
  </r>
  <r>
    <s v="LN-0392"/>
    <s v="CUST-1392"/>
    <x v="2"/>
    <n v="553800"/>
    <n v="0.15"/>
    <n v="83070"/>
    <n v="470730"/>
    <n v="8.5400000000000004E-2"/>
    <n v="48"/>
    <n v="7.116666666666667E-3"/>
    <n v="11611.58754485855"/>
    <n v="557356.20215321041"/>
    <n v="86626.202153210412"/>
    <n v="4707.3"/>
    <n v="122389.8"/>
    <x v="2"/>
    <n v="0"/>
    <n v="-31056.297846789588"/>
    <x v="2"/>
    <s v="Jun-2025"/>
    <x v="3"/>
    <x v="2"/>
    <x v="1"/>
    <n v="91333.502153210415"/>
    <n v="122389.8"/>
    <n v="-31056.297846789588"/>
    <n v="-6.5974758028571764E-2"/>
    <n v="0"/>
    <s v="OK"/>
  </r>
  <r>
    <s v="LN-0393"/>
    <s v="CUST-1393"/>
    <x v="0"/>
    <n v="285000"/>
    <n v="0.15"/>
    <n v="42750"/>
    <n v="242250"/>
    <n v="0.1067"/>
    <n v="60"/>
    <n v="8.8916666666666675E-3"/>
    <n v="5227.3216926598216"/>
    <n v="313639.30155958928"/>
    <n v="71389.301559589279"/>
    <n v="2422.5"/>
    <n v="78731.25"/>
    <x v="0"/>
    <n v="0"/>
    <n v="-4919.4484404107207"/>
    <x v="0"/>
    <s v="Jan-2025"/>
    <x v="1"/>
    <x v="0"/>
    <x v="1"/>
    <n v="73811.801559589279"/>
    <n v="78731.25"/>
    <n v="-4919.4484404107207"/>
    <n v="-2.030732070344983E-2"/>
    <n v="0"/>
    <s v="OK"/>
  </r>
  <r>
    <s v="LN-0394"/>
    <s v="CUST-1394"/>
    <x v="2"/>
    <n v="617500"/>
    <n v="0.1"/>
    <n v="61750"/>
    <n v="555750"/>
    <n v="0.10440000000000001"/>
    <n v="48"/>
    <n v="8.7000000000000011E-3"/>
    <n v="14212.980044844029"/>
    <n v="682223.0421525134"/>
    <n v="126473.0421525134"/>
    <n v="5557.5"/>
    <n v="144495"/>
    <x v="0"/>
    <n v="0"/>
    <n v="-12464.457847486599"/>
    <x v="3"/>
    <s v="Feb-2025"/>
    <x v="2"/>
    <x v="0"/>
    <x v="1"/>
    <n v="132030.5421525134"/>
    <n v="144495"/>
    <n v="-12464.457847486599"/>
    <n v="-2.2428174264483309E-2"/>
    <n v="0"/>
    <s v="OK"/>
  </r>
  <r>
    <s v="LN-0395"/>
    <s v="CUST-1395"/>
    <x v="3"/>
    <n v="59600"/>
    <n v="0.1"/>
    <n v="5960"/>
    <n v="53640"/>
    <n v="0.15340000000000001"/>
    <n v="18"/>
    <n v="1.2783333333333331E-2"/>
    <n v="3354.9094030739311"/>
    <n v="60388.369255330763"/>
    <n v="6748.3692553307628"/>
    <n v="536.4"/>
    <n v="5229.8999999999996"/>
    <x v="0"/>
    <n v="0"/>
    <n v="2054.8692553307628"/>
    <x v="2"/>
    <s v="Aug-2025"/>
    <x v="0"/>
    <x v="1"/>
    <x v="0"/>
    <n v="7284.7692553307616"/>
    <n v="5229.8999999999996"/>
    <n v="2054.8692553307628"/>
    <n v="3.8308524521453453E-2"/>
    <n v="0"/>
    <s v="OK"/>
  </r>
  <r>
    <s v="LN-0396"/>
    <s v="CUST-1396"/>
    <x v="3"/>
    <n v="84500"/>
    <n v="0"/>
    <n v="0"/>
    <n v="84500"/>
    <n v="0.15379999999999999"/>
    <n v="6"/>
    <n v="1.2816666666666671E-2"/>
    <n v="14721.79214263301"/>
    <n v="88330.752855798084"/>
    <n v="3830.7528557980841"/>
    <n v="845"/>
    <n v="2746.25"/>
    <x v="2"/>
    <n v="0"/>
    <n v="1929.5028557980841"/>
    <x v="2"/>
    <s v="Mar-2025"/>
    <x v="0"/>
    <x v="1"/>
    <x v="2"/>
    <n v="4675.7528557980841"/>
    <n v="2746.25"/>
    <n v="1929.5028557980841"/>
    <n v="2.2834353323054252E-2"/>
    <n v="0"/>
    <s v="OK"/>
  </r>
  <r>
    <s v="LN-0397"/>
    <s v="CUST-1397"/>
    <x v="3"/>
    <n v="77300"/>
    <n v="0.1"/>
    <n v="7730"/>
    <n v="69570"/>
    <n v="0.15970000000000001"/>
    <n v="9"/>
    <n v="1.330833333333333E-2"/>
    <n v="8253.4318762604526"/>
    <n v="74280.886886344073"/>
    <n v="4710.886886344073"/>
    <n v="695.7"/>
    <n v="3391.5374999999999"/>
    <x v="0"/>
    <n v="0"/>
    <n v="2015.049386344072"/>
    <x v="2"/>
    <s v="Jan-2025"/>
    <x v="0"/>
    <x v="1"/>
    <x v="2"/>
    <n v="5406.5868863440728"/>
    <n v="3391.5374999999999"/>
    <n v="2015.049386344072"/>
    <n v="2.8964343630071471E-2"/>
    <n v="0"/>
    <s v="OK"/>
  </r>
  <r>
    <s v="LN-0398"/>
    <s v="CUST-1398"/>
    <x v="3"/>
    <n v="50900"/>
    <n v="0.15"/>
    <n v="7635"/>
    <n v="43265"/>
    <n v="0.17349999999999999"/>
    <n v="24"/>
    <n v="1.445833333333333E-2"/>
    <n v="2146.4027109585918"/>
    <n v="51513.665063006207"/>
    <n v="8248.6650630062068"/>
    <n v="499"/>
    <n v="5624.45"/>
    <x v="2"/>
    <n v="0"/>
    <n v="3123.2150630062069"/>
    <x v="0"/>
    <s v="Jul-2025"/>
    <x v="0"/>
    <x v="1"/>
    <x v="0"/>
    <n v="8747.6650630062068"/>
    <n v="5624.45"/>
    <n v="3123.2150630062069"/>
    <n v="7.2188028730063719E-2"/>
    <n v="0"/>
    <s v="OK"/>
  </r>
  <r>
    <s v="LN-0399"/>
    <s v="CUST-1399"/>
    <x v="2"/>
    <n v="795000"/>
    <n v="0.2"/>
    <n v="159000"/>
    <n v="636000"/>
    <n v="0.1013"/>
    <n v="72"/>
    <n v="8.4416666666666668E-3"/>
    <n v="11824.16951440029"/>
    <n v="851340.20503682084"/>
    <n v="215340.20503682079"/>
    <n v="6360"/>
    <n v="248040"/>
    <x v="0"/>
    <n v="0"/>
    <n v="-26339.79496317916"/>
    <x v="3"/>
    <s v="Jul-2025"/>
    <x v="2"/>
    <x v="0"/>
    <x v="1"/>
    <n v="221700.20503682079"/>
    <n v="248040"/>
    <n v="-26339.79496317916"/>
    <n v="-4.141477195468421E-2"/>
    <n v="0"/>
    <s v="OK"/>
  </r>
  <r>
    <s v="LN-0400"/>
    <s v="CUST-1400"/>
    <x v="3"/>
    <n v="10900"/>
    <n v="0.05"/>
    <n v="545"/>
    <n v="10355"/>
    <n v="0.18779999999999999"/>
    <n v="3"/>
    <n v="1.5650000000000001E-2"/>
    <n v="3560.263040101574"/>
    <n v="10680.78912030472"/>
    <n v="325.7891203047202"/>
    <n v="499"/>
    <n v="168.26875000000001"/>
    <x v="1"/>
    <n v="4142"/>
    <n v="-3485.47962969528"/>
    <x v="2"/>
    <s v="Sep-2025"/>
    <x v="0"/>
    <x v="1"/>
    <x v="2"/>
    <n v="824.7891203047202"/>
    <n v="4310.2687500000002"/>
    <n v="-3485.47962969528"/>
    <n v="-0.33659870880688358"/>
    <n v="0.4"/>
    <s v="OK"/>
  </r>
  <r>
    <s v="LN-0401"/>
    <s v="CUST-1401"/>
    <x v="1"/>
    <n v="98000"/>
    <n v="0"/>
    <n v="0"/>
    <n v="98000"/>
    <n v="0.1386"/>
    <n v="9"/>
    <n v="1.155E-2"/>
    <n v="11527.349022252711"/>
    <n v="103746.1412002744"/>
    <n v="5746.1412002744037"/>
    <n v="980"/>
    <n v="4777.5"/>
    <x v="2"/>
    <n v="0"/>
    <n v="1948.6412002744039"/>
    <x v="1"/>
    <s v="May-2025"/>
    <x v="0"/>
    <x v="0"/>
    <x v="2"/>
    <n v="6726.1412002744037"/>
    <n v="4777.5"/>
    <n v="1948.6412002744039"/>
    <n v="1.9884093880351061E-2"/>
    <n v="0"/>
    <s v="OK"/>
  </r>
  <r>
    <s v="LN-0402"/>
    <s v="CUST-1402"/>
    <x v="1"/>
    <n v="123900"/>
    <n v="0.2"/>
    <n v="24780"/>
    <n v="99120"/>
    <n v="0.17899999999999999"/>
    <n v="9"/>
    <n v="1.491666666666667E-2"/>
    <n v="11850.955893970649"/>
    <n v="106658.6030457358"/>
    <n v="7538.6030457358283"/>
    <n v="991.2"/>
    <n v="4832.1000000000004"/>
    <x v="0"/>
    <n v="0"/>
    <n v="3697.7030457358292"/>
    <x v="2"/>
    <s v="Jun-2025"/>
    <x v="0"/>
    <x v="1"/>
    <x v="2"/>
    <n v="8529.8030457358291"/>
    <n v="4832.1000000000004"/>
    <n v="3697.7030457358292"/>
    <n v="3.7305317249150823E-2"/>
    <n v="0"/>
    <s v="OK"/>
  </r>
  <r>
    <s v="LN-0403"/>
    <s v="CUST-1403"/>
    <x v="2"/>
    <n v="1490700"/>
    <n v="0.3"/>
    <n v="447210"/>
    <n v="1043490"/>
    <n v="9.0200000000000002E-2"/>
    <n v="48"/>
    <n v="7.5166666666666672E-3"/>
    <n v="25977.20369362758"/>
    <n v="1246905.777294124"/>
    <n v="203415.77729412349"/>
    <n v="10434.9"/>
    <n v="271307.40000000002"/>
    <x v="0"/>
    <n v="0"/>
    <n v="-57456.722705876477"/>
    <x v="3"/>
    <s v="Oct-2025"/>
    <x v="2"/>
    <x v="2"/>
    <x v="1"/>
    <n v="213850.67729412351"/>
    <n v="271307.40000000002"/>
    <n v="-57456.722705876477"/>
    <n v="-5.5062073144808751E-2"/>
    <n v="0"/>
    <s v="OK"/>
  </r>
  <r>
    <s v="LN-0404"/>
    <s v="CUST-1404"/>
    <x v="3"/>
    <n v="86500"/>
    <n v="0"/>
    <n v="0"/>
    <n v="86500"/>
    <n v="0.21579999999999999"/>
    <n v="18"/>
    <n v="1.798333333333333E-2"/>
    <n v="5667.9334968385374"/>
    <n v="102022.8029430937"/>
    <n v="15522.802943093669"/>
    <n v="865"/>
    <n v="8433.75"/>
    <x v="0"/>
    <n v="0"/>
    <n v="7954.0529430936731"/>
    <x v="1"/>
    <s v="Aug-2025"/>
    <x v="0"/>
    <x v="1"/>
    <x v="0"/>
    <n v="16387.802943093669"/>
    <n v="8433.75"/>
    <n v="7954.0529430936731"/>
    <n v="9.1954369284319923E-2"/>
    <n v="0"/>
    <s v="OK"/>
  </r>
  <r>
    <s v="LN-0405"/>
    <s v="CUST-1405"/>
    <x v="1"/>
    <n v="46900"/>
    <n v="0.05"/>
    <n v="2345"/>
    <n v="44555"/>
    <n v="0.123"/>
    <n v="6"/>
    <n v="1.025E-2"/>
    <n v="7694.49889118584"/>
    <n v="46166.993347115043"/>
    <n v="1611.993347115043"/>
    <n v="499"/>
    <n v="1448.0374999999999"/>
    <x v="0"/>
    <n v="0"/>
    <n v="662.9558471150433"/>
    <x v="0"/>
    <s v="Sep-2025"/>
    <x v="0"/>
    <x v="0"/>
    <x v="2"/>
    <n v="2110.993347115043"/>
    <n v="1448.0374999999999"/>
    <n v="662.9558471150433"/>
    <n v="1.4879493819213181E-2"/>
    <n v="0"/>
    <s v="OK"/>
  </r>
  <r>
    <s v="LN-0406"/>
    <s v="CUST-1406"/>
    <x v="1"/>
    <n v="66500"/>
    <n v="0.1"/>
    <n v="6650"/>
    <n v="59850"/>
    <n v="0.1691"/>
    <n v="9"/>
    <n v="1.4091666666666671E-2"/>
    <n v="7127.2876215048409"/>
    <n v="64145.588593543573"/>
    <n v="4295.5885935435654"/>
    <n v="598.5"/>
    <n v="2917.6875"/>
    <x v="0"/>
    <n v="0"/>
    <n v="1976.4010935435649"/>
    <x v="3"/>
    <s v="Jan-2025"/>
    <x v="0"/>
    <x v="1"/>
    <x v="2"/>
    <n v="4894.0885935435654"/>
    <n v="2917.6875"/>
    <n v="1976.4010935435649"/>
    <n v="3.3022574662382037E-2"/>
    <n v="0"/>
    <s v="OK"/>
  </r>
  <r>
    <s v="LN-0407"/>
    <s v="CUST-1407"/>
    <x v="3"/>
    <n v="73700"/>
    <n v="0.15"/>
    <n v="11055"/>
    <n v="62645"/>
    <n v="0.21340000000000001"/>
    <n v="3"/>
    <n v="1.7783333333333338E-2"/>
    <n v="21628.72153967803"/>
    <n v="64886.164619034083"/>
    <n v="2241.164619034083"/>
    <n v="626.45000000000005"/>
    <n v="1017.98125"/>
    <x v="0"/>
    <n v="0"/>
    <n v="1849.633369034083"/>
    <x v="0"/>
    <s v="Jun-2025"/>
    <x v="0"/>
    <x v="1"/>
    <x v="2"/>
    <n v="2867.6146190340828"/>
    <n v="1017.98125"/>
    <n v="1849.633369034083"/>
    <n v="2.9525634432661561E-2"/>
    <n v="0"/>
    <s v="OK"/>
  </r>
  <r>
    <s v="LN-0408"/>
    <s v="CUST-1408"/>
    <x v="0"/>
    <n v="218900"/>
    <n v="0.15"/>
    <n v="32835"/>
    <n v="186065"/>
    <n v="0.1469"/>
    <n v="36"/>
    <n v="1.224166666666667E-2"/>
    <n v="6421.7939631226272"/>
    <n v="231184.5826724146"/>
    <n v="45119.582672414574"/>
    <n v="1860.65"/>
    <n v="36282.675000000003"/>
    <x v="2"/>
    <n v="0"/>
    <n v="10697.55767241457"/>
    <x v="1"/>
    <s v="Dec-2025"/>
    <x v="1"/>
    <x v="0"/>
    <x v="0"/>
    <n v="46980.232672414582"/>
    <n v="36282.675000000003"/>
    <n v="10697.55767241457"/>
    <n v="5.7493659056859547E-2"/>
    <n v="0"/>
    <s v="OK"/>
  </r>
  <r>
    <s v="LN-0409"/>
    <s v="CUST-1409"/>
    <x v="2"/>
    <n v="1271000"/>
    <n v="0.15"/>
    <n v="190650"/>
    <n v="1080350"/>
    <n v="0.1138"/>
    <n v="60"/>
    <n v="9.4833333333333332E-3"/>
    <n v="23694.681196563499"/>
    <n v="1421680.87179381"/>
    <n v="341330.87179380981"/>
    <n v="10803.5"/>
    <n v="351113.75"/>
    <x v="0"/>
    <n v="0"/>
    <n v="1020.621793809813"/>
    <x v="3"/>
    <s v="Apr-2025"/>
    <x v="2"/>
    <x v="0"/>
    <x v="1"/>
    <n v="352134.37179380981"/>
    <n v="351113.75"/>
    <n v="1020.621793809813"/>
    <n v="9.4471402213154305E-4"/>
    <n v="0"/>
    <s v="OK"/>
  </r>
  <r>
    <s v="LN-0410"/>
    <s v="CUST-1410"/>
    <x v="0"/>
    <n v="255500"/>
    <n v="0.1"/>
    <n v="25550"/>
    <n v="229950"/>
    <n v="0.1303"/>
    <n v="36"/>
    <n v="1.0858333333333329E-2"/>
    <n v="7751.2474284467326"/>
    <n v="279044.9074240824"/>
    <n v="49094.907424082397"/>
    <n v="2299.5"/>
    <n v="44840.25"/>
    <x v="2"/>
    <n v="0"/>
    <n v="6554.1574240823966"/>
    <x v="0"/>
    <s v="Dec-2025"/>
    <x v="1"/>
    <x v="0"/>
    <x v="0"/>
    <n v="51394.407424082397"/>
    <n v="44840.25"/>
    <n v="6554.1574240823966"/>
    <n v="2.8502532829234171E-2"/>
    <n v="0"/>
    <s v="OK"/>
  </r>
  <r>
    <s v="LN-0411"/>
    <s v="CUST-1411"/>
    <x v="2"/>
    <n v="830800"/>
    <n v="0.1"/>
    <n v="83080"/>
    <n v="747720"/>
    <n v="0.1148"/>
    <n v="84"/>
    <n v="9.566666666666666E-3"/>
    <n v="12992.27549675823"/>
    <n v="1091351.141727692"/>
    <n v="343631.14172769152"/>
    <n v="7477.2"/>
    <n v="340212.6"/>
    <x v="2"/>
    <n v="0"/>
    <n v="10895.741727691489"/>
    <x v="3"/>
    <s v="Oct-2025"/>
    <x v="2"/>
    <x v="0"/>
    <x v="1"/>
    <n v="351108.34172769153"/>
    <n v="340212.6"/>
    <n v="10895.741727691489"/>
    <n v="1.4571954378231821E-2"/>
    <n v="0"/>
    <s v="OK"/>
  </r>
  <r>
    <s v="LN-0412"/>
    <s v="CUST-1412"/>
    <x v="3"/>
    <n v="71300"/>
    <n v="0.05"/>
    <n v="3565"/>
    <n v="67735"/>
    <n v="0.21490000000000001"/>
    <n v="6"/>
    <n v="1.7908333333333339E-2"/>
    <n v="12007.226632710181"/>
    <n v="72043.359796261095"/>
    <n v="4308.3597962610947"/>
    <n v="677.35"/>
    <n v="2201.3874999999998"/>
    <x v="0"/>
    <n v="0"/>
    <n v="2784.3222962610948"/>
    <x v="1"/>
    <s v="Jun-2025"/>
    <x v="0"/>
    <x v="1"/>
    <x v="2"/>
    <n v="4985.7097962610951"/>
    <n v="2201.3874999999998"/>
    <n v="2784.3222962610948"/>
    <n v="4.1106109046447098E-2"/>
    <n v="0"/>
    <s v="OK"/>
  </r>
  <r>
    <s v="LN-0413"/>
    <s v="CUST-1413"/>
    <x v="2"/>
    <n v="584700"/>
    <n v="0.2"/>
    <n v="116940"/>
    <n v="467760"/>
    <n v="0.1116"/>
    <n v="36"/>
    <n v="9.300000000000001E-3"/>
    <n v="15349.328887612321"/>
    <n v="552575.83995404351"/>
    <n v="84815.839954043506"/>
    <n v="4677.6000000000004"/>
    <n v="91213.200000000012"/>
    <x v="0"/>
    <n v="0"/>
    <n v="-1719.7600459565001"/>
    <x v="3"/>
    <s v="Apr-2025"/>
    <x v="3"/>
    <x v="0"/>
    <x v="0"/>
    <n v="89493.439954043512"/>
    <n v="91213.200000000012"/>
    <n v="-1719.7600459565001"/>
    <n v="-3.676586381812254E-3"/>
    <n v="0"/>
    <s v="OK"/>
  </r>
  <r>
    <s v="LN-0414"/>
    <s v="CUST-1414"/>
    <x v="3"/>
    <n v="15600"/>
    <n v="0.2"/>
    <n v="3120"/>
    <n v="12480"/>
    <n v="0.1605"/>
    <n v="3"/>
    <n v="1.3375E-2"/>
    <n v="4271.7728202996404"/>
    <n v="12815.31846089892"/>
    <n v="335.31846089891769"/>
    <n v="499"/>
    <n v="202.8"/>
    <x v="1"/>
    <n v="4992"/>
    <n v="-4360.4815391010816"/>
    <x v="2"/>
    <s v="Aug-2025"/>
    <x v="0"/>
    <x v="1"/>
    <x v="2"/>
    <n v="834.31846089891769"/>
    <n v="5194.8"/>
    <n v="-4360.4815391010816"/>
    <n v="-0.34939755922284321"/>
    <n v="0.4"/>
    <s v="OK"/>
  </r>
  <r>
    <s v="LN-0415"/>
    <s v="CUST-1415"/>
    <x v="0"/>
    <n v="292600"/>
    <n v="0.2"/>
    <n v="58520"/>
    <n v="234080"/>
    <n v="0.17080000000000001"/>
    <n v="48"/>
    <n v="1.423333333333333E-2"/>
    <n v="6764.0805793740255"/>
    <n v="324675.86780995328"/>
    <n v="90595.867809953284"/>
    <n v="2340.8000000000002"/>
    <n v="60860.800000000003"/>
    <x v="0"/>
    <n v="0"/>
    <n v="32075.867809953281"/>
    <x v="2"/>
    <s v="Feb-2025"/>
    <x v="1"/>
    <x v="1"/>
    <x v="1"/>
    <n v="92936.667809953287"/>
    <n v="60860.800000000003"/>
    <n v="32075.867809953281"/>
    <n v="0.1370295104663076"/>
    <n v="0"/>
    <s v="OK"/>
  </r>
  <r>
    <s v="LN-0416"/>
    <s v="CUST-1416"/>
    <x v="2"/>
    <n v="1267600"/>
    <n v="0.15"/>
    <n v="190140"/>
    <n v="1077460"/>
    <n v="0.1023"/>
    <n v="48"/>
    <n v="8.5249999999999996E-3"/>
    <n v="27446.33500726063"/>
    <n v="1317424.0803485101"/>
    <n v="239964.08034851009"/>
    <n v="10774.6"/>
    <n v="280139.59999999998"/>
    <x v="0"/>
    <n v="0"/>
    <n v="-29400.91965148997"/>
    <x v="0"/>
    <s v="May-2025"/>
    <x v="2"/>
    <x v="0"/>
    <x v="1"/>
    <n v="250738.6803485101"/>
    <n v="280139.59999999998"/>
    <n v="-29400.91965148997"/>
    <n v="-2.728724931922296E-2"/>
    <n v="0"/>
    <s v="OK"/>
  </r>
  <r>
    <s v="LN-0417"/>
    <s v="CUST-1417"/>
    <x v="3"/>
    <n v="37200"/>
    <n v="0"/>
    <n v="0"/>
    <n v="37200"/>
    <n v="0.1484"/>
    <n v="9"/>
    <n v="1.236666666666667E-2"/>
    <n v="4393.098595334397"/>
    <n v="39537.887358009582"/>
    <n v="2337.8873580095751"/>
    <n v="499"/>
    <n v="1813.5"/>
    <x v="0"/>
    <n v="0"/>
    <n v="1023.387358009575"/>
    <x v="1"/>
    <s v="Dec-2025"/>
    <x v="0"/>
    <x v="0"/>
    <x v="2"/>
    <n v="2836.8873580095751"/>
    <n v="1813.5"/>
    <n v="1023.387358009575"/>
    <n v="2.7510412849719761E-2"/>
    <n v="0"/>
    <s v="OK"/>
  </r>
  <r>
    <s v="LN-0418"/>
    <s v="CUST-1418"/>
    <x v="3"/>
    <n v="113500"/>
    <n v="0.15"/>
    <n v="17025"/>
    <n v="96475"/>
    <n v="0.21820000000000001"/>
    <n v="9"/>
    <n v="1.8183333333333329E-2"/>
    <n v="11717.426024944591"/>
    <n v="105456.8342245013"/>
    <n v="8981.8342245013191"/>
    <n v="964.75"/>
    <n v="4703.15625"/>
    <x v="0"/>
    <n v="0"/>
    <n v="5243.4279745013191"/>
    <x v="2"/>
    <s v="Dec-2025"/>
    <x v="0"/>
    <x v="1"/>
    <x v="2"/>
    <n v="9946.5842245013191"/>
    <n v="4703.15625"/>
    <n v="5243.4279745013191"/>
    <n v="5.4350121528907169E-2"/>
    <n v="0"/>
    <s v="OK"/>
  </r>
  <r>
    <s v="LN-0419"/>
    <s v="CUST-1419"/>
    <x v="3"/>
    <n v="113600"/>
    <n v="0"/>
    <n v="0"/>
    <n v="113600"/>
    <n v="0.1532"/>
    <n v="12"/>
    <n v="1.2766666666666669E-2"/>
    <n v="10270.505572960939"/>
    <n v="123246.06687553129"/>
    <n v="9646.0668755313091"/>
    <n v="1136"/>
    <n v="7384"/>
    <x v="1"/>
    <n v="45440"/>
    <n v="-42041.933124468691"/>
    <x v="3"/>
    <s v="Apr-2025"/>
    <x v="1"/>
    <x v="1"/>
    <x v="2"/>
    <n v="10782.066875531311"/>
    <n v="52824"/>
    <n v="-42041.933124468691"/>
    <n v="-0.37008743947595679"/>
    <n v="0.4"/>
    <s v="OK"/>
  </r>
  <r>
    <s v="LN-0420"/>
    <s v="CUST-1420"/>
    <x v="2"/>
    <n v="850200"/>
    <n v="0.2"/>
    <n v="170040"/>
    <n v="680160"/>
    <n v="0.1016"/>
    <n v="84"/>
    <n v="8.4666666666666657E-3"/>
    <n v="11347.770626192931"/>
    <n v="953212.73260020616"/>
    <n v="273052.73260020622"/>
    <n v="6801.6"/>
    <n v="309472.8"/>
    <x v="0"/>
    <n v="0"/>
    <n v="-29618.467399793852"/>
    <x v="3"/>
    <s v="Apr-2025"/>
    <x v="2"/>
    <x v="0"/>
    <x v="1"/>
    <n v="279854.33260020608"/>
    <n v="309472.8"/>
    <n v="-29618.467399793852"/>
    <n v="-4.3546323511811709E-2"/>
    <n v="0"/>
    <s v="OK"/>
  </r>
  <r>
    <s v="LN-0421"/>
    <s v="CUST-1421"/>
    <x v="3"/>
    <n v="52000"/>
    <n v="0"/>
    <n v="0"/>
    <n v="52000"/>
    <n v="0.184"/>
    <n v="12"/>
    <n v="1.5333333333333331E-2"/>
    <n v="4777.2642223375942"/>
    <n v="57327.170668051127"/>
    <n v="5327.170668051127"/>
    <n v="520"/>
    <n v="3380"/>
    <x v="1"/>
    <n v="20800"/>
    <n v="-18332.829331948869"/>
    <x v="0"/>
    <s v="Jul-2025"/>
    <x v="0"/>
    <x v="1"/>
    <x v="2"/>
    <n v="5847.170668051127"/>
    <n v="24180"/>
    <n v="-18332.829331948869"/>
    <n v="-0.35255441022978601"/>
    <n v="0.4"/>
    <s v="OK"/>
  </r>
  <r>
    <s v="LN-0422"/>
    <s v="CUST-1422"/>
    <x v="3"/>
    <n v="100300"/>
    <n v="0"/>
    <n v="0"/>
    <n v="100300"/>
    <n v="0.19"/>
    <n v="12"/>
    <n v="1.5833333333333331E-2"/>
    <n v="9243.3047959937703"/>
    <n v="110919.65755192529"/>
    <n v="10619.657551925249"/>
    <n v="1003"/>
    <n v="6519.5"/>
    <x v="1"/>
    <n v="40120"/>
    <n v="-35016.842448074749"/>
    <x v="1"/>
    <s v="Mar-2025"/>
    <x v="1"/>
    <x v="1"/>
    <x v="2"/>
    <n v="11622.657551925249"/>
    <n v="46639.5"/>
    <n v="-35016.842448074749"/>
    <n v="-0.34912106129685688"/>
    <n v="0.4"/>
    <s v="OK"/>
  </r>
  <r>
    <s v="LN-0423"/>
    <s v="CUST-1423"/>
    <x v="0"/>
    <n v="294500"/>
    <n v="0.15"/>
    <n v="44175"/>
    <n v="250325"/>
    <n v="0.13789999999999999"/>
    <n v="12"/>
    <n v="1.1491666666666671E-2"/>
    <n v="22451.233341666921"/>
    <n v="269414.80010000302"/>
    <n v="19089.80010000302"/>
    <n v="2503.25"/>
    <n v="16271.125"/>
    <x v="0"/>
    <n v="0"/>
    <n v="5321.9251000030199"/>
    <x v="2"/>
    <s v="Aug-2025"/>
    <x v="3"/>
    <x v="0"/>
    <x v="2"/>
    <n v="21593.05010000302"/>
    <n v="16271.125"/>
    <n v="5321.9251000030199"/>
    <n v="2.126006231899738E-2"/>
    <n v="0"/>
    <s v="OK"/>
  </r>
  <r>
    <s v="LN-0424"/>
    <s v="CUST-1424"/>
    <x v="2"/>
    <n v="691500"/>
    <n v="0.15"/>
    <n v="103725"/>
    <n v="587775"/>
    <n v="0.1043"/>
    <n v="72"/>
    <n v="8.691666666666667E-3"/>
    <n v="11016.90914190446"/>
    <n v="793217.45821712108"/>
    <n v="205442.45821712111"/>
    <n v="5877.75"/>
    <n v="229232.25"/>
    <x v="0"/>
    <n v="0"/>
    <n v="-17912.041782878921"/>
    <x v="2"/>
    <s v="Jun-2025"/>
    <x v="2"/>
    <x v="0"/>
    <x v="1"/>
    <n v="211320.20821712111"/>
    <n v="229232.25"/>
    <n v="-17912.041782878921"/>
    <n v="-3.0474317184090719E-2"/>
    <n v="0"/>
    <s v="OK"/>
  </r>
  <r>
    <s v="LN-0425"/>
    <s v="CUST-1425"/>
    <x v="3"/>
    <n v="13000"/>
    <n v="0"/>
    <n v="0"/>
    <n v="13000"/>
    <n v="0.17519999999999999"/>
    <n v="9"/>
    <n v="1.46E-2"/>
    <n v="1551.9261157886201"/>
    <n v="13967.33504209758"/>
    <n v="967.33504209757666"/>
    <n v="499"/>
    <n v="633.75"/>
    <x v="0"/>
    <n v="0"/>
    <n v="832.58504209757666"/>
    <x v="0"/>
    <s v="Mar-2025"/>
    <x v="0"/>
    <x v="1"/>
    <x v="2"/>
    <n v="1466.3350420975769"/>
    <n v="633.75"/>
    <n v="832.58504209757666"/>
    <n v="6.4045003238275125E-2"/>
    <n v="0"/>
    <s v="OK"/>
  </r>
  <r>
    <s v="LN-0426"/>
    <s v="CUST-1426"/>
    <x v="0"/>
    <n v="220200"/>
    <n v="0.25"/>
    <n v="55050"/>
    <n v="165150"/>
    <n v="0.1069"/>
    <n v="36"/>
    <n v="8.9083333333333323E-3"/>
    <n v="5382.5865907727621"/>
    <n v="193773.11726781941"/>
    <n v="28623.117267819442"/>
    <n v="1651.5"/>
    <n v="32204.25"/>
    <x v="0"/>
    <n v="0"/>
    <n v="-1929.6327321805579"/>
    <x v="1"/>
    <s v="Sep-2025"/>
    <x v="1"/>
    <x v="0"/>
    <x v="0"/>
    <n v="30274.617267819442"/>
    <n v="32204.25"/>
    <n v="-1929.6327321805579"/>
    <n v="-1.168412190239515E-2"/>
    <n v="0"/>
    <s v="OK"/>
  </r>
  <r>
    <s v="LN-0427"/>
    <s v="CUST-1427"/>
    <x v="3"/>
    <n v="51400"/>
    <n v="0.2"/>
    <n v="10280"/>
    <n v="41120"/>
    <n v="0.18179999999999999"/>
    <n v="18"/>
    <n v="1.515E-2"/>
    <n v="2627.2233997908638"/>
    <n v="47290.021196235553"/>
    <n v="6170.0211962355461"/>
    <n v="499"/>
    <n v="4009.2"/>
    <x v="0"/>
    <n v="0"/>
    <n v="2659.8211962355458"/>
    <x v="2"/>
    <s v="Oct-2025"/>
    <x v="0"/>
    <x v="1"/>
    <x v="0"/>
    <n v="6669.0211962355461"/>
    <n v="4009.2"/>
    <n v="2659.8211962355458"/>
    <n v="6.4684367612732149E-2"/>
    <n v="0"/>
    <s v="OK"/>
  </r>
  <r>
    <s v="LN-0428"/>
    <s v="CUST-1428"/>
    <x v="2"/>
    <n v="923900"/>
    <n v="0.3"/>
    <n v="277170"/>
    <n v="646730"/>
    <n v="8.7400000000000005E-2"/>
    <n v="36"/>
    <n v="7.2833333333333326E-3"/>
    <n v="20487.671403919601"/>
    <n v="737556.17054110568"/>
    <n v="90826.170541105676"/>
    <n v="6467.3"/>
    <n v="126112.35"/>
    <x v="0"/>
    <n v="0"/>
    <n v="-28818.879458894331"/>
    <x v="1"/>
    <s v="Feb-2025"/>
    <x v="2"/>
    <x v="2"/>
    <x v="0"/>
    <n v="97293.470541105678"/>
    <n v="126112.35"/>
    <n v="-28818.879458894331"/>
    <n v="-4.4560913300595813E-2"/>
    <n v="0"/>
    <s v="OK"/>
  </r>
  <r>
    <s v="LN-0429"/>
    <s v="CUST-1429"/>
    <x v="2"/>
    <n v="893900"/>
    <n v="0.15"/>
    <n v="134085"/>
    <n v="759815"/>
    <n v="0.1135"/>
    <n v="48"/>
    <n v="9.4583333333333342E-3"/>
    <n v="19767.211903578889"/>
    <n v="948826.17137178686"/>
    <n v="189011.17137178691"/>
    <n v="7598.1500000000005"/>
    <n v="197551.9"/>
    <x v="0"/>
    <n v="0"/>
    <n v="-942.57862821314484"/>
    <x v="1"/>
    <s v="Jan-2025"/>
    <x v="2"/>
    <x v="0"/>
    <x v="1"/>
    <n v="196609.32137178679"/>
    <n v="197551.9"/>
    <n v="-942.57862821314484"/>
    <n v="-1.240537009947349E-3"/>
    <n v="0"/>
    <s v="OK"/>
  </r>
  <r>
    <s v="LN-0430"/>
    <s v="CUST-1430"/>
    <x v="1"/>
    <n v="148500"/>
    <n v="0.05"/>
    <n v="7425"/>
    <n v="141075"/>
    <n v="0.15479999999999999"/>
    <n v="36"/>
    <n v="1.29E-2"/>
    <n v="4923.6370917579889"/>
    <n v="177250.93530328761"/>
    <n v="36175.93530328761"/>
    <n v="1410.75"/>
    <n v="27509.625"/>
    <x v="0"/>
    <n v="0"/>
    <n v="10077.06030328761"/>
    <x v="3"/>
    <s v="Jun-2025"/>
    <x v="1"/>
    <x v="1"/>
    <x v="0"/>
    <n v="37586.68530328761"/>
    <n v="27509.625"/>
    <n v="10077.06030328761"/>
    <n v="7.1430517832979684E-2"/>
    <n v="0"/>
    <s v="OK"/>
  </r>
  <r>
    <s v="LN-0431"/>
    <s v="CUST-1431"/>
    <x v="2"/>
    <n v="1405600"/>
    <n v="0.3"/>
    <n v="421680"/>
    <n v="983920"/>
    <n v="8.6999999999999994E-2"/>
    <n v="72"/>
    <n v="7.2500000000000004E-3"/>
    <n v="17589.542780245949"/>
    <n v="1266447.0801777081"/>
    <n v="282527.0801777083"/>
    <n v="9839.2000000000007"/>
    <n v="383728.8"/>
    <x v="0"/>
    <n v="0"/>
    <n v="-91362.519822291739"/>
    <x v="3"/>
    <s v="May-2025"/>
    <x v="2"/>
    <x v="2"/>
    <x v="1"/>
    <n v="292366.28017770831"/>
    <n v="383728.8"/>
    <n v="-91362.519822291739"/>
    <n v="-9.2855638489198047E-2"/>
    <n v="0"/>
    <s v="OK"/>
  </r>
  <r>
    <s v="LN-0432"/>
    <s v="CUST-1432"/>
    <x v="1"/>
    <n v="139600"/>
    <n v="0.2"/>
    <n v="27920"/>
    <n v="111680"/>
    <n v="0.121"/>
    <n v="36"/>
    <n v="1.008333333333333E-2"/>
    <n v="3714.7104378442982"/>
    <n v="133729.5757623947"/>
    <n v="22049.575762394728"/>
    <n v="1116.8"/>
    <n v="21777.599999999999"/>
    <x v="0"/>
    <n v="0"/>
    <n v="1388.7757623947291"/>
    <x v="2"/>
    <s v="Feb-2025"/>
    <x v="1"/>
    <x v="0"/>
    <x v="0"/>
    <n v="23166.375762394731"/>
    <n v="21777.599999999999"/>
    <n v="1388.7757623947291"/>
    <n v="1.243531305869206E-2"/>
    <n v="0"/>
    <s v="OK"/>
  </r>
  <r>
    <s v="LN-0433"/>
    <s v="CUST-1433"/>
    <x v="1"/>
    <n v="43500"/>
    <n v="0"/>
    <n v="0"/>
    <n v="43500"/>
    <n v="0.16700000000000001"/>
    <n v="6"/>
    <n v="1.3916666666666669E-2"/>
    <n v="7607.2020921453623"/>
    <n v="45643.212552872174"/>
    <n v="2143.212552872174"/>
    <n v="499"/>
    <n v="1413.75"/>
    <x v="0"/>
    <n v="0"/>
    <n v="1228.462552872174"/>
    <x v="0"/>
    <s v="May-2025"/>
    <x v="0"/>
    <x v="1"/>
    <x v="2"/>
    <n v="2642.212552872174"/>
    <n v="1413.75"/>
    <n v="1228.462552872174"/>
    <n v="2.8240518456831579E-2"/>
    <n v="0"/>
    <s v="OK"/>
  </r>
  <r>
    <s v="LN-0434"/>
    <s v="CUST-1434"/>
    <x v="2"/>
    <n v="1368100"/>
    <n v="0.25"/>
    <n v="342025"/>
    <n v="1026075"/>
    <n v="0.1113"/>
    <n v="60"/>
    <n v="9.2750000000000003E-3"/>
    <n v="22375.93701158926"/>
    <n v="1342556.2206953559"/>
    <n v="316481.22069535591"/>
    <n v="10260.75"/>
    <n v="333474.375"/>
    <x v="0"/>
    <n v="0"/>
    <n v="-6732.4043046440929"/>
    <x v="2"/>
    <s v="Jan-2025"/>
    <x v="2"/>
    <x v="0"/>
    <x v="1"/>
    <n v="326741.97069535591"/>
    <n v="333474.375"/>
    <n v="-6732.4043046440929"/>
    <n v="-6.5613179393748926E-3"/>
    <n v="0"/>
    <s v="OK"/>
  </r>
  <r>
    <s v="LN-0435"/>
    <s v="CUST-1435"/>
    <x v="3"/>
    <n v="53100"/>
    <n v="0.2"/>
    <n v="10620"/>
    <n v="42480"/>
    <n v="0.1895"/>
    <n v="24"/>
    <n v="1.5791666666666669E-2"/>
    <n v="2140.3262519627519"/>
    <n v="51367.830047106057"/>
    <n v="8887.8300471060575"/>
    <n v="499"/>
    <n v="5522.4000000000005"/>
    <x v="0"/>
    <n v="0"/>
    <n v="3864.4300471060569"/>
    <x v="2"/>
    <s v="Jun-2025"/>
    <x v="0"/>
    <x v="1"/>
    <x v="0"/>
    <n v="9386.8300471060575"/>
    <n v="5522.4000000000005"/>
    <n v="3864.4300471060569"/>
    <n v="9.0970575496846909E-2"/>
    <n v="0"/>
    <s v="OK"/>
  </r>
  <r>
    <s v="LN-0436"/>
    <s v="CUST-1436"/>
    <x v="0"/>
    <n v="71800"/>
    <n v="0.15"/>
    <n v="10770"/>
    <n v="61030"/>
    <n v="0.13800000000000001"/>
    <n v="36"/>
    <n v="1.15E-2"/>
    <n v="2079.9373123493779"/>
    <n v="74877.743244577621"/>
    <n v="13847.743244577619"/>
    <n v="610.30000000000007"/>
    <n v="11900.85"/>
    <x v="1"/>
    <n v="24412"/>
    <n v="-21854.806755422382"/>
    <x v="3"/>
    <s v="May-2025"/>
    <x v="0"/>
    <x v="0"/>
    <x v="0"/>
    <n v="14458.04324457762"/>
    <n v="36312.85"/>
    <n v="-21854.806755422382"/>
    <n v="-0.35809940611866919"/>
    <n v="0.4"/>
    <s v="OK"/>
  </r>
  <r>
    <s v="LN-0437"/>
    <s v="CUST-1437"/>
    <x v="3"/>
    <n v="63100"/>
    <n v="0"/>
    <n v="0"/>
    <n v="63100"/>
    <n v="0.19570000000000001"/>
    <n v="3"/>
    <n v="1.6308333333333331E-2"/>
    <n v="21723.069685477541"/>
    <n v="65169.209056432614"/>
    <n v="2069.209056432614"/>
    <n v="631"/>
    <n v="1025.375"/>
    <x v="2"/>
    <n v="0"/>
    <n v="1674.834056432614"/>
    <x v="2"/>
    <s v="Jun-2025"/>
    <x v="0"/>
    <x v="1"/>
    <x v="2"/>
    <n v="2700.209056432614"/>
    <n v="1025.375"/>
    <n v="1674.834056432614"/>
    <n v="2.6542536552022399E-2"/>
    <n v="0"/>
    <s v="OK"/>
  </r>
  <r>
    <s v="LN-0438"/>
    <s v="CUST-1438"/>
    <x v="3"/>
    <n v="54700"/>
    <n v="0.1"/>
    <n v="5470"/>
    <n v="49230"/>
    <n v="0.19159999999999999"/>
    <n v="6"/>
    <n v="1.5966666666666671E-2"/>
    <n v="8669.5745203508559"/>
    <n v="52017.447122105143"/>
    <n v="2787.4471221051349"/>
    <n v="499"/>
    <n v="1599.9749999999999"/>
    <x v="2"/>
    <n v="0"/>
    <n v="1686.472122105135"/>
    <x v="2"/>
    <s v="Dec-2025"/>
    <x v="0"/>
    <x v="1"/>
    <x v="2"/>
    <n v="3286.4471221051349"/>
    <n v="1599.9749999999999"/>
    <n v="1686.472122105135"/>
    <n v="3.4257000245889402E-2"/>
    <n v="0"/>
    <s v="OK"/>
  </r>
  <r>
    <s v="LN-0439"/>
    <s v="CUST-1439"/>
    <x v="1"/>
    <n v="89600"/>
    <n v="0.2"/>
    <n v="17920"/>
    <n v="71680"/>
    <n v="0.14990000000000001"/>
    <n v="6"/>
    <n v="1.249166666666667E-2"/>
    <n v="12474.387883445201"/>
    <n v="74846.327300671197"/>
    <n v="3166.327300671197"/>
    <n v="716.80000000000007"/>
    <n v="2329.6"/>
    <x v="0"/>
    <n v="0"/>
    <n v="1553.5273006711971"/>
    <x v="0"/>
    <s v="May-2025"/>
    <x v="0"/>
    <x v="0"/>
    <x v="2"/>
    <n v="3883.1273006711972"/>
    <n v="2329.6"/>
    <n v="1553.5273006711971"/>
    <n v="2.167309292231023E-2"/>
    <n v="0"/>
    <s v="OK"/>
  </r>
  <r>
    <s v="LN-0440"/>
    <s v="CUST-1440"/>
    <x v="0"/>
    <n v="156800"/>
    <n v="0.25"/>
    <n v="39200"/>
    <n v="117600"/>
    <n v="0.16239999999999999"/>
    <n v="60"/>
    <n v="1.353333333333333E-2"/>
    <n v="2874.8214755370341"/>
    <n v="172489.28853222201"/>
    <n v="54889.28853222201"/>
    <n v="1176"/>
    <n v="38220"/>
    <x v="1"/>
    <n v="47040"/>
    <n v="-29194.71146777799"/>
    <x v="1"/>
    <s v="Apr-2025"/>
    <x v="1"/>
    <x v="1"/>
    <x v="1"/>
    <n v="56065.28853222201"/>
    <n v="85260"/>
    <n v="-29194.71146777799"/>
    <n v="-0.2482543492157992"/>
    <n v="0.4"/>
    <s v="OK"/>
  </r>
  <r>
    <s v="LN-0441"/>
    <s v="CUST-1441"/>
    <x v="2"/>
    <n v="674400"/>
    <n v="0.15"/>
    <n v="101160"/>
    <n v="573240"/>
    <n v="9.8699999999999996E-2"/>
    <n v="60"/>
    <n v="8.2249999999999997E-3"/>
    <n v="12143.020850556741"/>
    <n v="728581.25103340461"/>
    <n v="155341.25103340461"/>
    <n v="5732.4000000000005"/>
    <n v="186303"/>
    <x v="2"/>
    <n v="0"/>
    <n v="-25229.3489665954"/>
    <x v="2"/>
    <s v="Sep-2025"/>
    <x v="2"/>
    <x v="2"/>
    <x v="1"/>
    <n v="161073.6510334046"/>
    <n v="186303"/>
    <n v="-25229.3489665954"/>
    <n v="-4.4011843148760367E-2"/>
    <n v="0"/>
    <s v="OK"/>
  </r>
  <r>
    <s v="LN-0442"/>
    <s v="CUST-1442"/>
    <x v="1"/>
    <n v="140400"/>
    <n v="0.1"/>
    <n v="14040"/>
    <n v="126360"/>
    <n v="0.17449999999999999"/>
    <n v="9"/>
    <n v="1.454166666666667E-2"/>
    <n v="15080.469538371741"/>
    <n v="135724.2258453457"/>
    <n v="9364.2258453456743"/>
    <n v="1263.5999999999999"/>
    <n v="6160.0499999999993"/>
    <x v="0"/>
    <n v="0"/>
    <n v="4467.7758453456754"/>
    <x v="2"/>
    <s v="Mar-2025"/>
    <x v="1"/>
    <x v="1"/>
    <x v="2"/>
    <n v="10627.825845345669"/>
    <n v="6160.0499999999993"/>
    <n v="4467.7758453456754"/>
    <n v="3.5357516978044283E-2"/>
    <n v="0"/>
    <s v="OK"/>
  </r>
  <r>
    <s v="LN-0443"/>
    <s v="CUST-1443"/>
    <x v="2"/>
    <n v="922000"/>
    <n v="0.15"/>
    <n v="138300"/>
    <n v="783700"/>
    <n v="0.10150000000000001"/>
    <n v="60"/>
    <n v="8.4583333333333333E-3"/>
    <n v="16709.209751832739"/>
    <n v="1002552.585109964"/>
    <n v="218852.5851099641"/>
    <n v="7837"/>
    <n v="254702.5"/>
    <x v="0"/>
    <n v="0"/>
    <n v="-28012.91489003587"/>
    <x v="3"/>
    <s v="Dec-2025"/>
    <x v="2"/>
    <x v="0"/>
    <x v="1"/>
    <n v="226689.5851099641"/>
    <n v="254702.5"/>
    <n v="-28012.91489003587"/>
    <n v="-3.5744436506361957E-2"/>
    <n v="0"/>
    <s v="OK"/>
  </r>
  <r>
    <s v="LN-0444"/>
    <s v="CUST-1444"/>
    <x v="2"/>
    <n v="499400"/>
    <n v="0.15"/>
    <n v="74910"/>
    <n v="424490"/>
    <n v="8.5800000000000001E-2"/>
    <n v="36"/>
    <n v="7.1500000000000001E-3"/>
    <n v="13415.845115780039"/>
    <n v="482970.42416808137"/>
    <n v="58480.424168081372"/>
    <n v="4244.8999999999996"/>
    <n v="82775.55"/>
    <x v="0"/>
    <n v="0"/>
    <n v="-20050.225831918629"/>
    <x v="1"/>
    <s v="Apr-2025"/>
    <x v="3"/>
    <x v="2"/>
    <x v="0"/>
    <n v="62725.324168081374"/>
    <n v="82775.55"/>
    <n v="-20050.225831918629"/>
    <n v="-4.7233682376307172E-2"/>
    <n v="0"/>
    <s v="OK"/>
  </r>
  <r>
    <s v="LN-0445"/>
    <s v="CUST-1445"/>
    <x v="0"/>
    <n v="222600"/>
    <n v="0.25"/>
    <n v="55650"/>
    <n v="166950"/>
    <n v="0.1215"/>
    <n v="48"/>
    <n v="1.0125E-2"/>
    <n v="4408.7395115941854"/>
    <n v="211619.4965565209"/>
    <n v="44669.496556520899"/>
    <n v="1669.5"/>
    <n v="43407"/>
    <x v="1"/>
    <n v="66780"/>
    <n v="-63848.003443479101"/>
    <x v="0"/>
    <s v="Aug-2025"/>
    <x v="1"/>
    <x v="0"/>
    <x v="1"/>
    <n v="46338.996556520899"/>
    <n v="110187"/>
    <n v="-63848.003443479101"/>
    <n v="-0.38243787627121362"/>
    <n v="0.4"/>
    <s v="OK"/>
  </r>
  <r>
    <s v="LN-0446"/>
    <s v="CUST-1446"/>
    <x v="2"/>
    <n v="1112100"/>
    <n v="0.15"/>
    <n v="166815"/>
    <n v="945285"/>
    <n v="0.10299999999999999"/>
    <n v="36"/>
    <n v="8.5833333333333334E-3"/>
    <n v="30635.003123559491"/>
    <n v="1102860.1124481419"/>
    <n v="157575.11244814171"/>
    <n v="9452.85"/>
    <n v="184330.57500000001"/>
    <x v="2"/>
    <n v="0"/>
    <n v="-17302.612551858329"/>
    <x v="3"/>
    <s v="Dec-2025"/>
    <x v="2"/>
    <x v="0"/>
    <x v="0"/>
    <n v="167027.96244814171"/>
    <n v="184330.57500000001"/>
    <n v="-17302.612551858329"/>
    <n v="-1.830412262107018E-2"/>
    <n v="0"/>
    <s v="OK"/>
  </r>
  <r>
    <s v="LN-0447"/>
    <s v="CUST-1447"/>
    <x v="2"/>
    <n v="1107000"/>
    <n v="0.2"/>
    <n v="221400"/>
    <n v="885600"/>
    <n v="9.7699999999999995E-2"/>
    <n v="72"/>
    <n v="8.1416666666666668E-3"/>
    <n v="16303.95189141877"/>
    <n v="1173884.5361821509"/>
    <n v="288284.53618215141"/>
    <n v="8856"/>
    <n v="345384"/>
    <x v="0"/>
    <n v="0"/>
    <n v="-48243.463817848591"/>
    <x v="1"/>
    <s v="Aug-2025"/>
    <x v="2"/>
    <x v="2"/>
    <x v="1"/>
    <n v="297140.53618215141"/>
    <n v="345384"/>
    <n v="-48243.463817848591"/>
    <n v="-5.4475455982213858E-2"/>
    <n v="0"/>
    <s v="OK"/>
  </r>
  <r>
    <s v="LN-0448"/>
    <s v="CUST-1448"/>
    <x v="3"/>
    <n v="66300"/>
    <n v="0"/>
    <n v="0"/>
    <n v="66300"/>
    <n v="0.18990000000000001"/>
    <n v="18"/>
    <n v="1.5824999999999999E-2"/>
    <n v="4261.677676452533"/>
    <n v="76710.198176145597"/>
    <n v="10410.198176145601"/>
    <n v="663"/>
    <n v="6464.25"/>
    <x v="1"/>
    <n v="26520"/>
    <n v="-21911.051823854399"/>
    <x v="3"/>
    <s v="Sep-2025"/>
    <x v="0"/>
    <x v="1"/>
    <x v="0"/>
    <n v="11073.198176145601"/>
    <n v="32984.25"/>
    <n v="-21911.051823854399"/>
    <n v="-0.33048343625723081"/>
    <n v="0.4"/>
    <s v="OK"/>
  </r>
  <r>
    <s v="LN-0449"/>
    <s v="CUST-1449"/>
    <x v="0"/>
    <n v="206200"/>
    <n v="0.2"/>
    <n v="41240"/>
    <n v="164960"/>
    <n v="0.1239"/>
    <n v="12"/>
    <n v="1.0325000000000001E-2"/>
    <n v="14686.60940615586"/>
    <n v="176239.31287387031"/>
    <n v="11279.31287387028"/>
    <n v="1649.6"/>
    <n v="10722.4"/>
    <x v="1"/>
    <n v="65984"/>
    <n v="-63777.487126129723"/>
    <x v="3"/>
    <s v="Nov-2025"/>
    <x v="1"/>
    <x v="0"/>
    <x v="2"/>
    <n v="12928.91287387028"/>
    <n v="76706.399999999994"/>
    <n v="-63777.487126129723"/>
    <n v="-0.38662395202551958"/>
    <n v="0.4"/>
    <s v="OK"/>
  </r>
  <r>
    <s v="LN-0450"/>
    <s v="CUST-1450"/>
    <x v="1"/>
    <n v="59600"/>
    <n v="0.1"/>
    <n v="5960"/>
    <n v="53640"/>
    <n v="0.17249999999999999"/>
    <n v="36"/>
    <n v="1.4375000000000001E-2"/>
    <n v="1919.092905863539"/>
    <n v="69087.344611087407"/>
    <n v="15447.34461108741"/>
    <n v="536.4"/>
    <n v="10459.799999999999"/>
    <x v="2"/>
    <n v="0"/>
    <n v="5523.9446110874069"/>
    <x v="1"/>
    <s v="Jan-2025"/>
    <x v="0"/>
    <x v="1"/>
    <x v="0"/>
    <n v="15983.74461108741"/>
    <n v="10459.799999999999"/>
    <n v="5523.9446110874069"/>
    <n v="0.10298181601579801"/>
    <n v="0"/>
    <s v="OK"/>
  </r>
  <r>
    <s v="LN-0451"/>
    <s v="CUST-1451"/>
    <x v="2"/>
    <n v="1282600"/>
    <n v="0.15"/>
    <n v="192390"/>
    <n v="1090210"/>
    <n v="0.10299999999999999"/>
    <n v="60"/>
    <n v="8.5833333333333334E-3"/>
    <n v="23324.996911128699"/>
    <n v="1399499.814667722"/>
    <n v="309289.81466772221"/>
    <n v="10902.1"/>
    <n v="354318.25000000012"/>
    <x v="0"/>
    <n v="0"/>
    <n v="-34126.335332277871"/>
    <x v="2"/>
    <s v="May-2025"/>
    <x v="2"/>
    <x v="0"/>
    <x v="1"/>
    <n v="320191.91466772219"/>
    <n v="354318.25000000012"/>
    <n v="-34126.335332277871"/>
    <n v="-3.13025337616403E-2"/>
    <n v="0"/>
    <s v="OK"/>
  </r>
  <r>
    <s v="LN-0452"/>
    <s v="CUST-1452"/>
    <x v="3"/>
    <n v="54900"/>
    <n v="0.15"/>
    <n v="8235"/>
    <n v="46665"/>
    <n v="0.1711"/>
    <n v="3"/>
    <n v="1.4258333333333329E-2"/>
    <n v="16000.67001328496"/>
    <n v="48002.010039854868"/>
    <n v="1337.010039854868"/>
    <n v="499"/>
    <n v="758.30624999999998"/>
    <x v="0"/>
    <n v="0"/>
    <n v="1077.703789854867"/>
    <x v="1"/>
    <s v="Jun-2025"/>
    <x v="0"/>
    <x v="1"/>
    <x v="2"/>
    <n v="1836.010039854868"/>
    <n v="758.30624999999998"/>
    <n v="1077.703789854867"/>
    <n v="2.3094477442512959E-2"/>
    <n v="0"/>
    <s v="OK"/>
  </r>
  <r>
    <s v="LN-0453"/>
    <s v="CUST-1453"/>
    <x v="0"/>
    <n v="113400"/>
    <n v="0.15"/>
    <n v="17010"/>
    <n v="96390"/>
    <n v="0.14280000000000001"/>
    <n v="48"/>
    <n v="1.1900000000000001E-2"/>
    <n v="2647.5576749587958"/>
    <n v="127082.76839802221"/>
    <n v="30692.768398022188"/>
    <n v="963.9"/>
    <n v="25061.4"/>
    <x v="0"/>
    <n v="0"/>
    <n v="6595.2683980221918"/>
    <x v="1"/>
    <s v="Nov-2025"/>
    <x v="0"/>
    <x v="0"/>
    <x v="1"/>
    <n v="31656.66839802219"/>
    <n v="25061.4"/>
    <n v="6595.2683980221918"/>
    <n v="6.84227450775204E-2"/>
    <n v="0"/>
    <s v="OK"/>
  </r>
  <r>
    <s v="LN-0454"/>
    <s v="CUST-1454"/>
    <x v="2"/>
    <n v="599200"/>
    <n v="0.2"/>
    <n v="119840"/>
    <n v="479360"/>
    <n v="8.7900000000000006E-2"/>
    <n v="48"/>
    <n v="7.3250000000000008E-3"/>
    <n v="11881.15175667483"/>
    <n v="570295.28432039171"/>
    <n v="90935.284320391715"/>
    <n v="4793.6000000000004"/>
    <n v="124633.60000000001"/>
    <x v="0"/>
    <n v="0"/>
    <n v="-28904.715679608289"/>
    <x v="1"/>
    <s v="Nov-2025"/>
    <x v="3"/>
    <x v="2"/>
    <x v="1"/>
    <n v="95728.88432039172"/>
    <n v="124633.60000000001"/>
    <n v="-28904.715679608289"/>
    <n v="-6.0298555740170817E-2"/>
    <n v="0"/>
    <s v="OK"/>
  </r>
  <r>
    <s v="LN-0455"/>
    <s v="CUST-1455"/>
    <x v="2"/>
    <n v="1119900"/>
    <n v="0.2"/>
    <n v="223980"/>
    <n v="895920"/>
    <n v="9.1700000000000004E-2"/>
    <n v="48"/>
    <n v="7.6416666666666673E-3"/>
    <n v="22367.39762273361"/>
    <n v="1073635.085891213"/>
    <n v="177715.0858912133"/>
    <n v="8959.2000000000007"/>
    <n v="232939.2"/>
    <x v="0"/>
    <n v="0"/>
    <n v="-46264.914108786732"/>
    <x v="3"/>
    <s v="Jun-2025"/>
    <x v="2"/>
    <x v="2"/>
    <x v="1"/>
    <n v="186674.28589121331"/>
    <n v="232939.2"/>
    <n v="-46264.914108786732"/>
    <n v="-5.1639559457079577E-2"/>
    <n v="0"/>
    <s v="OK"/>
  </r>
  <r>
    <s v="LN-0456"/>
    <s v="CUST-1456"/>
    <x v="3"/>
    <n v="40900"/>
    <n v="0"/>
    <n v="0"/>
    <n v="40900"/>
    <n v="0.20810000000000001"/>
    <n v="12"/>
    <n v="1.7341666666666668E-2"/>
    <n v="3804.6247425024731"/>
    <n v="45655.496910029673"/>
    <n v="4755.496910029673"/>
    <n v="499"/>
    <n v="2658.5"/>
    <x v="0"/>
    <n v="0"/>
    <n v="2595.996910029673"/>
    <x v="0"/>
    <s v="Aug-2025"/>
    <x v="0"/>
    <x v="1"/>
    <x v="2"/>
    <n v="5254.496910029673"/>
    <n v="2658.5"/>
    <n v="2595.996910029673"/>
    <n v="6.3471807091190047E-2"/>
    <n v="0"/>
    <s v="OK"/>
  </r>
  <r>
    <s v="LN-0457"/>
    <s v="CUST-1457"/>
    <x v="2"/>
    <n v="950500"/>
    <n v="0.3"/>
    <n v="285150"/>
    <n v="665350"/>
    <n v="0.111"/>
    <n v="72"/>
    <n v="9.2499999999999995E-3"/>
    <n v="12698.42915103166"/>
    <n v="914286.89887427946"/>
    <n v="248936.89887427949"/>
    <n v="6653.5"/>
    <n v="259486.5"/>
    <x v="0"/>
    <n v="0"/>
    <n v="-3896.1011257205391"/>
    <x v="0"/>
    <s v="Mar-2025"/>
    <x v="2"/>
    <x v="0"/>
    <x v="1"/>
    <n v="255590.39887427949"/>
    <n v="259486.5"/>
    <n v="-3896.1011257205391"/>
    <n v="-5.8557167291208223E-3"/>
    <n v="0"/>
    <s v="OK"/>
  </r>
  <r>
    <s v="LN-0458"/>
    <s v="CUST-1458"/>
    <x v="3"/>
    <n v="30400"/>
    <n v="0.1"/>
    <n v="3040"/>
    <n v="27360"/>
    <n v="0.17269999999999999"/>
    <n v="18"/>
    <n v="1.4391666666666671E-2"/>
    <n v="1736.2199501320549"/>
    <n v="31251.959102377001"/>
    <n v="3891.9591023769972"/>
    <n v="499"/>
    <n v="2667.6"/>
    <x v="2"/>
    <n v="0"/>
    <n v="1723.359102376997"/>
    <x v="1"/>
    <s v="Feb-2025"/>
    <x v="0"/>
    <x v="1"/>
    <x v="0"/>
    <n v="4390.9591023769972"/>
    <n v="2667.6"/>
    <n v="1723.359102376997"/>
    <n v="6.2988271285708941E-2"/>
    <n v="0"/>
    <s v="OK"/>
  </r>
  <r>
    <s v="LN-0459"/>
    <s v="CUST-1459"/>
    <x v="1"/>
    <n v="103900"/>
    <n v="0"/>
    <n v="0"/>
    <n v="103900"/>
    <n v="0.1341"/>
    <n v="36"/>
    <n v="1.1174999999999999E-2"/>
    <n v="3521.3551726449032"/>
    <n v="126768.7862152165"/>
    <n v="22868.786215216522"/>
    <n v="1039"/>
    <n v="20260.5"/>
    <x v="1"/>
    <n v="41560"/>
    <n v="-37912.713784783482"/>
    <x v="3"/>
    <s v="Apr-2025"/>
    <x v="1"/>
    <x v="0"/>
    <x v="0"/>
    <n v="23907.786215216522"/>
    <n v="61820.5"/>
    <n v="-37912.713784783482"/>
    <n v="-0.3648961865715446"/>
    <n v="0.4"/>
    <s v="OK"/>
  </r>
  <r>
    <s v="LN-0460"/>
    <s v="CUST-1460"/>
    <x v="0"/>
    <n v="100500"/>
    <n v="0.05"/>
    <n v="5025"/>
    <n v="95475"/>
    <n v="0.16120000000000001"/>
    <n v="48"/>
    <n v="1.343333333333333E-2"/>
    <n v="2711.6596339718881"/>
    <n v="130159.6624306506"/>
    <n v="34684.662430650627"/>
    <n v="954.75"/>
    <n v="24823.5"/>
    <x v="2"/>
    <n v="0"/>
    <n v="10815.912430650629"/>
    <x v="2"/>
    <s v="Nov-2025"/>
    <x v="0"/>
    <x v="1"/>
    <x v="1"/>
    <n v="35639.412430650627"/>
    <n v="24823.5"/>
    <n v="10815.912430650629"/>
    <n v="0.1132852833794253"/>
    <n v="0"/>
    <s v="OK"/>
  </r>
  <r>
    <s v="LN-0461"/>
    <s v="CUST-1461"/>
    <x v="1"/>
    <n v="78600"/>
    <n v="0"/>
    <n v="0"/>
    <n v="78600"/>
    <n v="0.15820000000000001"/>
    <n v="6"/>
    <n v="1.318333333333333E-2"/>
    <n v="13711.05236272611"/>
    <n v="82266.314176356682"/>
    <n v="3666.3141763566819"/>
    <n v="786"/>
    <n v="2554.5"/>
    <x v="0"/>
    <n v="0"/>
    <n v="1897.8141763566821"/>
    <x v="3"/>
    <s v="Jan-2025"/>
    <x v="0"/>
    <x v="1"/>
    <x v="2"/>
    <n v="4452.3141763566819"/>
    <n v="2554.5"/>
    <n v="1897.8141763566821"/>
    <n v="2.414521852871096E-2"/>
    <n v="0"/>
    <s v="OK"/>
  </r>
  <r>
    <s v="LN-0462"/>
    <s v="CUST-1462"/>
    <x v="2"/>
    <n v="1232500"/>
    <n v="0.1"/>
    <n v="123250"/>
    <n v="1109250"/>
    <n v="0.1009"/>
    <n v="36"/>
    <n v="8.4083333333333336E-3"/>
    <n v="35839.266489171503"/>
    <n v="1290213.593610174"/>
    <n v="180963.59361017379"/>
    <n v="11092.5"/>
    <n v="216303.75"/>
    <x v="0"/>
    <n v="0"/>
    <n v="-24247.65638982621"/>
    <x v="1"/>
    <s v="Apr-2025"/>
    <x v="2"/>
    <x v="0"/>
    <x v="0"/>
    <n v="192056.09361017379"/>
    <n v="216303.75"/>
    <n v="-24247.65638982621"/>
    <n v="-2.1859505422426151E-2"/>
    <n v="0"/>
    <s v="OK"/>
  </r>
  <r>
    <s v="LN-0463"/>
    <s v="CUST-1463"/>
    <x v="0"/>
    <n v="142600"/>
    <n v="0.25"/>
    <n v="35650"/>
    <n v="106950"/>
    <n v="0.1103"/>
    <n v="48"/>
    <n v="9.1916666666666657E-3"/>
    <n v="2765.7370464242222"/>
    <n v="132755.37822836259"/>
    <n v="25805.37822836265"/>
    <n v="1069.5"/>
    <n v="27807"/>
    <x v="0"/>
    <n v="0"/>
    <n v="-932.12177163735032"/>
    <x v="1"/>
    <s v="Feb-2025"/>
    <x v="1"/>
    <x v="0"/>
    <x v="1"/>
    <n v="26874.87822836265"/>
    <n v="27807"/>
    <n v="-932.12177163735032"/>
    <n v="-8.7154910859032295E-3"/>
    <n v="0"/>
    <s v="OK"/>
  </r>
  <r>
    <s v="LN-0464"/>
    <s v="CUST-1464"/>
    <x v="2"/>
    <n v="728000"/>
    <n v="0.3"/>
    <n v="218400"/>
    <n v="509600"/>
    <n v="9.3700000000000006E-2"/>
    <n v="84"/>
    <n v="7.8083333333333338E-3"/>
    <n v="8295.0064350701141"/>
    <n v="696780.54054588964"/>
    <n v="187180.54054588961"/>
    <n v="5096"/>
    <n v="231868"/>
    <x v="0"/>
    <n v="0"/>
    <n v="-39591.459454110358"/>
    <x v="2"/>
    <s v="Nov-2025"/>
    <x v="2"/>
    <x v="2"/>
    <x v="1"/>
    <n v="192276.54054588961"/>
    <n v="231868"/>
    <n v="-39591.459454110358"/>
    <n v="-7.7691246966464594E-2"/>
    <n v="0"/>
    <s v="OK"/>
  </r>
  <r>
    <s v="LN-0465"/>
    <s v="CUST-1465"/>
    <x v="2"/>
    <n v="777000"/>
    <n v="0.15"/>
    <n v="116550"/>
    <n v="660450"/>
    <n v="0.112"/>
    <n v="60"/>
    <n v="9.3333333333333341E-3"/>
    <n v="14425.745522701951"/>
    <n v="865544.73136211676"/>
    <n v="205094.73136211681"/>
    <n v="6604.5"/>
    <n v="214646.25"/>
    <x v="2"/>
    <n v="0"/>
    <n v="-2947.0186378832441"/>
    <x v="2"/>
    <s v="Jan-2025"/>
    <x v="2"/>
    <x v="0"/>
    <x v="1"/>
    <n v="211699.23136211681"/>
    <n v="214646.25"/>
    <n v="-2947.0186378832441"/>
    <n v="-4.4621373879676646E-3"/>
    <n v="0"/>
    <s v="OK"/>
  </r>
  <r>
    <s v="LN-0466"/>
    <s v="CUST-1466"/>
    <x v="3"/>
    <n v="89400"/>
    <n v="0"/>
    <n v="0"/>
    <n v="89400"/>
    <n v="0.15049999999999999"/>
    <n v="24"/>
    <n v="1.254166666666667E-2"/>
    <n v="4336.8303995994966"/>
    <n v="104083.9295903879"/>
    <n v="14683.92959038791"/>
    <n v="894"/>
    <n v="11622"/>
    <x v="0"/>
    <n v="0"/>
    <n v="3955.9295903879101"/>
    <x v="1"/>
    <s v="Feb-2025"/>
    <x v="0"/>
    <x v="1"/>
    <x v="0"/>
    <n v="15577.92959038791"/>
    <n v="11622"/>
    <n v="3955.9295903879101"/>
    <n v="4.4249771704562763E-2"/>
    <n v="0"/>
    <s v="OK"/>
  </r>
  <r>
    <s v="LN-0467"/>
    <s v="CUST-1467"/>
    <x v="1"/>
    <n v="106300"/>
    <n v="0.1"/>
    <n v="10630"/>
    <n v="95670"/>
    <n v="0.123"/>
    <n v="36"/>
    <n v="1.025E-2"/>
    <n v="3191.338611152682"/>
    <n v="114888.19000149659"/>
    <n v="19218.19000149655"/>
    <n v="956.7"/>
    <n v="18655.650000000001"/>
    <x v="0"/>
    <n v="0"/>
    <n v="1519.2400014965499"/>
    <x v="0"/>
    <s v="Oct-2025"/>
    <x v="0"/>
    <x v="0"/>
    <x v="0"/>
    <n v="20174.890001496551"/>
    <n v="18655.650000000001"/>
    <n v="1519.2400014965499"/>
    <n v="1.588000419668182E-2"/>
    <n v="0"/>
    <s v="OK"/>
  </r>
  <r>
    <s v="LN-0468"/>
    <s v="CUST-1468"/>
    <x v="2"/>
    <n v="1128200"/>
    <n v="0.1"/>
    <n v="112820"/>
    <n v="1015380"/>
    <n v="0.1046"/>
    <n v="36"/>
    <n v="8.716666666666666E-3"/>
    <n v="32983.183087881007"/>
    <n v="1187394.591163716"/>
    <n v="172014.59116371631"/>
    <n v="10153.799999999999"/>
    <n v="197999.1"/>
    <x v="0"/>
    <n v="0"/>
    <n v="-15830.708836283709"/>
    <x v="2"/>
    <s v="Aug-2025"/>
    <x v="2"/>
    <x v="0"/>
    <x v="0"/>
    <n v="182168.3911637163"/>
    <n v="197999.1"/>
    <n v="-15830.708836283709"/>
    <n v="-1.559092047931189E-2"/>
    <n v="0"/>
    <s v="OK"/>
  </r>
  <r>
    <s v="LN-0469"/>
    <s v="CUST-1469"/>
    <x v="1"/>
    <n v="93400"/>
    <n v="0.05"/>
    <n v="4670"/>
    <n v="88730"/>
    <n v="0.158"/>
    <n v="9"/>
    <n v="1.316666666666667E-2"/>
    <n v="10519.249720123589"/>
    <n v="94673.247481112354"/>
    <n v="5943.2474811123539"/>
    <n v="887.30000000000007"/>
    <n v="4325.5874999999996"/>
    <x v="0"/>
    <n v="0"/>
    <n v="2504.9599811123539"/>
    <x v="0"/>
    <s v="May-2025"/>
    <x v="0"/>
    <x v="1"/>
    <x v="2"/>
    <n v="6830.547481112354"/>
    <n v="4325.5874999999996"/>
    <n v="2504.9599811123539"/>
    <n v="2.8231263170431131E-2"/>
    <n v="0"/>
    <s v="OK"/>
  </r>
  <r>
    <s v="LN-0470"/>
    <s v="CUST-1470"/>
    <x v="1"/>
    <n v="37600"/>
    <n v="0.2"/>
    <n v="7520"/>
    <n v="30080"/>
    <n v="0.16159999999999999"/>
    <n v="24"/>
    <n v="1.346666666666667E-2"/>
    <n v="1475.1110001753591"/>
    <n v="35402.664004208607"/>
    <n v="5322.6640042086074"/>
    <n v="499"/>
    <n v="3910.4"/>
    <x v="0"/>
    <n v="0"/>
    <n v="1911.264004208607"/>
    <x v="2"/>
    <s v="Feb-2025"/>
    <x v="0"/>
    <x v="1"/>
    <x v="0"/>
    <n v="5821.6640042086074"/>
    <n v="3910.4"/>
    <n v="1911.264004208607"/>
    <n v="6.3539361842041467E-2"/>
    <n v="0"/>
    <s v="OK"/>
  </r>
  <r>
    <s v="LN-0471"/>
    <s v="CUST-1471"/>
    <x v="1"/>
    <n v="102200"/>
    <n v="0.15"/>
    <n v="15330"/>
    <n v="86870"/>
    <n v="0.1426"/>
    <n v="6"/>
    <n v="1.1883333333333331E-2"/>
    <n v="15086.438918841841"/>
    <n v="90518.633513051042"/>
    <n v="3648.633513051042"/>
    <n v="868.7"/>
    <n v="2823.2750000000001"/>
    <x v="2"/>
    <n v="0"/>
    <n v="1694.058513051041"/>
    <x v="1"/>
    <s v="May-2025"/>
    <x v="0"/>
    <x v="0"/>
    <x v="2"/>
    <n v="4517.3335130510413"/>
    <n v="2823.2750000000001"/>
    <n v="1694.058513051041"/>
    <n v="1.9501076471175799E-2"/>
    <n v="0"/>
    <s v="OK"/>
  </r>
  <r>
    <s v="LN-0472"/>
    <s v="CUST-1472"/>
    <x v="2"/>
    <n v="1470400"/>
    <n v="0.2"/>
    <n v="294080"/>
    <n v="1176320"/>
    <n v="9.5699999999999993E-2"/>
    <n v="72"/>
    <n v="7.9749999999999995E-3"/>
    <n v="21538.103442789841"/>
    <n v="1550743.447880869"/>
    <n v="374423.4478808688"/>
    <n v="11763.2"/>
    <n v="458764.79999999999"/>
    <x v="2"/>
    <n v="0"/>
    <n v="-72578.152119131235"/>
    <x v="2"/>
    <s v="Apr-2025"/>
    <x v="2"/>
    <x v="2"/>
    <x v="1"/>
    <n v="386186.64788086881"/>
    <n v="458764.79999999999"/>
    <n v="-72578.152119131235"/>
    <n v="-6.169932681509388E-2"/>
    <n v="0"/>
    <s v="OK"/>
  </r>
  <r>
    <s v="LN-0473"/>
    <s v="CUST-1473"/>
    <x v="0"/>
    <n v="175400"/>
    <n v="0.05"/>
    <n v="8770"/>
    <n v="166630"/>
    <n v="0.1188"/>
    <n v="12"/>
    <n v="9.9000000000000008E-3"/>
    <n v="14795.521165256891"/>
    <n v="177546.25398308269"/>
    <n v="10916.253983082721"/>
    <n v="1666.3"/>
    <n v="10830.95"/>
    <x v="0"/>
    <n v="0"/>
    <n v="1751.603983082714"/>
    <x v="2"/>
    <s v="Mar-2025"/>
    <x v="1"/>
    <x v="0"/>
    <x v="2"/>
    <n v="12582.553983082709"/>
    <n v="10830.95"/>
    <n v="1751.603983082714"/>
    <n v="1.051193652453168E-2"/>
    <n v="0"/>
    <s v="OK"/>
  </r>
  <r>
    <s v="LN-0474"/>
    <s v="CUST-1474"/>
    <x v="2"/>
    <n v="1257500"/>
    <n v="0.2"/>
    <n v="251500"/>
    <n v="1006000"/>
    <n v="8.7300000000000003E-2"/>
    <n v="36"/>
    <n v="7.2750000000000002E-3"/>
    <n v="31864.265548425359"/>
    <n v="1147113.5597433129"/>
    <n v="141113.55974331289"/>
    <n v="10060"/>
    <n v="196170"/>
    <x v="0"/>
    <n v="0"/>
    <n v="-44996.440256687107"/>
    <x v="2"/>
    <s v="May-2025"/>
    <x v="2"/>
    <x v="2"/>
    <x v="0"/>
    <n v="151173.55974331289"/>
    <n v="196170"/>
    <n v="-44996.440256687107"/>
    <n v="-4.472807182573272E-2"/>
    <n v="0"/>
    <s v="OK"/>
  </r>
  <r>
    <s v="LN-0475"/>
    <s v="CUST-1475"/>
    <x v="3"/>
    <n v="13600"/>
    <n v="0.05"/>
    <n v="680"/>
    <n v="12920"/>
    <n v="0.2051"/>
    <n v="3"/>
    <n v="1.7091666666666672E-2"/>
    <n v="4454.7144856615341"/>
    <n v="13364.143456984601"/>
    <n v="444.14345698460238"/>
    <n v="499"/>
    <n v="209.95"/>
    <x v="0"/>
    <n v="0"/>
    <n v="733.19345698460234"/>
    <x v="3"/>
    <s v="Jul-2025"/>
    <x v="0"/>
    <x v="1"/>
    <x v="2"/>
    <n v="943.14345698460238"/>
    <n v="209.95"/>
    <n v="733.19345698460234"/>
    <n v="5.6748719580851571E-2"/>
    <n v="0"/>
    <s v="OK"/>
  </r>
  <r>
    <s v="LN-0476"/>
    <s v="CUST-1476"/>
    <x v="0"/>
    <n v="82800"/>
    <n v="0.05"/>
    <n v="4140"/>
    <n v="78660"/>
    <n v="0.16070000000000001"/>
    <n v="12"/>
    <n v="1.339166666666667E-2"/>
    <n v="7139.4951842583732"/>
    <n v="85673.942211100482"/>
    <n v="7013.9422111004824"/>
    <n v="786.6"/>
    <n v="5112.9000000000005"/>
    <x v="0"/>
    <n v="0"/>
    <n v="2687.6422111004822"/>
    <x v="1"/>
    <s v="Jun-2025"/>
    <x v="0"/>
    <x v="1"/>
    <x v="2"/>
    <n v="7800.5422111004827"/>
    <n v="5112.9000000000005"/>
    <n v="2687.6422111004822"/>
    <n v="3.4167838941018082E-2"/>
    <n v="0"/>
    <s v="OK"/>
  </r>
  <r>
    <s v="LN-0477"/>
    <s v="CUST-1477"/>
    <x v="1"/>
    <n v="79700"/>
    <n v="0"/>
    <n v="0"/>
    <n v="79700"/>
    <n v="0.16969999999999999"/>
    <n v="36"/>
    <n v="1.414166666666667E-2"/>
    <n v="2840.332563859648"/>
    <n v="102251.97229894729"/>
    <n v="22551.972298947341"/>
    <n v="797"/>
    <n v="15541.5"/>
    <x v="0"/>
    <n v="0"/>
    <n v="7807.4722989473375"/>
    <x v="3"/>
    <s v="Mar-2025"/>
    <x v="0"/>
    <x v="1"/>
    <x v="0"/>
    <n v="23348.972298947341"/>
    <n v="15541.5"/>
    <n v="7807.4722989473375"/>
    <n v="9.7960756573994195E-2"/>
    <n v="0"/>
    <s v="OK"/>
  </r>
  <r>
    <s v="LN-0478"/>
    <s v="CUST-1478"/>
    <x v="3"/>
    <n v="52800"/>
    <n v="0.2"/>
    <n v="10560"/>
    <n v="42240"/>
    <n v="0.17649999999999999"/>
    <n v="12"/>
    <n v="1.470833333333333E-2"/>
    <n v="3865.5304753518299"/>
    <n v="46386.365704221957"/>
    <n v="4146.3657042219565"/>
    <n v="499"/>
    <n v="2745.6"/>
    <x v="0"/>
    <n v="0"/>
    <n v="1899.7657042219571"/>
    <x v="2"/>
    <s v="Nov-2025"/>
    <x v="0"/>
    <x v="1"/>
    <x v="2"/>
    <n v="4645.3657042219565"/>
    <n v="2745.6"/>
    <n v="1899.7657042219571"/>
    <n v="4.4975513831012233E-2"/>
    <n v="0"/>
    <s v="OK"/>
  </r>
  <r>
    <s v="LN-0479"/>
    <s v="CUST-1479"/>
    <x v="2"/>
    <n v="583500"/>
    <n v="0.15"/>
    <n v="87525"/>
    <n v="495975"/>
    <n v="8.8999999999999996E-2"/>
    <n v="36"/>
    <n v="7.416666666666666E-3"/>
    <n v="15748.79923180006"/>
    <n v="566956.77234480216"/>
    <n v="70981.772344802157"/>
    <n v="4959.75"/>
    <n v="96715.125"/>
    <x v="2"/>
    <n v="0"/>
    <n v="-20773.602655197839"/>
    <x v="2"/>
    <s v="Oct-2025"/>
    <x v="3"/>
    <x v="2"/>
    <x v="0"/>
    <n v="75941.522344802157"/>
    <n v="96715.125"/>
    <n v="-20773.602655197839"/>
    <n v="-4.188437452532455E-2"/>
    <n v="0"/>
    <s v="OK"/>
  </r>
  <r>
    <s v="LN-0480"/>
    <s v="CUST-1480"/>
    <x v="0"/>
    <n v="103500"/>
    <n v="0.25"/>
    <n v="25875"/>
    <n v="77625"/>
    <n v="0.13039999999999999"/>
    <n v="36"/>
    <n v="1.086666666666667E-2"/>
    <n v="2616.9888364466751"/>
    <n v="94211.59811208029"/>
    <n v="16586.59811208029"/>
    <n v="776.25"/>
    <n v="15136.875"/>
    <x v="1"/>
    <n v="31050"/>
    <n v="-28824.02688791971"/>
    <x v="1"/>
    <s v="Aug-2025"/>
    <x v="0"/>
    <x v="0"/>
    <x v="0"/>
    <n v="17362.84811208029"/>
    <n v="46186.875"/>
    <n v="-28824.02688791971"/>
    <n v="-0.37132401787980301"/>
    <n v="0.4"/>
    <s v="OK"/>
  </r>
  <r>
    <s v="LN-0481"/>
    <s v="CUST-1481"/>
    <x v="2"/>
    <n v="524200"/>
    <n v="0.1"/>
    <n v="52420"/>
    <n v="471780"/>
    <n v="9.7299999999999998E-2"/>
    <n v="36"/>
    <n v="8.1083333333333337E-3"/>
    <n v="15163.27921361977"/>
    <n v="545878.05169031175"/>
    <n v="74098.051690311753"/>
    <n v="4717.8"/>
    <n v="91997.1"/>
    <x v="2"/>
    <n v="0"/>
    <n v="-13181.24830968825"/>
    <x v="3"/>
    <s v="Jan-2025"/>
    <x v="3"/>
    <x v="2"/>
    <x v="0"/>
    <n v="78815.851690311756"/>
    <n v="91997.1"/>
    <n v="-13181.24830968825"/>
    <n v="-2.7939396137369642E-2"/>
    <n v="0"/>
    <s v="OK"/>
  </r>
  <r>
    <s v="LN-0482"/>
    <s v="CUST-1482"/>
    <x v="0"/>
    <n v="222700"/>
    <n v="0.25"/>
    <n v="55675"/>
    <n v="167025"/>
    <n v="0.16139999999999999"/>
    <n v="60"/>
    <n v="1.345E-2"/>
    <n v="4074.1583592761458"/>
    <n v="244449.50155656869"/>
    <n v="77424.50155656875"/>
    <n v="1670.25"/>
    <n v="54283.125"/>
    <x v="2"/>
    <n v="0"/>
    <n v="24811.62655656875"/>
    <x v="3"/>
    <s v="Sep-2025"/>
    <x v="1"/>
    <x v="1"/>
    <x v="1"/>
    <n v="79094.75155656875"/>
    <n v="54283.125"/>
    <n v="24811.62655656875"/>
    <n v="0.14855037603094601"/>
    <n v="0"/>
    <s v="OK"/>
  </r>
  <r>
    <s v="LN-0483"/>
    <s v="CUST-1483"/>
    <x v="1"/>
    <n v="112600"/>
    <n v="0.05"/>
    <n v="5630"/>
    <n v="106970"/>
    <n v="0.12759999999999999"/>
    <n v="36"/>
    <n v="1.063333333333333E-2"/>
    <n v="3591.888860836531"/>
    <n v="129307.9989901151"/>
    <n v="22337.998990115098"/>
    <n v="1069.7"/>
    <n v="20859.150000000001"/>
    <x v="0"/>
    <n v="0"/>
    <n v="2548.5489901150981"/>
    <x v="2"/>
    <s v="Mar-2025"/>
    <x v="1"/>
    <x v="0"/>
    <x v="0"/>
    <n v="23407.698990115099"/>
    <n v="20859.150000000001"/>
    <n v="2548.5489901150981"/>
    <n v="2.382489473791809E-2"/>
    <n v="0"/>
    <s v="OK"/>
  </r>
  <r>
    <s v="LN-0484"/>
    <s v="CUST-1484"/>
    <x v="2"/>
    <n v="1014200"/>
    <n v="0.1"/>
    <n v="101420"/>
    <n v="912780"/>
    <n v="0.11459999999999999"/>
    <n v="36"/>
    <n v="9.5499999999999995E-3"/>
    <n v="30082.47763363113"/>
    <n v="1082969.1948107211"/>
    <n v="170189.1948107206"/>
    <n v="9127.8000000000011"/>
    <n v="177992.1"/>
    <x v="0"/>
    <n v="0"/>
    <n v="1324.894810720609"/>
    <x v="1"/>
    <s v="Sep-2025"/>
    <x v="2"/>
    <x v="0"/>
    <x v="0"/>
    <n v="179316.99481072059"/>
    <n v="177992.1"/>
    <n v="1324.894810720609"/>
    <n v="1.451494128618735E-3"/>
    <n v="0"/>
    <s v="OK"/>
  </r>
  <r>
    <s v="LN-0485"/>
    <s v="CUST-1485"/>
    <x v="2"/>
    <n v="1337100"/>
    <n v="0.25"/>
    <n v="334275"/>
    <n v="1002825"/>
    <n v="0.1111"/>
    <n v="36"/>
    <n v="9.2583333333333337E-3"/>
    <n v="32883.467780814528"/>
    <n v="1183804.8401093229"/>
    <n v="180979.84010932289"/>
    <n v="10028.25"/>
    <n v="195550.875"/>
    <x v="0"/>
    <n v="0"/>
    <n v="-4542.7848906770814"/>
    <x v="3"/>
    <s v="May-2025"/>
    <x v="2"/>
    <x v="0"/>
    <x v="0"/>
    <n v="191008.09010932289"/>
    <n v="195550.875"/>
    <n v="-4542.7848906770814"/>
    <n v="-4.5299876754938111E-3"/>
    <n v="0"/>
    <s v="OK"/>
  </r>
  <r>
    <s v="LN-0486"/>
    <s v="CUST-1486"/>
    <x v="3"/>
    <n v="32900"/>
    <n v="0"/>
    <n v="0"/>
    <n v="32900"/>
    <n v="0.1915"/>
    <n v="12"/>
    <n v="1.5958333333333331E-2"/>
    <n v="3034.307182982604"/>
    <n v="36411.686195791262"/>
    <n v="3511.6861957912552"/>
    <n v="499"/>
    <n v="2138.5"/>
    <x v="1"/>
    <n v="13160"/>
    <n v="-11287.813804208739"/>
    <x v="2"/>
    <s v="Oct-2025"/>
    <x v="0"/>
    <x v="1"/>
    <x v="2"/>
    <n v="4010.6861957912552"/>
    <n v="15298.5"/>
    <n v="-11287.813804208739"/>
    <n v="-0.34309464450482507"/>
    <n v="0.4"/>
    <s v="OK"/>
  </r>
  <r>
    <s v="LN-0487"/>
    <s v="CUST-1487"/>
    <x v="1"/>
    <n v="132100"/>
    <n v="0.15"/>
    <n v="19815"/>
    <n v="112285"/>
    <n v="0.15579999999999999"/>
    <n v="6"/>
    <n v="1.2983333333333329E-2"/>
    <n v="19573.710322431929"/>
    <n v="117442.2619345916"/>
    <n v="5157.2619345915737"/>
    <n v="1122.8499999999999"/>
    <n v="3649.2624999999998"/>
    <x v="0"/>
    <n v="0"/>
    <n v="2630.8494345915742"/>
    <x v="0"/>
    <s v="Feb-2025"/>
    <x v="1"/>
    <x v="1"/>
    <x v="2"/>
    <n v="6280.111934591574"/>
    <n v="3649.2624999999998"/>
    <n v="2630.8494345915742"/>
    <n v="2.3430105843091902E-2"/>
    <n v="0"/>
    <s v="OK"/>
  </r>
  <r>
    <s v="LN-0488"/>
    <s v="CUST-1488"/>
    <x v="1"/>
    <n v="29500"/>
    <n v="0.2"/>
    <n v="5900"/>
    <n v="23600"/>
    <n v="0.16389999999999999"/>
    <n v="6"/>
    <n v="1.365833333333333E-2"/>
    <n v="4123.4884745439749"/>
    <n v="24740.930847263851"/>
    <n v="1140.9308472638511"/>
    <n v="499"/>
    <n v="767"/>
    <x v="0"/>
    <n v="0"/>
    <n v="872.93084726385132"/>
    <x v="3"/>
    <s v="Sep-2025"/>
    <x v="0"/>
    <x v="1"/>
    <x v="2"/>
    <n v="1639.9308472638511"/>
    <n v="767"/>
    <n v="872.93084726385132"/>
    <n v="3.6988595223044547E-2"/>
    <n v="0"/>
    <s v="OK"/>
  </r>
  <r>
    <s v="LN-0489"/>
    <s v="CUST-1489"/>
    <x v="0"/>
    <n v="217100"/>
    <n v="0.15"/>
    <n v="32565"/>
    <n v="184535"/>
    <n v="0.13650000000000001"/>
    <n v="36"/>
    <n v="1.1375E-2"/>
    <n v="6275.6449471427286"/>
    <n v="225923.21809713819"/>
    <n v="41388.218097138219"/>
    <n v="1845.35"/>
    <n v="35984.324999999997"/>
    <x v="0"/>
    <n v="0"/>
    <n v="7249.24309713822"/>
    <x v="1"/>
    <s v="Aug-2025"/>
    <x v="1"/>
    <x v="0"/>
    <x v="0"/>
    <n v="43233.568097138217"/>
    <n v="35984.324999999997"/>
    <n v="7249.24309713822"/>
    <n v="3.9283838280750112E-2"/>
    <n v="0"/>
    <s v="OK"/>
  </r>
  <r>
    <s v="LN-0490"/>
    <s v="CUST-1490"/>
    <x v="1"/>
    <n v="120900"/>
    <n v="0.1"/>
    <n v="12090"/>
    <n v="108810"/>
    <n v="0.16800000000000001"/>
    <n v="36"/>
    <n v="1.4E-2"/>
    <n v="3868.5513318089629"/>
    <n v="139267.84794512269"/>
    <n v="30457.847945122689"/>
    <n v="1088.0999999999999"/>
    <n v="21217.95"/>
    <x v="0"/>
    <n v="0"/>
    <n v="10327.99794512269"/>
    <x v="0"/>
    <s v="Feb-2025"/>
    <x v="1"/>
    <x v="1"/>
    <x v="0"/>
    <n v="31545.947945122691"/>
    <n v="21217.95"/>
    <n v="10327.99794512269"/>
    <n v="9.4917727645645489E-2"/>
    <n v="0"/>
    <s v="OK"/>
  </r>
  <r>
    <s v="LN-0491"/>
    <s v="CUST-1491"/>
    <x v="0"/>
    <n v="113200"/>
    <n v="0.25"/>
    <n v="28300"/>
    <n v="84900"/>
    <n v="0.1273"/>
    <n v="36"/>
    <n v="1.0608333333333331E-2"/>
    <n v="2849.5878716732232"/>
    <n v="102585.163380236"/>
    <n v="17685.163380236019"/>
    <n v="849"/>
    <n v="16555.5"/>
    <x v="0"/>
    <n v="0"/>
    <n v="1978.6633802360161"/>
    <x v="0"/>
    <s v="Jan-2025"/>
    <x v="0"/>
    <x v="0"/>
    <x v="0"/>
    <n v="18534.163380236019"/>
    <n v="16555.5"/>
    <n v="1978.6633802360161"/>
    <n v="2.330581131020042E-2"/>
    <n v="0"/>
    <s v="OK"/>
  </r>
  <r>
    <s v="LN-0492"/>
    <s v="CUST-1492"/>
    <x v="2"/>
    <n v="941700"/>
    <n v="0.1"/>
    <n v="94170"/>
    <n v="847530"/>
    <n v="0.10970000000000001"/>
    <n v="72"/>
    <n v="9.1416666666666677E-3"/>
    <n v="16118.93310807409"/>
    <n v="1160563.183781334"/>
    <n v="313033.18378133437"/>
    <n v="8475.2999999999993"/>
    <n v="330536.7"/>
    <x v="2"/>
    <n v="0"/>
    <n v="-9028.2162186655914"/>
    <x v="1"/>
    <s v="Apr-2025"/>
    <x v="2"/>
    <x v="0"/>
    <x v="1"/>
    <n v="321508.48378133442"/>
    <n v="330536.7"/>
    <n v="-9028.2162186655914"/>
    <n v="-1.065238542431016E-2"/>
    <n v="0"/>
    <s v="OK"/>
  </r>
  <r>
    <s v="LN-0493"/>
    <s v="CUST-1493"/>
    <x v="3"/>
    <n v="103400"/>
    <n v="0.2"/>
    <n v="20680"/>
    <n v="82720"/>
    <n v="0.15720000000000001"/>
    <n v="6"/>
    <n v="1.3100000000000001E-2"/>
    <n v="14425.6404378639"/>
    <n v="86553.842627183418"/>
    <n v="3833.8426271834178"/>
    <n v="827.2"/>
    <n v="2688.4"/>
    <x v="2"/>
    <n v="0"/>
    <n v="1972.642627183418"/>
    <x v="2"/>
    <s v="Jan-2025"/>
    <x v="0"/>
    <x v="1"/>
    <x v="2"/>
    <n v="4661.0426271834176"/>
    <n v="2688.4"/>
    <n v="1972.642627183418"/>
    <n v="2.3847227117787931E-2"/>
    <n v="0"/>
    <s v="OK"/>
  </r>
  <r>
    <s v="LN-0494"/>
    <s v="CUST-1494"/>
    <x v="2"/>
    <n v="1321200"/>
    <n v="0.25"/>
    <n v="330300"/>
    <n v="990900"/>
    <n v="0.1027"/>
    <n v="72"/>
    <n v="8.5583333333333327E-3"/>
    <n v="18492.45634620306"/>
    <n v="1331456.85692662"/>
    <n v="340556.85692662047"/>
    <n v="9909"/>
    <n v="386451"/>
    <x v="0"/>
    <n v="0"/>
    <n v="-35985.143073379528"/>
    <x v="1"/>
    <s v="Aug-2025"/>
    <x v="2"/>
    <x v="0"/>
    <x v="1"/>
    <n v="350465.85692662047"/>
    <n v="386451"/>
    <n v="-35985.143073379528"/>
    <n v="-3.6315615171439629E-2"/>
    <n v="0"/>
    <s v="OK"/>
  </r>
  <r>
    <s v="LN-0495"/>
    <s v="CUST-1495"/>
    <x v="3"/>
    <n v="90500"/>
    <n v="0.15"/>
    <n v="13575"/>
    <n v="76925"/>
    <n v="0.18429999999999999"/>
    <n v="12"/>
    <n v="1.535833333333333E-2"/>
    <n v="7068.2351591889283"/>
    <n v="84818.821910267143"/>
    <n v="7893.8219102671428"/>
    <n v="769.25"/>
    <n v="5000.125"/>
    <x v="0"/>
    <n v="0"/>
    <n v="3662.9469102671428"/>
    <x v="1"/>
    <s v="Dec-2025"/>
    <x v="0"/>
    <x v="1"/>
    <x v="2"/>
    <n v="8663.0719102671428"/>
    <n v="5000.125"/>
    <n v="3662.9469102671428"/>
    <n v="4.7617119405487719E-2"/>
    <n v="0"/>
    <s v="OK"/>
  </r>
  <r>
    <s v="LN-0496"/>
    <s v="CUST-1496"/>
    <x v="0"/>
    <n v="235300"/>
    <n v="0.25"/>
    <n v="58825"/>
    <n v="176475"/>
    <n v="0.1103"/>
    <n v="48"/>
    <n v="9.1916666666666657E-3"/>
    <n v="4563.6600773044847"/>
    <n v="219055.6837106153"/>
    <n v="42580.683710615267"/>
    <n v="1764.75"/>
    <n v="45883.5"/>
    <x v="0"/>
    <n v="0"/>
    <n v="-1538.066289384733"/>
    <x v="3"/>
    <s v="Sep-2025"/>
    <x v="1"/>
    <x v="0"/>
    <x v="1"/>
    <n v="44345.433710615267"/>
    <n v="45883.5"/>
    <n v="-1538.066289384733"/>
    <n v="-8.7154910859030058E-3"/>
    <n v="0"/>
    <s v="OK"/>
  </r>
  <r>
    <s v="LN-0497"/>
    <s v="CUST-1497"/>
    <x v="2"/>
    <n v="860500"/>
    <n v="0.2"/>
    <n v="172100"/>
    <n v="688400"/>
    <n v="0.1033"/>
    <n v="48"/>
    <n v="8.6083333333333342E-3"/>
    <n v="17568.902688248261"/>
    <n v="843307.32903591637"/>
    <n v="154907.32903591639"/>
    <n v="6884"/>
    <n v="178984"/>
    <x v="0"/>
    <n v="0"/>
    <n v="-17192.670964083631"/>
    <x v="3"/>
    <s v="May-2025"/>
    <x v="2"/>
    <x v="0"/>
    <x v="1"/>
    <n v="161791.32903591639"/>
    <n v="178984"/>
    <n v="-17192.670964083631"/>
    <n v="-2.4974827083212719E-2"/>
    <n v="0"/>
    <s v="OK"/>
  </r>
  <r>
    <s v="LN-0498"/>
    <s v="CUST-1498"/>
    <x v="1"/>
    <n v="41700"/>
    <n v="0.2"/>
    <n v="8340"/>
    <n v="33360"/>
    <n v="0.153"/>
    <n v="36"/>
    <n v="1.2749999999999999E-2"/>
    <n v="1161.3423300168561"/>
    <n v="41808.323880606818"/>
    <n v="8448.3238806068184"/>
    <n v="499"/>
    <n v="6505.2000000000007"/>
    <x v="2"/>
    <n v="0"/>
    <n v="2442.1238806068181"/>
    <x v="3"/>
    <s v="Dec-2025"/>
    <x v="0"/>
    <x v="1"/>
    <x v="0"/>
    <n v="8947.3238806068184"/>
    <n v="6505.2000000000007"/>
    <n v="2442.1238806068181"/>
    <n v="7.320515229636744E-2"/>
    <n v="0"/>
    <s v="OK"/>
  </r>
  <r>
    <s v="LN-0499"/>
    <s v="CUST-1499"/>
    <x v="0"/>
    <n v="192900"/>
    <n v="0.25"/>
    <n v="48225"/>
    <n v="144675"/>
    <n v="0.1174"/>
    <n v="24"/>
    <n v="9.7833333333333331E-3"/>
    <n v="6792.8016973179474"/>
    <n v="163027.24073563071"/>
    <n v="18352.240735630741"/>
    <n v="1446.75"/>
    <n v="18807.75"/>
    <x v="0"/>
    <n v="0"/>
    <n v="991.24073563073762"/>
    <x v="3"/>
    <s v="Nov-2025"/>
    <x v="1"/>
    <x v="0"/>
    <x v="0"/>
    <n v="19798.990735630741"/>
    <n v="18807.75"/>
    <n v="991.24073563073762"/>
    <n v="6.8514998142784698E-3"/>
    <n v="0"/>
    <s v="OK"/>
  </r>
  <r>
    <s v="LN-0500"/>
    <s v="CUST-1500"/>
    <x v="3"/>
    <n v="87600"/>
    <n v="0.15"/>
    <n v="13140"/>
    <n v="74460"/>
    <n v="0.218"/>
    <n v="6"/>
    <n v="1.8166666666666671E-2"/>
    <n v="13210.905221833191"/>
    <n v="79265.431330999156"/>
    <n v="4805.4313309991558"/>
    <n v="744.6"/>
    <n v="2419.9499999999998"/>
    <x v="0"/>
    <n v="0"/>
    <n v="3130.0813309991559"/>
    <x v="3"/>
    <s v="Dec-2025"/>
    <x v="0"/>
    <x v="1"/>
    <x v="2"/>
    <n v="5550.0313309991561"/>
    <n v="2419.9499999999998"/>
    <n v="3130.0813309991559"/>
    <n v="4.2037084756905131E-2"/>
    <n v="0"/>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FDB8E4-9F7E-4BBF-8A9E-63DD96D5440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F17" firstHeaderRow="0" firstDataRow="1" firstDataCol="0"/>
  <pivotFields count="29">
    <pivotField dataField="1" showAll="0"/>
    <pivotField showAll="0"/>
    <pivotField showAll="0">
      <items count="5">
        <item x="0"/>
        <item x="2"/>
        <item x="1"/>
        <item x="3"/>
        <item t="default"/>
      </items>
    </pivotField>
    <pivotField numFmtId="164" showAll="0"/>
    <pivotField numFmtId="10" showAll="0"/>
    <pivotField numFmtId="164" showAll="0"/>
    <pivotField dataField="1" numFmtId="164" showAll="0"/>
    <pivotField numFmtId="10" showAll="0"/>
    <pivotField showAll="0"/>
    <pivotField numFmtId="10" showAll="0"/>
    <pivotField numFmtId="164" showAll="0"/>
    <pivotField numFmtId="164" showAll="0"/>
    <pivotField numFmtId="164" showAll="0"/>
    <pivotField numFmtId="164" showAll="0"/>
    <pivotField dataField="1" numFmtId="164" showAll="0"/>
    <pivotField showAll="0">
      <items count="4">
        <item x="0"/>
        <item x="2"/>
        <item x="1"/>
        <item t="default"/>
      </items>
    </pivotField>
    <pivotField dataField="1" numFmtId="164" showAll="0"/>
    <pivotField dataField="1" numFmtId="164" showAll="0"/>
    <pivotField showAll="0">
      <items count="5">
        <item x="3"/>
        <item x="0"/>
        <item x="1"/>
        <item x="2"/>
        <item t="default"/>
      </items>
    </pivotField>
    <pivotField showAll="0"/>
    <pivotField showAll="0">
      <items count="5">
        <item x="3"/>
        <item x="1"/>
        <item x="0"/>
        <item x="2"/>
        <item t="default"/>
      </items>
    </pivotField>
    <pivotField showAll="0">
      <items count="4">
        <item x="1"/>
        <item x="2"/>
        <item x="0"/>
        <item t="default"/>
      </items>
    </pivotField>
    <pivotField showAll="0">
      <items count="4">
        <item x="1"/>
        <item x="0"/>
        <item x="2"/>
        <item t="default"/>
      </items>
    </pivotField>
    <pivotField dataField="1" numFmtId="164" showAll="0"/>
    <pivotField numFmtId="164" showAll="0"/>
    <pivotField numFmtId="164" showAll="0"/>
    <pivotField numFmtId="10" showAll="0"/>
    <pivotField numFmtId="10" showAll="0"/>
    <pivotField showAll="0"/>
  </pivotFields>
  <rowItems count="1">
    <i/>
  </rowItems>
  <colFields count="1">
    <field x="-2"/>
  </colFields>
  <colItems count="6">
    <i>
      <x/>
    </i>
    <i i="1">
      <x v="1"/>
    </i>
    <i i="2">
      <x v="2"/>
    </i>
    <i i="3">
      <x v="3"/>
    </i>
    <i i="4">
      <x v="4"/>
    </i>
    <i i="5">
      <x v="5"/>
    </i>
  </colItems>
  <dataFields count="6">
    <dataField name="Count of Loan ID" fld="0" subtotal="count" baseField="0" baseItem="0"/>
    <dataField name="Sum of Loan Amount / Principal (Rs.)" fld="6" baseField="0" baseItem="0" numFmtId="165"/>
    <dataField name="Sum of Calculated Revenue (Rs.)" fld="23" baseField="0" baseItem="0" numFmtId="165"/>
    <dataField name="Sum of Cost of Funds (Rs.)" fld="14" baseField="0" baseItem="0" numFmtId="165"/>
    <dataField name="Sum of Default Loss (Rs.)" fld="16" baseField="0" baseItem="0" numFmtId="165"/>
    <dataField name="Sum of Net Bank Profit (Rs.)" fld="17" baseField="0" baseItem="0" numFmtId="165"/>
  </dataFields>
  <formats count="1">
    <format dxfId="0">
      <pivotArea outline="0" collapsedLevelsAreSubtotals="1" fieldPosition="0">
        <references count="1">
          <reference field="4294967294" count="5" selected="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F67349-28EA-494A-8FB3-6351094A769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9:E25" firstHeaderRow="1" firstDataRow="2" firstDataCol="1"/>
  <pivotFields count="29">
    <pivotField showAll="0"/>
    <pivotField showAll="0"/>
    <pivotField axis="axisRow" showAll="0">
      <items count="5">
        <item x="0"/>
        <item x="2"/>
        <item x="1"/>
        <item x="3"/>
        <item t="default"/>
      </items>
    </pivotField>
    <pivotField numFmtId="164" showAll="0"/>
    <pivotField numFmtId="10" showAll="0"/>
    <pivotField numFmtId="164" showAll="0"/>
    <pivotField numFmtId="164" showAll="0"/>
    <pivotField numFmtId="10" showAll="0"/>
    <pivotField showAll="0"/>
    <pivotField numFmtId="10" showAll="0"/>
    <pivotField numFmtId="164" showAll="0"/>
    <pivotField numFmtId="164" showAll="0"/>
    <pivotField numFmtId="164" showAll="0"/>
    <pivotField numFmtId="164" showAll="0"/>
    <pivotField numFmtId="164" showAll="0"/>
    <pivotField showAll="0">
      <items count="4">
        <item x="0"/>
        <item x="2"/>
        <item x="1"/>
        <item t="default"/>
      </items>
    </pivotField>
    <pivotField numFmtId="164" showAll="0"/>
    <pivotField dataField="1" numFmtId="164" showAll="0"/>
    <pivotField showAll="0">
      <items count="5">
        <item x="3"/>
        <item x="0"/>
        <item x="1"/>
        <item x="2"/>
        <item t="default"/>
      </items>
    </pivotField>
    <pivotField showAll="0"/>
    <pivotField showAll="0">
      <items count="5">
        <item x="3"/>
        <item x="1"/>
        <item x="0"/>
        <item x="2"/>
        <item t="default"/>
      </items>
    </pivotField>
    <pivotField axis="axisCol" showAll="0">
      <items count="4">
        <item x="1"/>
        <item x="2"/>
        <item x="0"/>
        <item t="default"/>
      </items>
    </pivotField>
    <pivotField showAll="0">
      <items count="4">
        <item x="1"/>
        <item x="0"/>
        <item x="2"/>
        <item t="default"/>
      </items>
    </pivotField>
    <pivotField numFmtId="164" showAll="0"/>
    <pivotField numFmtId="164" showAll="0"/>
    <pivotField numFmtId="164" showAll="0"/>
    <pivotField numFmtId="10" showAll="0"/>
    <pivotField numFmtId="10" showAll="0"/>
    <pivotField showAll="0"/>
  </pivotFields>
  <rowFields count="1">
    <field x="2"/>
  </rowFields>
  <rowItems count="5">
    <i>
      <x/>
    </i>
    <i>
      <x v="1"/>
    </i>
    <i>
      <x v="2"/>
    </i>
    <i>
      <x v="3"/>
    </i>
    <i t="grand">
      <x/>
    </i>
  </rowItems>
  <colFields count="1">
    <field x="21"/>
  </colFields>
  <colItems count="4">
    <i>
      <x/>
    </i>
    <i>
      <x v="1"/>
    </i>
    <i>
      <x v="2"/>
    </i>
    <i t="grand">
      <x/>
    </i>
  </colItems>
  <dataFields count="1">
    <dataField name="Sum of Net Bank Profit (Rs.)" fld="17" baseField="0" baseItem="0" numFmtId="164"/>
  </dataFields>
  <chartFormats count="11">
    <chartFormat chart="7" format="20" series="1">
      <pivotArea type="data" outline="0" fieldPosition="0">
        <references count="2">
          <reference field="4294967294" count="1" selected="0">
            <x v="0"/>
          </reference>
          <reference field="21" count="1" selected="0">
            <x v="0"/>
          </reference>
        </references>
      </pivotArea>
    </chartFormat>
    <chartFormat chart="7" format="21">
      <pivotArea type="data" outline="0" fieldPosition="0">
        <references count="3">
          <reference field="4294967294" count="1" selected="0">
            <x v="0"/>
          </reference>
          <reference field="2" count="1" selected="0">
            <x v="2"/>
          </reference>
          <reference field="21" count="1" selected="0">
            <x v="0"/>
          </reference>
        </references>
      </pivotArea>
    </chartFormat>
    <chartFormat chart="7" format="22">
      <pivotArea type="data" outline="0" fieldPosition="0">
        <references count="3">
          <reference field="4294967294" count="1" selected="0">
            <x v="0"/>
          </reference>
          <reference field="2" count="1" selected="0">
            <x v="3"/>
          </reference>
          <reference field="21" count="1" selected="0">
            <x v="0"/>
          </reference>
        </references>
      </pivotArea>
    </chartFormat>
    <chartFormat chart="7" format="23" series="1">
      <pivotArea type="data" outline="0" fieldPosition="0">
        <references count="2">
          <reference field="4294967294" count="1" selected="0">
            <x v="0"/>
          </reference>
          <reference field="21" count="1" selected="0">
            <x v="1"/>
          </reference>
        </references>
      </pivotArea>
    </chartFormat>
    <chartFormat chart="7" format="24">
      <pivotArea type="data" outline="0" fieldPosition="0">
        <references count="3">
          <reference field="4294967294" count="1" selected="0">
            <x v="0"/>
          </reference>
          <reference field="2" count="1" selected="0">
            <x v="1"/>
          </reference>
          <reference field="21" count="1" selected="0">
            <x v="1"/>
          </reference>
        </references>
      </pivotArea>
    </chartFormat>
    <chartFormat chart="7" format="25" series="1">
      <pivotArea type="data" outline="0" fieldPosition="0">
        <references count="2">
          <reference field="4294967294" count="1" selected="0">
            <x v="0"/>
          </reference>
          <reference field="21" count="1" selected="0">
            <x v="2"/>
          </reference>
        </references>
      </pivotArea>
    </chartFormat>
    <chartFormat chart="7" format="26">
      <pivotArea type="data" outline="0" fieldPosition="0">
        <references count="3">
          <reference field="4294967294" count="1" selected="0">
            <x v="0"/>
          </reference>
          <reference field="2" count="1" selected="0">
            <x v="0"/>
          </reference>
          <reference field="21" count="1" selected="0">
            <x v="2"/>
          </reference>
        </references>
      </pivotArea>
    </chartFormat>
    <chartFormat chart="7" format="27">
      <pivotArea type="data" outline="0" fieldPosition="0">
        <references count="3">
          <reference field="4294967294" count="1" selected="0">
            <x v="0"/>
          </reference>
          <reference field="2" count="1" selected="0">
            <x v="1"/>
          </reference>
          <reference field="21" count="1" selected="0">
            <x v="2"/>
          </reference>
        </references>
      </pivotArea>
    </chartFormat>
    <chartFormat chart="7" format="28">
      <pivotArea type="data" outline="0" fieldPosition="0">
        <references count="3">
          <reference field="4294967294" count="1" selected="0">
            <x v="0"/>
          </reference>
          <reference field="2" count="1" selected="0">
            <x v="2"/>
          </reference>
          <reference field="21" count="1" selected="0">
            <x v="2"/>
          </reference>
        </references>
      </pivotArea>
    </chartFormat>
    <chartFormat chart="7" format="29">
      <pivotArea type="data" outline="0" fieldPosition="0">
        <references count="3">
          <reference field="4294967294" count="1" selected="0">
            <x v="0"/>
          </reference>
          <reference field="2" count="1" selected="0">
            <x v="3"/>
          </reference>
          <reference field="21" count="1" selected="0">
            <x v="2"/>
          </reference>
        </references>
      </pivotArea>
    </chartFormat>
    <chartFormat chart="7" format="30">
      <pivotArea type="data" outline="0" fieldPosition="0">
        <references count="3">
          <reference field="4294967294" count="1" selected="0">
            <x v="0"/>
          </reference>
          <reference field="2" count="1" selected="0">
            <x v="0"/>
          </reference>
          <reference field="2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013DF6-B6DB-47C1-BCA3-2DABDFE200D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7:B42" firstHeaderRow="1" firstDataRow="1" firstDataCol="1"/>
  <pivotFields count="29">
    <pivotField showAll="0"/>
    <pivotField showAll="0"/>
    <pivotField showAll="0">
      <items count="5">
        <item x="0"/>
        <item x="2"/>
        <item x="1"/>
        <item x="3"/>
        <item t="default"/>
      </items>
    </pivotField>
    <pivotField numFmtId="164" showAll="0"/>
    <pivotField numFmtId="10" showAll="0"/>
    <pivotField numFmtId="164" showAll="0"/>
    <pivotField numFmtId="164" showAll="0"/>
    <pivotField numFmtId="10" showAll="0"/>
    <pivotField showAll="0"/>
    <pivotField numFmtId="10" showAll="0"/>
    <pivotField numFmtId="164" showAll="0"/>
    <pivotField numFmtId="164" showAll="0"/>
    <pivotField numFmtId="164" showAll="0"/>
    <pivotField numFmtId="164" showAll="0"/>
    <pivotField numFmtId="164" showAll="0"/>
    <pivotField showAll="0">
      <items count="4">
        <item x="0"/>
        <item x="2"/>
        <item x="1"/>
        <item t="default"/>
      </items>
    </pivotField>
    <pivotField numFmtId="164" showAll="0"/>
    <pivotField dataField="1" numFmtId="164"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showAll="0">
      <items count="5">
        <item x="3"/>
        <item x="1"/>
        <item x="0"/>
        <item x="2"/>
        <item t="default"/>
      </items>
    </pivotField>
    <pivotField showAll="0">
      <items count="4">
        <item x="1"/>
        <item x="2"/>
        <item x="0"/>
        <item t="default"/>
      </items>
    </pivotField>
    <pivotField showAll="0">
      <items count="4">
        <item x="1"/>
        <item x="0"/>
        <item x="2"/>
        <item t="default"/>
      </items>
    </pivotField>
    <pivotField numFmtId="164" showAll="0"/>
    <pivotField numFmtId="164" showAll="0"/>
    <pivotField numFmtId="164" showAll="0"/>
    <pivotField numFmtId="10" showAll="0"/>
    <pivotField numFmtId="10" showAll="0"/>
    <pivotField showAll="0"/>
  </pivotFields>
  <rowFields count="1">
    <field x="18"/>
  </rowFields>
  <rowItems count="5">
    <i>
      <x v="1"/>
    </i>
    <i>
      <x v="3"/>
    </i>
    <i>
      <x v="2"/>
    </i>
    <i>
      <x/>
    </i>
    <i t="grand">
      <x/>
    </i>
  </rowItems>
  <colItems count="1">
    <i/>
  </colItems>
  <dataFields count="1">
    <dataField name="." fld="17" baseField="18" baseItem="1" numFmtId="164"/>
  </dataFields>
  <chartFormats count="16">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8" count="1" selected="0">
            <x v="1"/>
          </reference>
        </references>
      </pivotArea>
    </chartFormat>
    <chartFormat chart="3" format="2">
      <pivotArea type="data" outline="0" fieldPosition="0">
        <references count="2">
          <reference field="4294967294" count="1" selected="0">
            <x v="0"/>
          </reference>
          <reference field="18" count="1" selected="0">
            <x v="3"/>
          </reference>
        </references>
      </pivotArea>
    </chartFormat>
    <chartFormat chart="3" format="3">
      <pivotArea type="data" outline="0" fieldPosition="0">
        <references count="2">
          <reference field="4294967294" count="1" selected="0">
            <x v="0"/>
          </reference>
          <reference field="18" count="1" selected="0">
            <x v="2"/>
          </reference>
        </references>
      </pivotArea>
    </chartFormat>
    <chartFormat chart="3" format="4">
      <pivotArea type="data" outline="0" fieldPosition="0">
        <references count="2">
          <reference field="4294967294" count="1" selected="0">
            <x v="0"/>
          </reference>
          <reference field="18"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8" count="1" selected="0">
            <x v="1"/>
          </reference>
        </references>
      </pivotArea>
    </chartFormat>
    <chartFormat chart="7" format="7">
      <pivotArea type="data" outline="0" fieldPosition="0">
        <references count="2">
          <reference field="4294967294" count="1" selected="0">
            <x v="0"/>
          </reference>
          <reference field="18" count="1" selected="0">
            <x v="3"/>
          </reference>
        </references>
      </pivotArea>
    </chartFormat>
    <chartFormat chart="7" format="8">
      <pivotArea type="data" outline="0" fieldPosition="0">
        <references count="2">
          <reference field="4294967294" count="1" selected="0">
            <x v="0"/>
          </reference>
          <reference field="18" count="1" selected="0">
            <x v="2"/>
          </reference>
        </references>
      </pivotArea>
    </chartFormat>
    <chartFormat chart="7" format="9">
      <pivotArea type="data" outline="0" fieldPosition="0">
        <references count="2">
          <reference field="4294967294" count="1" selected="0">
            <x v="0"/>
          </reference>
          <reference field="18" count="1" selected="0">
            <x v="0"/>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18" count="1" selected="0">
            <x v="1"/>
          </reference>
        </references>
      </pivotArea>
    </chartFormat>
    <chartFormat chart="8" format="12">
      <pivotArea type="data" outline="0" fieldPosition="0">
        <references count="2">
          <reference field="4294967294" count="1" selected="0">
            <x v="0"/>
          </reference>
          <reference field="18" count="1" selected="0">
            <x v="3"/>
          </reference>
        </references>
      </pivotArea>
    </chartFormat>
    <chartFormat chart="8" format="13">
      <pivotArea type="data" outline="0" fieldPosition="0">
        <references count="2">
          <reference field="4294967294" count="1" selected="0">
            <x v="0"/>
          </reference>
          <reference field="18" count="1" selected="0">
            <x v="2"/>
          </reference>
        </references>
      </pivotArea>
    </chartFormat>
    <chartFormat chart="8" format="14">
      <pivotArea type="data" outline="0" fieldPosition="0">
        <references count="2">
          <reference field="4294967294" count="1" selected="0">
            <x v="0"/>
          </reference>
          <reference field="1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0A6652-17DC-4044-927A-B274B4993D5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Device Category">
  <location ref="A2:B7" firstHeaderRow="1" firstDataRow="1" firstDataCol="1"/>
  <pivotFields count="29">
    <pivotField showAll="0"/>
    <pivotField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numFmtId="164" showAll="0"/>
    <pivotField numFmtId="10" showAll="0"/>
    <pivotField numFmtId="164" showAll="0"/>
    <pivotField numFmtId="164" showAll="0"/>
    <pivotField numFmtId="10" showAll="0"/>
    <pivotField showAll="0"/>
    <pivotField numFmtId="10" showAll="0"/>
    <pivotField numFmtId="164" showAll="0"/>
    <pivotField numFmtId="164" showAll="0"/>
    <pivotField numFmtId="164" showAll="0"/>
    <pivotField numFmtId="164" showAll="0"/>
    <pivotField numFmtId="164" showAll="0"/>
    <pivotField showAll="0">
      <items count="4">
        <item x="0"/>
        <item x="2"/>
        <item x="1"/>
        <item t="default"/>
      </items>
    </pivotField>
    <pivotField numFmtId="164" showAll="0"/>
    <pivotField dataField="1" numFmtId="164" showAll="0"/>
    <pivotField showAll="0">
      <items count="5">
        <item x="3"/>
        <item x="0"/>
        <item x="1"/>
        <item x="2"/>
        <item t="default"/>
      </items>
    </pivotField>
    <pivotField showAll="0"/>
    <pivotField showAll="0">
      <items count="5">
        <item x="3"/>
        <item x="1"/>
        <item x="0"/>
        <item x="2"/>
        <item t="default"/>
      </items>
    </pivotField>
    <pivotField showAll="0">
      <items count="4">
        <item x="1"/>
        <item x="2"/>
        <item x="0"/>
        <item t="default"/>
      </items>
    </pivotField>
    <pivotField showAll="0">
      <items count="4">
        <item x="1"/>
        <item x="0"/>
        <item x="2"/>
        <item t="default"/>
      </items>
    </pivotField>
    <pivotField numFmtId="164" showAll="0"/>
    <pivotField numFmtId="164" showAll="0"/>
    <pivotField numFmtId="164" showAll="0"/>
    <pivotField numFmtId="10" showAll="0"/>
    <pivotField numFmtId="10" showAll="0"/>
    <pivotField showAll="0"/>
  </pivotFields>
  <rowFields count="1">
    <field x="2"/>
  </rowFields>
  <rowItems count="5">
    <i>
      <x v="2"/>
    </i>
    <i>
      <x/>
    </i>
    <i>
      <x v="3"/>
    </i>
    <i>
      <x v="1"/>
    </i>
    <i t="grand">
      <x/>
    </i>
  </rowItems>
  <colItems count="1">
    <i/>
  </colItems>
  <dataFields count="1">
    <dataField name="Net Profit" fld="17" baseField="2" baseItem="0" numFmtId="164"/>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2" count="1" selected="0">
            <x v="2"/>
          </reference>
        </references>
      </pivotArea>
    </chartFormat>
    <chartFormat chart="6" format="7">
      <pivotArea type="data" outline="0" fieldPosition="0">
        <references count="2">
          <reference field="4294967294" count="1" selected="0">
            <x v="0"/>
          </reference>
          <reference field="2" count="1" selected="0">
            <x v="0"/>
          </reference>
        </references>
      </pivotArea>
    </chartFormat>
    <chartFormat chart="6" format="8">
      <pivotArea type="data" outline="0" fieldPosition="0">
        <references count="2">
          <reference field="4294967294" count="1" selected="0">
            <x v="0"/>
          </reference>
          <reference field="2" count="1" selected="0">
            <x v="3"/>
          </reference>
        </references>
      </pivotArea>
    </chartFormat>
    <chartFormat chart="6" format="9">
      <pivotArea type="data" outline="0" fieldPosition="0">
        <references count="2">
          <reference field="4294967294" count="1" selected="0">
            <x v="0"/>
          </reference>
          <reference field="2"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2" count="1" selected="0">
            <x v="2"/>
          </reference>
        </references>
      </pivotArea>
    </chartFormat>
    <chartFormat chart="7" format="12">
      <pivotArea type="data" outline="0" fieldPosition="0">
        <references count="2">
          <reference field="4294967294" count="1" selected="0">
            <x v="0"/>
          </reference>
          <reference field="2" count="1" selected="0">
            <x v="0"/>
          </reference>
        </references>
      </pivotArea>
    </chartFormat>
    <chartFormat chart="7" format="13">
      <pivotArea type="data" outline="0" fieldPosition="0">
        <references count="2">
          <reference field="4294967294" count="1" selected="0">
            <x v="0"/>
          </reference>
          <reference field="2" count="1" selected="0">
            <x v="3"/>
          </reference>
        </references>
      </pivotArea>
    </chartFormat>
    <chartFormat chart="7" format="14">
      <pivotArea type="data" outline="0" fieldPosition="0">
        <references count="2">
          <reference field="4294967294" count="1" selected="0">
            <x v="0"/>
          </reference>
          <reference field="2" count="1" selected="0">
            <x v="1"/>
          </reference>
        </references>
      </pivotArea>
    </chartFormat>
    <chartFormat chart="22" format="8" series="1">
      <pivotArea type="data" outline="0" fieldPosition="0">
        <references count="1">
          <reference field="4294967294" count="1" selected="0">
            <x v="0"/>
          </reference>
        </references>
      </pivotArea>
    </chartFormat>
    <chartFormat chart="22" format="9">
      <pivotArea type="data" outline="0" fieldPosition="0">
        <references count="2">
          <reference field="4294967294" count="1" selected="0">
            <x v="0"/>
          </reference>
          <reference field="2" count="1" selected="0">
            <x v="2"/>
          </reference>
        </references>
      </pivotArea>
    </chartFormat>
    <chartFormat chart="22" format="10">
      <pivotArea type="data" outline="0" fieldPosition="0">
        <references count="2">
          <reference field="4294967294" count="1" selected="0">
            <x v="0"/>
          </reference>
          <reference field="2" count="1" selected="0">
            <x v="0"/>
          </reference>
        </references>
      </pivotArea>
    </chartFormat>
    <chartFormat chart="22" format="11">
      <pivotArea type="data" outline="0" fieldPosition="0">
        <references count="2">
          <reference field="4294967294" count="1" selected="0">
            <x v="0"/>
          </reference>
          <reference field="2" count="1" selected="0">
            <x v="3"/>
          </reference>
        </references>
      </pivotArea>
    </chartFormat>
    <chartFormat chart="22" format="1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6C9FB7-6248-4CE8-9628-B6EFF517A4F1}"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D2:I8" firstHeaderRow="1" firstDataRow="2" firstDataCol="1"/>
  <pivotFields count="29">
    <pivotField showAll="0"/>
    <pivotField showAll="0"/>
    <pivotField axis="axisRow" showAll="0">
      <items count="5">
        <item x="0"/>
        <item x="2"/>
        <item x="1"/>
        <item x="3"/>
        <item t="default"/>
      </items>
    </pivotField>
    <pivotField numFmtId="164" showAll="0"/>
    <pivotField numFmtId="10" showAll="0"/>
    <pivotField numFmtId="164" showAll="0"/>
    <pivotField numFmtId="164" showAll="0"/>
    <pivotField numFmtId="10" showAll="0"/>
    <pivotField showAll="0"/>
    <pivotField numFmtId="10" showAll="0"/>
    <pivotField numFmtId="164" showAll="0"/>
    <pivotField numFmtId="164" showAll="0"/>
    <pivotField numFmtId="164" showAll="0"/>
    <pivotField numFmtId="164" showAll="0"/>
    <pivotField numFmtId="164" showAll="0"/>
    <pivotField showAll="0">
      <items count="4">
        <item x="0"/>
        <item x="2"/>
        <item x="1"/>
        <item t="default"/>
      </items>
    </pivotField>
    <pivotField numFmtId="164" showAll="0"/>
    <pivotField dataField="1" numFmtId="164" showAll="0"/>
    <pivotField showAll="0">
      <items count="5">
        <item x="3"/>
        <item x="0"/>
        <item x="1"/>
        <item x="2"/>
        <item t="default"/>
      </items>
    </pivotField>
    <pivotField showAll="0"/>
    <pivotField axis="axisCol" showAll="0">
      <items count="5">
        <item x="3"/>
        <item x="1"/>
        <item x="0"/>
        <item x="2"/>
        <item t="default"/>
      </items>
    </pivotField>
    <pivotField showAll="0">
      <items count="4">
        <item x="1"/>
        <item x="2"/>
        <item x="0"/>
        <item t="default"/>
      </items>
    </pivotField>
    <pivotField showAll="0">
      <items count="4">
        <item x="1"/>
        <item x="0"/>
        <item x="2"/>
        <item t="default"/>
      </items>
    </pivotField>
    <pivotField numFmtId="164" showAll="0"/>
    <pivotField numFmtId="164" showAll="0"/>
    <pivotField numFmtId="164" showAll="0"/>
    <pivotField numFmtId="10" showAll="0"/>
    <pivotField numFmtId="10" showAll="0"/>
    <pivotField showAll="0"/>
  </pivotFields>
  <rowFields count="1">
    <field x="2"/>
  </rowFields>
  <rowItems count="5">
    <i>
      <x/>
    </i>
    <i>
      <x v="1"/>
    </i>
    <i>
      <x v="2"/>
    </i>
    <i>
      <x v="3"/>
    </i>
    <i t="grand">
      <x/>
    </i>
  </rowItems>
  <colFields count="1">
    <field x="20"/>
  </colFields>
  <colItems count="5">
    <i>
      <x/>
    </i>
    <i>
      <x v="1"/>
    </i>
    <i>
      <x v="2"/>
    </i>
    <i>
      <x v="3"/>
    </i>
    <i t="grand">
      <x/>
    </i>
  </colItems>
  <dataFields count="1">
    <dataField name="Sum of Net Bank Profit (Rs.)" fld="1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7F775A-E9A6-493A-A330-61E1B57C058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B15" firstHeaderRow="1" firstDataRow="1" firstDataCol="1"/>
  <pivotFields count="29">
    <pivotField showAll="0"/>
    <pivotField showAll="0"/>
    <pivotField showAll="0">
      <items count="5">
        <item x="0"/>
        <item x="2"/>
        <item x="1"/>
        <item x="3"/>
        <item t="default"/>
      </items>
    </pivotField>
    <pivotField numFmtId="164" showAll="0"/>
    <pivotField numFmtId="10" showAll="0"/>
    <pivotField numFmtId="164" showAll="0"/>
    <pivotField numFmtId="164" showAll="0"/>
    <pivotField numFmtId="10" showAll="0"/>
    <pivotField showAll="0"/>
    <pivotField numFmtId="10" showAll="0"/>
    <pivotField numFmtId="164" showAll="0"/>
    <pivotField numFmtId="164" showAll="0"/>
    <pivotField numFmtId="164" showAll="0"/>
    <pivotField numFmtId="164" showAll="0"/>
    <pivotField numFmtId="164" showAll="0"/>
    <pivotField showAll="0">
      <items count="4">
        <item x="0"/>
        <item x="2"/>
        <item x="1"/>
        <item t="default"/>
      </items>
    </pivotField>
    <pivotField numFmtId="164" showAll="0"/>
    <pivotField dataField="1" numFmtId="164" showAll="0"/>
    <pivotField showAll="0">
      <items count="5">
        <item x="3"/>
        <item x="0"/>
        <item x="1"/>
        <item x="2"/>
        <item t="default"/>
      </items>
    </pivotField>
    <pivotField showAll="0"/>
    <pivotField showAll="0">
      <items count="5">
        <item x="3"/>
        <item x="1"/>
        <item x="0"/>
        <item x="2"/>
        <item t="default"/>
      </items>
    </pivotField>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numFmtId="164" showAll="0"/>
    <pivotField numFmtId="164" showAll="0"/>
    <pivotField numFmtId="164" showAll="0"/>
    <pivotField numFmtId="10" showAll="0"/>
    <pivotField numFmtId="10" showAll="0"/>
    <pivotField showAll="0"/>
  </pivotFields>
  <rowFields count="1">
    <field x="21"/>
  </rowFields>
  <rowItems count="4">
    <i>
      <x/>
    </i>
    <i>
      <x v="2"/>
    </i>
    <i>
      <x v="1"/>
    </i>
    <i t="grand">
      <x/>
    </i>
  </rowItems>
  <colItems count="1">
    <i/>
  </colItems>
  <dataFields count="1">
    <dataField name="Sum of Net Bank Profit (Rs.)" fld="17" baseField="0" baseItem="0" numFmtId="164"/>
  </dataFields>
  <chartFormats count="4">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21" count="1" selected="0">
            <x v="0"/>
          </reference>
        </references>
      </pivotArea>
    </chartFormat>
    <chartFormat chart="5" format="10">
      <pivotArea type="data" outline="0" fieldPosition="0">
        <references count="2">
          <reference field="4294967294" count="1" selected="0">
            <x v="0"/>
          </reference>
          <reference field="21" count="1" selected="0">
            <x v="2"/>
          </reference>
        </references>
      </pivotArea>
    </chartFormat>
    <chartFormat chart="5" format="1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221B04-DBF0-4882-A4F5-92427658B5C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7:H43" firstHeaderRow="1" firstDataRow="2" firstDataCol="1"/>
  <pivotFields count="29">
    <pivotField showAll="0"/>
    <pivotField showAll="0"/>
    <pivotField showAll="0">
      <items count="5">
        <item x="0"/>
        <item x="2"/>
        <item x="1"/>
        <item x="3"/>
        <item t="default"/>
      </items>
    </pivotField>
    <pivotField numFmtId="164" showAll="0"/>
    <pivotField numFmtId="10" showAll="0"/>
    <pivotField numFmtId="164" showAll="0"/>
    <pivotField numFmtId="164" showAll="0"/>
    <pivotField numFmtId="10" showAll="0"/>
    <pivotField showAll="0"/>
    <pivotField numFmtId="10" showAll="0"/>
    <pivotField numFmtId="164" showAll="0"/>
    <pivotField numFmtId="164" showAll="0"/>
    <pivotField numFmtId="164" showAll="0"/>
    <pivotField numFmtId="164" showAll="0"/>
    <pivotField numFmtId="164" showAll="0"/>
    <pivotField axis="axisCol" showAll="0">
      <items count="4">
        <item x="0"/>
        <item x="2"/>
        <item x="1"/>
        <item t="default"/>
      </items>
    </pivotField>
    <pivotField dataField="1" numFmtId="164" showAll="0"/>
    <pivotField numFmtId="164" showAll="0"/>
    <pivotField axis="axisRow" showAll="0">
      <items count="5">
        <item x="3"/>
        <item x="0"/>
        <item x="1"/>
        <item x="2"/>
        <item t="default"/>
      </items>
    </pivotField>
    <pivotField showAll="0"/>
    <pivotField showAll="0">
      <items count="5">
        <item x="3"/>
        <item x="1"/>
        <item x="0"/>
        <item x="2"/>
        <item t="default"/>
      </items>
    </pivotField>
    <pivotField showAll="0">
      <items count="4">
        <item x="1"/>
        <item x="2"/>
        <item x="0"/>
        <item t="default"/>
      </items>
    </pivotField>
    <pivotField showAll="0">
      <items count="4">
        <item x="1"/>
        <item x="0"/>
        <item x="2"/>
        <item t="default"/>
      </items>
    </pivotField>
    <pivotField numFmtId="164" showAll="0"/>
    <pivotField numFmtId="164" showAll="0"/>
    <pivotField numFmtId="164" showAll="0"/>
    <pivotField numFmtId="10" showAll="0"/>
    <pivotField numFmtId="10" showAll="0"/>
    <pivotField showAll="0"/>
  </pivotFields>
  <rowFields count="1">
    <field x="18"/>
  </rowFields>
  <rowItems count="5">
    <i>
      <x/>
    </i>
    <i>
      <x v="1"/>
    </i>
    <i>
      <x v="2"/>
    </i>
    <i>
      <x v="3"/>
    </i>
    <i t="grand">
      <x/>
    </i>
  </rowItems>
  <colFields count="1">
    <field x="15"/>
  </colFields>
  <colItems count="4">
    <i>
      <x/>
    </i>
    <i>
      <x v="1"/>
    </i>
    <i>
      <x v="2"/>
    </i>
    <i t="grand">
      <x/>
    </i>
  </colItems>
  <dataFields count="1">
    <dataField name="Sum of Default Loss (Rs.)" fld="1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88C42D-E551-45DA-9A30-41268A96BB8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8:E34" firstHeaderRow="1" firstDataRow="2" firstDataCol="1"/>
  <pivotFields count="29">
    <pivotField showAll="0"/>
    <pivotField showAll="0"/>
    <pivotField axis="axisRow" showAll="0">
      <items count="5">
        <item x="0"/>
        <item x="2"/>
        <item x="1"/>
        <item x="3"/>
        <item t="default"/>
      </items>
    </pivotField>
    <pivotField numFmtId="164" showAll="0"/>
    <pivotField numFmtId="10" showAll="0"/>
    <pivotField numFmtId="164" showAll="0"/>
    <pivotField numFmtId="164" showAll="0"/>
    <pivotField numFmtId="10" showAll="0"/>
    <pivotField showAll="0"/>
    <pivotField numFmtId="10" showAll="0"/>
    <pivotField numFmtId="164" showAll="0"/>
    <pivotField numFmtId="164" showAll="0"/>
    <pivotField numFmtId="164" showAll="0"/>
    <pivotField numFmtId="164" showAll="0"/>
    <pivotField numFmtId="164" showAll="0"/>
    <pivotField showAll="0">
      <items count="4">
        <item x="0"/>
        <item x="2"/>
        <item x="1"/>
        <item t="default"/>
      </items>
    </pivotField>
    <pivotField numFmtId="164" showAll="0"/>
    <pivotField dataField="1" numFmtId="164" showAll="0"/>
    <pivotField showAll="0">
      <items count="5">
        <item x="3"/>
        <item x="0"/>
        <item x="1"/>
        <item x="2"/>
        <item t="default"/>
      </items>
    </pivotField>
    <pivotField showAll="0"/>
    <pivotField showAll="0">
      <items count="5">
        <item x="3"/>
        <item x="1"/>
        <item x="0"/>
        <item x="2"/>
        <item t="default"/>
      </items>
    </pivotField>
    <pivotField showAll="0">
      <items count="4">
        <item x="1"/>
        <item x="2"/>
        <item x="0"/>
        <item t="default"/>
      </items>
    </pivotField>
    <pivotField axis="axisCol" showAll="0">
      <items count="4">
        <item x="1"/>
        <item x="0"/>
        <item x="2"/>
        <item t="default"/>
      </items>
    </pivotField>
    <pivotField numFmtId="164" showAll="0"/>
    <pivotField numFmtId="164" showAll="0"/>
    <pivotField numFmtId="164" showAll="0"/>
    <pivotField numFmtId="10" showAll="0"/>
    <pivotField numFmtId="10" showAll="0"/>
    <pivotField showAll="0"/>
  </pivotFields>
  <rowFields count="1">
    <field x="2"/>
  </rowFields>
  <rowItems count="5">
    <i>
      <x/>
    </i>
    <i>
      <x v="1"/>
    </i>
    <i>
      <x v="2"/>
    </i>
    <i>
      <x v="3"/>
    </i>
    <i t="grand">
      <x/>
    </i>
  </rowItems>
  <colFields count="1">
    <field x="22"/>
  </colFields>
  <colItems count="4">
    <i>
      <x/>
    </i>
    <i>
      <x v="1"/>
    </i>
    <i>
      <x v="2"/>
    </i>
    <i t="grand">
      <x/>
    </i>
  </colItems>
  <dataFields count="1">
    <dataField name="Sum of Net Bank Profit (Rs.)" fld="17" baseField="0" baseItem="0" numFmtId="164"/>
  </dataFields>
  <chartFormats count="15">
    <chartFormat chart="2" format="0" series="1">
      <pivotArea type="data" outline="0" fieldPosition="0">
        <references count="2">
          <reference field="4294967294" count="1" selected="0">
            <x v="0"/>
          </reference>
          <reference field="22" count="1" selected="0">
            <x v="0"/>
          </reference>
        </references>
      </pivotArea>
    </chartFormat>
    <chartFormat chart="2" format="1" series="1">
      <pivotArea type="data" outline="0" fieldPosition="0">
        <references count="2">
          <reference field="4294967294" count="1" selected="0">
            <x v="0"/>
          </reference>
          <reference field="22" count="1" selected="0">
            <x v="1"/>
          </reference>
        </references>
      </pivotArea>
    </chartFormat>
    <chartFormat chart="2" format="2" series="1">
      <pivotArea type="data" outline="0" fieldPosition="0">
        <references count="2">
          <reference field="4294967294" count="1" selected="0">
            <x v="0"/>
          </reference>
          <reference field="22" count="1" selected="0">
            <x v="2"/>
          </reference>
        </references>
      </pivotArea>
    </chartFormat>
    <chartFormat chart="5" format="6" series="1">
      <pivotArea type="data" outline="0" fieldPosition="0">
        <references count="2">
          <reference field="4294967294" count="1" selected="0">
            <x v="0"/>
          </reference>
          <reference field="22" count="1" selected="0">
            <x v="0"/>
          </reference>
        </references>
      </pivotArea>
    </chartFormat>
    <chartFormat chart="5" format="7" series="1">
      <pivotArea type="data" outline="0" fieldPosition="0">
        <references count="2">
          <reference field="4294967294" count="1" selected="0">
            <x v="0"/>
          </reference>
          <reference field="22" count="1" selected="0">
            <x v="1"/>
          </reference>
        </references>
      </pivotArea>
    </chartFormat>
    <chartFormat chart="5" format="8" series="1">
      <pivotArea type="data" outline="0" fieldPosition="0">
        <references count="2">
          <reference field="4294967294" count="1" selected="0">
            <x v="0"/>
          </reference>
          <reference field="22" count="1" selected="0">
            <x v="2"/>
          </reference>
        </references>
      </pivotArea>
    </chartFormat>
    <chartFormat chart="5" format="9">
      <pivotArea type="data" outline="0" fieldPosition="0">
        <references count="3">
          <reference field="4294967294" count="1" selected="0">
            <x v="0"/>
          </reference>
          <reference field="2" count="1" selected="0">
            <x v="0"/>
          </reference>
          <reference field="22" count="1" selected="0">
            <x v="1"/>
          </reference>
        </references>
      </pivotArea>
    </chartFormat>
    <chartFormat chart="5" format="10">
      <pivotArea type="data" outline="0" fieldPosition="0">
        <references count="3">
          <reference field="4294967294" count="1" selected="0">
            <x v="0"/>
          </reference>
          <reference field="2" count="1" selected="0">
            <x v="0"/>
          </reference>
          <reference field="22" count="1" selected="0">
            <x v="0"/>
          </reference>
        </references>
      </pivotArea>
    </chartFormat>
    <chartFormat chart="5" format="11">
      <pivotArea type="data" outline="0" fieldPosition="0">
        <references count="3">
          <reference field="4294967294" count="1" selected="0">
            <x v="0"/>
          </reference>
          <reference field="2" count="1" selected="0">
            <x v="0"/>
          </reference>
          <reference field="22" count="1" selected="0">
            <x v="2"/>
          </reference>
        </references>
      </pivotArea>
    </chartFormat>
    <chartFormat chart="5" format="12">
      <pivotArea type="data" outline="0" fieldPosition="0">
        <references count="3">
          <reference field="4294967294" count="1" selected="0">
            <x v="0"/>
          </reference>
          <reference field="2" count="1" selected="0">
            <x v="1"/>
          </reference>
          <reference field="22" count="1" selected="0">
            <x v="1"/>
          </reference>
        </references>
      </pivotArea>
    </chartFormat>
    <chartFormat chart="5" format="13">
      <pivotArea type="data" outline="0" fieldPosition="0">
        <references count="3">
          <reference field="4294967294" count="1" selected="0">
            <x v="0"/>
          </reference>
          <reference field="2" count="1" selected="0">
            <x v="1"/>
          </reference>
          <reference field="22" count="1" selected="0">
            <x v="0"/>
          </reference>
        </references>
      </pivotArea>
    </chartFormat>
    <chartFormat chart="5" format="14">
      <pivotArea type="data" outline="0" fieldPosition="0">
        <references count="3">
          <reference field="4294967294" count="1" selected="0">
            <x v="0"/>
          </reference>
          <reference field="2" count="1" selected="0">
            <x v="2"/>
          </reference>
          <reference field="22" count="1" selected="0">
            <x v="1"/>
          </reference>
        </references>
      </pivotArea>
    </chartFormat>
    <chartFormat chart="5" format="15">
      <pivotArea type="data" outline="0" fieldPosition="0">
        <references count="3">
          <reference field="4294967294" count="1" selected="0">
            <x v="0"/>
          </reference>
          <reference field="2" count="1" selected="0">
            <x v="3"/>
          </reference>
          <reference field="22" count="1" selected="0">
            <x v="2"/>
          </reference>
        </references>
      </pivotArea>
    </chartFormat>
    <chartFormat chart="5" format="16">
      <pivotArea type="data" outline="0" fieldPosition="0">
        <references count="3">
          <reference field="4294967294" count="1" selected="0">
            <x v="0"/>
          </reference>
          <reference field="2" count="1" selected="0">
            <x v="3"/>
          </reference>
          <reference field="22" count="1" selected="0">
            <x v="1"/>
          </reference>
        </references>
      </pivotArea>
    </chartFormat>
    <chartFormat chart="5" format="17">
      <pivotArea type="data" outline="0" fieldPosition="0">
        <references count="3">
          <reference field="4294967294" count="1" selected="0">
            <x v="0"/>
          </reference>
          <reference field="2" count="1" selected="0">
            <x v="2"/>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tatus" xr10:uid="{33BCF691-6CD6-4D44-9993-3E855483580B}" sourceName="Loan Status">
  <pivotTables>
    <pivotTable tabId="3" name="PivotTable1"/>
    <pivotTable tabId="4" name="PivotTable1"/>
    <pivotTable tabId="4" name="PivotTable10"/>
    <pivotTable tabId="4" name="PivotTable11"/>
    <pivotTable tabId="4" name="PivotTable2"/>
    <pivotTable tabId="4" name="PivotTable3"/>
    <pivotTable tabId="4" name="PivotTable4"/>
    <pivotTable tabId="4" name="PivotTable9"/>
  </pivotTables>
  <data>
    <tabular pivotCacheId="23873996">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4B450B6-D9C0-4FD2-A410-5B244207939E}" sourceName="Region">
  <pivotTables>
    <pivotTable tabId="3" name="PivotTable1"/>
    <pivotTable tabId="4" name="PivotTable1"/>
    <pivotTable tabId="4" name="PivotTable10"/>
    <pivotTable tabId="4" name="PivotTable11"/>
    <pivotTable tabId="4" name="PivotTable2"/>
    <pivotTable tabId="4" name="PivotTable3"/>
    <pivotTable tabId="4" name="PivotTable4"/>
    <pivotTable tabId="4" name="PivotTable9"/>
  </pivotTables>
  <data>
    <tabular pivotCacheId="23873996">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ize_Segment" xr10:uid="{28C78F13-8436-4BD4-B73C-1AE599F9E00D}" sourceName="Loan Size Segment">
  <pivotTables>
    <pivotTable tabId="3" name="PivotTable1"/>
    <pivotTable tabId="4" name="PivotTable1"/>
    <pivotTable tabId="4" name="PivotTable10"/>
    <pivotTable tabId="4" name="PivotTable11"/>
    <pivotTable tabId="4" name="PivotTable2"/>
    <pivotTable tabId="4" name="PivotTable3"/>
    <pivotTable tabId="4" name="PivotTable4"/>
    <pivotTable tabId="4" name="PivotTable9"/>
  </pivotTables>
  <data>
    <tabular pivotCacheId="23873996">
      <items count="4">
        <i x="3" s="1"/>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est_Rate_Segment" xr10:uid="{E0CDDDE3-9282-40EA-B59C-C2D5906F8AC3}" sourceName="Interest Rate Segment">
  <pivotTables>
    <pivotTable tabId="3" name="PivotTable1"/>
    <pivotTable tabId="4" name="PivotTable1"/>
    <pivotTable tabId="4" name="PivotTable10"/>
    <pivotTable tabId="4" name="PivotTable11"/>
    <pivotTable tabId="4" name="PivotTable2"/>
    <pivotTable tabId="4" name="PivotTable3"/>
    <pivotTable tabId="4" name="PivotTable4"/>
    <pivotTable tabId="4" name="PivotTable9"/>
  </pivotTables>
  <data>
    <tabular pivotCacheId="23873996">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Segment" xr10:uid="{F470E2F5-8933-4A1B-AF48-0FD4C4EFA340}" sourceName="Tenure Segment">
  <pivotTables>
    <pivotTable tabId="3" name="PivotTable1"/>
    <pivotTable tabId="4" name="PivotTable1"/>
    <pivotTable tabId="4" name="PivotTable10"/>
    <pivotTable tabId="4" name="PivotTable11"/>
    <pivotTable tabId="4" name="PivotTable2"/>
    <pivotTable tabId="4" name="PivotTable3"/>
    <pivotTable tabId="4" name="PivotTable4"/>
    <pivotTable tabId="4" name="PivotTable9"/>
  </pivotTables>
  <data>
    <tabular pivotCacheId="23873996">
      <items count="3">
        <i x="1"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_Category" xr10:uid="{31B704D6-1920-4B3C-9E2F-A5934D48D5DB}" sourceName="Device Category">
  <pivotTables>
    <pivotTable tabId="3" name="PivotTable1"/>
    <pivotTable tabId="4" name="PivotTable1"/>
    <pivotTable tabId="4" name="PivotTable10"/>
    <pivotTable tabId="4" name="PivotTable11"/>
    <pivotTable tabId="4" name="PivotTable2"/>
    <pivotTable tabId="4" name="PivotTable3"/>
    <pivotTable tabId="4" name="PivotTable4"/>
    <pivotTable tabId="4" name="PivotTable9"/>
  </pivotTables>
  <data>
    <tabular pivotCacheId="23873996">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 Status" xr10:uid="{1771323D-5C01-4590-8245-A5BB643BC8AA}" cache="Slicer_Loan_Status" caption="Loan Status" rowHeight="234950"/>
  <slicer name="Region" xr10:uid="{59D73B4B-C960-424D-A28E-69EED9D8D097}" cache="Slicer_Region" caption="Region" rowHeight="234950"/>
  <slicer name="Loan Size Segment" xr10:uid="{BAB73CF0-500E-4998-BD8F-BD42DCBAE0D0}" cache="Slicer_Loan_Size_Segment" caption="Loan Size Segment" rowHeight="234950"/>
  <slicer name="Interest Rate Segment" xr10:uid="{1DED008E-A0A2-42E4-B054-839A9C033F11}" cache="Slicer_Interest_Rate_Segment" caption="Interest Rate Segment" rowHeight="234950"/>
  <slicer name="Tenure Segment" xr10:uid="{1D63C6FF-0738-4F68-8E0D-FEA30944F1AC}" cache="Slicer_Tenure_Segment" caption="Tenure Segment" rowHeight="234950"/>
  <slicer name="Device Category" xr10:uid="{248B7378-150B-4BA3-AE5E-A66710B0BCE4}" cache="Slicer_Device_Category" caption="Device 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 Status 1" xr10:uid="{9BDE27D8-C5C9-41E0-9EFA-765ECF2CCF94}" cache="Slicer_Loan_Status" caption="Loan Status" columnCount="2" rowHeight="234950"/>
  <slicer name="Region 1" xr10:uid="{025A530D-E476-484E-B652-364ABA4373BD}" cache="Slicer_Region" caption="Region" columnCount="2" rowHeight="234950"/>
  <slicer name="Interest Rate Segment 1" xr10:uid="{03158FE8-4558-4D69-9175-6CE297E35363}" cache="Slicer_Interest_Rate_Segment" caption="Interest Rate Segment" columnCount="2" rowHeight="234950"/>
  <slicer name="Tenure Segment 1" xr10:uid="{1DAAC50A-3913-4DF3-A044-0D599DB6F7FC}" cache="Slicer_Tenure_Segment" caption="Tenure Segment" columnCount="2" rowHeight="234950"/>
  <slicer name="Device Category 1" xr10:uid="{30989C7D-3042-4A64-B046-898CFAD9355E}" cache="Slicer_Device_Category" caption="Device Category"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BBBCB8-A877-4C36-B351-A54543C58B15}" name="LoanData" displayName="LoanData" ref="A1:AC501" totalsRowShown="0" headerRowDxfId="21" headerRowBorderDxfId="20" tableBorderDxfId="19">
  <autoFilter ref="A1:AC501" xr:uid="{00000000-0009-0000-0000-000000000000}"/>
  <tableColumns count="29">
    <tableColumn id="1" xr3:uid="{96C65CC1-98C0-469D-9309-903E74E4335F}" name="Loan ID"/>
    <tableColumn id="2" xr3:uid="{8B4DDBB1-BC8E-4520-A5CC-882B23CD2F0A}" name="Customer ID"/>
    <tableColumn id="3" xr3:uid="{48A9C8C4-D228-45A3-BC14-D329A32DE9C9}" name="Device Category"/>
    <tableColumn id="4" xr3:uid="{28D2931E-E1AA-40FE-83D5-0A54E98CE732}" name="Device Price (Rs.)" dataDxfId="18"/>
    <tableColumn id="5" xr3:uid="{0B8F9607-3168-4AFA-B419-C53FC6C3E855}" name="Down Payment %" dataDxfId="17"/>
    <tableColumn id="6" xr3:uid="{F5C12D08-5A9A-4A3A-9DA1-EF1B919555E0}" name="Down Payment (Rs.)" dataDxfId="16"/>
    <tableColumn id="7" xr3:uid="{7BAF0834-2184-4AE5-BE5B-13ED84F6F812}" name="Loan Amount / Principal (Rs.)" dataDxfId="15"/>
    <tableColumn id="8" xr3:uid="{8BAA0AD6-A170-48DB-8269-DE166CF27341}" name="Interest Rate (Annual %)" dataDxfId="14"/>
    <tableColumn id="9" xr3:uid="{606C3ED1-A046-4221-B7A8-C70EDAE41C85}" name="Tenure (Months)"/>
    <tableColumn id="10" xr3:uid="{FA1D3D31-E29E-449E-82E9-EFFEAA9DD9B7}" name="Monthly Interest Rate" dataDxfId="13"/>
    <tableColumn id="11" xr3:uid="{9EAFE378-B40C-4820-BCCF-399FFB57A77D}" name="EMI (Rs.)" dataDxfId="12"/>
    <tableColumn id="12" xr3:uid="{B146FF21-A9C9-4AB9-876F-26DDB99DAA7B}" name="Total Payment (Rs.)" dataDxfId="11"/>
    <tableColumn id="13" xr3:uid="{EAC6A288-EBA2-48A6-A0DC-C5269F554F9D}" name="Total Interest Income (Rs.)" dataDxfId="10"/>
    <tableColumn id="14" xr3:uid="{CC3B29CC-46BA-499F-B6CE-4967AF0B0722}" name="Processing Fee (Rs.)" dataDxfId="9"/>
    <tableColumn id="15" xr3:uid="{F84AB765-A61A-4378-97AB-1DB8BBE707BE}" name="Cost of Funds (Rs.)" dataDxfId="8"/>
    <tableColumn id="16" xr3:uid="{3EE606CF-08AD-4AAE-A90A-29A5ED0E027B}" name="Loan Status"/>
    <tableColumn id="17" xr3:uid="{24397F12-EFA6-4821-9BC5-E1787E1E8253}" name="Default Loss (Rs.)" dataDxfId="7"/>
    <tableColumn id="18" xr3:uid="{4E4523DC-EC7A-47CD-9597-C125663F0CFA}" name="Net Bank Profit (Rs.)" dataDxfId="6"/>
    <tableColumn id="19" xr3:uid="{4BACC74B-26F8-46D8-9A17-615E070A444D}" name="Region"/>
    <tableColumn id="20" xr3:uid="{4052C51F-DE64-4DDB-9F00-379F543B1BC8}" name="Disbursement Month"/>
    <tableColumn id="21" xr3:uid="{2E4E8C0A-096C-4502-B540-CD50D61D1B2F}" name="Loan Size Segment"/>
    <tableColumn id="22" xr3:uid="{0609B3DC-BC9A-4A8D-B638-CEEE46EAAF08}" name="Interest Rate Segment"/>
    <tableColumn id="23" xr3:uid="{F9DB8E48-75E2-4473-95DD-6AAE84D9AC98}" name="Tenure Segment"/>
    <tableColumn id="24" xr3:uid="{2DB26E88-A9AB-4256-9B83-27832A79DDE7}" name="Calculated Revenue (Rs.)" dataDxfId="5"/>
    <tableColumn id="25" xr3:uid="{76934097-0EA1-4435-9F91-CFC6C3486B21}" name="Calculated Cost (Rs.)" dataDxfId="4"/>
    <tableColumn id="26" xr3:uid="{1C958AFC-4CBC-4F71-97BE-E60320446363}" name="Calculated Profit (Rs.)" dataDxfId="3"/>
    <tableColumn id="27" xr3:uid="{15009CCD-EB87-4FB7-840A-CED6F47F3FAB}" name="Profit Margin %" dataDxfId="2"/>
    <tableColumn id="28" xr3:uid="{A12F21B3-1CC7-46BE-87E7-076BCEA646D2}" name="Default Loss %" dataDxfId="1"/>
    <tableColumn id="29" xr3:uid="{3A42D0BD-85C1-4A4C-924F-38F41C9EAD42}" name="Profit Check"/>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501"/>
  <sheetViews>
    <sheetView topLeftCell="G1" workbookViewId="0">
      <pane ySplit="1" topLeftCell="A474" activePane="bottomLeft" state="frozen"/>
      <selection pane="bottomLeft" sqref="A1:AC501"/>
    </sheetView>
  </sheetViews>
  <sheetFormatPr defaultRowHeight="14.4" x14ac:dyDescent="0.3"/>
  <cols>
    <col min="1" max="1" width="12" customWidth="1"/>
    <col min="2" max="2" width="13.21875" customWidth="1"/>
    <col min="3" max="3" width="17" customWidth="1"/>
    <col min="4" max="4" width="20" customWidth="1"/>
    <col min="5" max="5" width="17.6640625" customWidth="1"/>
    <col min="6" max="6" width="20" customWidth="1"/>
    <col min="7" max="7" width="31" customWidth="1"/>
    <col min="8" max="8" width="26" customWidth="1"/>
    <col min="9" max="9" width="17.109375" customWidth="1"/>
    <col min="10" max="10" width="23" customWidth="1"/>
    <col min="11" max="11" width="19" customWidth="1"/>
    <col min="12" max="12" width="21" customWidth="1"/>
    <col min="13" max="13" width="29" customWidth="1"/>
    <col min="14" max="14" width="22" customWidth="1"/>
    <col min="15" max="15" width="21" customWidth="1"/>
    <col min="16" max="16" width="13" customWidth="1"/>
    <col min="17" max="17" width="20" customWidth="1"/>
    <col min="18" max="18" width="23" customWidth="1"/>
    <col min="19" max="19" width="12" customWidth="1"/>
    <col min="20" max="20" width="20.6640625" customWidth="1"/>
    <col min="21" max="21" width="19" customWidth="1"/>
    <col min="22" max="22" width="23" customWidth="1"/>
    <col min="23" max="23" width="16.6640625" customWidth="1"/>
    <col min="24" max="24" width="26" customWidth="1"/>
    <col min="25" max="25" width="23" customWidth="1"/>
    <col min="26" max="26" width="25" customWidth="1"/>
    <col min="27" max="27" width="24" customWidth="1"/>
    <col min="28" max="28" width="16" customWidth="1"/>
    <col min="29" max="29" width="14" customWidth="1"/>
  </cols>
  <sheetData>
    <row r="1" spans="1:29" x14ac:dyDescent="0.3">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20</v>
      </c>
      <c r="V1" s="10" t="s">
        <v>21</v>
      </c>
      <c r="W1" s="10" t="s">
        <v>22</v>
      </c>
      <c r="X1" s="10" t="s">
        <v>23</v>
      </c>
      <c r="Y1" s="10" t="s">
        <v>24</v>
      </c>
      <c r="Z1" s="10" t="s">
        <v>25</v>
      </c>
      <c r="AA1" s="10" t="s">
        <v>26</v>
      </c>
      <c r="AB1" s="10" t="s">
        <v>27</v>
      </c>
      <c r="AC1" s="10" t="s">
        <v>28</v>
      </c>
    </row>
    <row r="2" spans="1:29" x14ac:dyDescent="0.3">
      <c r="A2" t="s">
        <v>29</v>
      </c>
      <c r="B2" t="s">
        <v>30</v>
      </c>
      <c r="C2" t="s">
        <v>31</v>
      </c>
      <c r="D2" s="2">
        <v>66000</v>
      </c>
      <c r="E2" s="3">
        <v>0.1</v>
      </c>
      <c r="F2" s="2">
        <v>6600</v>
      </c>
      <c r="G2" s="2">
        <v>59400</v>
      </c>
      <c r="H2" s="3">
        <v>0.122</v>
      </c>
      <c r="I2">
        <v>24</v>
      </c>
      <c r="J2" s="3">
        <v>1.0166666666666669E-2</v>
      </c>
      <c r="K2" s="2">
        <v>2801.7153556443259</v>
      </c>
      <c r="L2" s="2">
        <v>67241.168535463832</v>
      </c>
      <c r="M2" s="2">
        <v>7841.1685354638321</v>
      </c>
      <c r="N2" s="2">
        <v>594</v>
      </c>
      <c r="O2" s="2">
        <v>7722</v>
      </c>
      <c r="P2" t="s">
        <v>32</v>
      </c>
      <c r="Q2" s="2">
        <v>0</v>
      </c>
      <c r="R2" s="2">
        <v>713.16853546383209</v>
      </c>
      <c r="S2" t="s">
        <v>33</v>
      </c>
      <c r="T2" t="s">
        <v>34</v>
      </c>
      <c r="U2" t="s">
        <v>35</v>
      </c>
      <c r="V2" t="s">
        <v>36</v>
      </c>
      <c r="W2" t="s">
        <v>37</v>
      </c>
      <c r="X2" s="2">
        <v>8435.1685354638321</v>
      </c>
      <c r="Y2" s="2">
        <v>7722</v>
      </c>
      <c r="Z2" s="2">
        <v>713.16853546383209</v>
      </c>
      <c r="AA2" s="3">
        <v>1.200620430073791E-2</v>
      </c>
      <c r="AB2" s="3">
        <v>0</v>
      </c>
      <c r="AC2" t="s">
        <v>38</v>
      </c>
    </row>
    <row r="3" spans="1:29" x14ac:dyDescent="0.3">
      <c r="A3" t="s">
        <v>39</v>
      </c>
      <c r="B3" t="s">
        <v>40</v>
      </c>
      <c r="C3" t="s">
        <v>41</v>
      </c>
      <c r="D3" s="2">
        <v>28700</v>
      </c>
      <c r="E3" s="3">
        <v>0.2</v>
      </c>
      <c r="F3" s="2">
        <v>5740</v>
      </c>
      <c r="G3" s="2">
        <v>22960</v>
      </c>
      <c r="H3" s="3">
        <v>0.13750000000000001</v>
      </c>
      <c r="I3">
        <v>24</v>
      </c>
      <c r="J3" s="3">
        <v>1.1458333333333331E-2</v>
      </c>
      <c r="K3" s="2">
        <v>1099.666085316901</v>
      </c>
      <c r="L3" s="2">
        <v>26391.98604760562</v>
      </c>
      <c r="M3" s="2">
        <v>3431.9860476056242</v>
      </c>
      <c r="N3" s="2">
        <v>499</v>
      </c>
      <c r="O3" s="2">
        <v>2984.8</v>
      </c>
      <c r="P3" t="s">
        <v>42</v>
      </c>
      <c r="Q3" s="2">
        <v>9184</v>
      </c>
      <c r="R3" s="2">
        <v>-8237.8139523943755</v>
      </c>
      <c r="S3" t="s">
        <v>43</v>
      </c>
      <c r="T3" t="s">
        <v>44</v>
      </c>
      <c r="U3" t="s">
        <v>35</v>
      </c>
      <c r="V3" t="s">
        <v>36</v>
      </c>
      <c r="W3" t="s">
        <v>37</v>
      </c>
      <c r="X3" s="2">
        <v>3930.9860476056242</v>
      </c>
      <c r="Y3" s="2">
        <v>12168.8</v>
      </c>
      <c r="Z3" s="2">
        <v>-8237.8139523943755</v>
      </c>
      <c r="AA3" s="3">
        <v>-0.35878980628895363</v>
      </c>
      <c r="AB3" s="3">
        <v>0.4</v>
      </c>
      <c r="AC3" t="s">
        <v>38</v>
      </c>
    </row>
    <row r="4" spans="1:29" x14ac:dyDescent="0.3">
      <c r="A4" t="s">
        <v>45</v>
      </c>
      <c r="B4" t="s">
        <v>46</v>
      </c>
      <c r="C4" t="s">
        <v>31</v>
      </c>
      <c r="D4" s="2">
        <v>190800</v>
      </c>
      <c r="E4" s="3">
        <v>0.15</v>
      </c>
      <c r="F4" s="2">
        <v>28620</v>
      </c>
      <c r="G4" s="2">
        <v>162180</v>
      </c>
      <c r="H4" s="3">
        <v>0.1176</v>
      </c>
      <c r="I4">
        <v>60</v>
      </c>
      <c r="J4" s="3">
        <v>9.7999999999999997E-3</v>
      </c>
      <c r="K4" s="2">
        <v>3587.966204900471</v>
      </c>
      <c r="L4" s="2">
        <v>215277.97229402821</v>
      </c>
      <c r="M4" s="2">
        <v>53097.972294028237</v>
      </c>
      <c r="N4" s="2">
        <v>1621.8</v>
      </c>
      <c r="O4" s="2">
        <v>52708.5</v>
      </c>
      <c r="P4" t="s">
        <v>32</v>
      </c>
      <c r="Q4" s="2">
        <v>0</v>
      </c>
      <c r="R4" s="2">
        <v>2011.2722940282399</v>
      </c>
      <c r="S4" t="s">
        <v>33</v>
      </c>
      <c r="T4" t="s">
        <v>47</v>
      </c>
      <c r="U4" t="s">
        <v>48</v>
      </c>
      <c r="V4" t="s">
        <v>36</v>
      </c>
      <c r="W4" t="s">
        <v>49</v>
      </c>
      <c r="X4" s="2">
        <v>54719.77229402824</v>
      </c>
      <c r="Y4" s="2">
        <v>52708.5</v>
      </c>
      <c r="Z4" s="2">
        <v>2011.2722940282399</v>
      </c>
      <c r="AA4" s="3">
        <v>1.240148165019263E-2</v>
      </c>
      <c r="AB4" s="3">
        <v>0</v>
      </c>
      <c r="AC4" t="s">
        <v>38</v>
      </c>
    </row>
    <row r="5" spans="1:29" x14ac:dyDescent="0.3">
      <c r="A5" t="s">
        <v>50</v>
      </c>
      <c r="B5" t="s">
        <v>51</v>
      </c>
      <c r="C5" t="s">
        <v>31</v>
      </c>
      <c r="D5" s="2">
        <v>141700</v>
      </c>
      <c r="E5" s="3">
        <v>0.05</v>
      </c>
      <c r="F5" s="2">
        <v>7085</v>
      </c>
      <c r="G5" s="2">
        <v>134615</v>
      </c>
      <c r="H5" s="3">
        <v>0.1124</v>
      </c>
      <c r="I5">
        <v>36</v>
      </c>
      <c r="J5" s="3">
        <v>9.3666666666666672E-3</v>
      </c>
      <c r="K5" s="2">
        <v>4422.4378509915659</v>
      </c>
      <c r="L5" s="2">
        <v>159207.76263569639</v>
      </c>
      <c r="M5" s="2">
        <v>24592.762635696388</v>
      </c>
      <c r="N5" s="2">
        <v>1346.15</v>
      </c>
      <c r="O5" s="2">
        <v>26249.924999999999</v>
      </c>
      <c r="P5" t="s">
        <v>52</v>
      </c>
      <c r="Q5" s="2">
        <v>0</v>
      </c>
      <c r="R5" s="2">
        <v>-311.01236430361308</v>
      </c>
      <c r="S5" t="s">
        <v>33</v>
      </c>
      <c r="T5" t="s">
        <v>53</v>
      </c>
      <c r="U5" t="s">
        <v>48</v>
      </c>
      <c r="V5" t="s">
        <v>36</v>
      </c>
      <c r="W5" t="s">
        <v>37</v>
      </c>
      <c r="X5" s="2">
        <v>25938.91263569639</v>
      </c>
      <c r="Y5" s="2">
        <v>26249.924999999999</v>
      </c>
      <c r="Z5" s="2">
        <v>-311.01236430361308</v>
      </c>
      <c r="AA5" s="3">
        <v>-2.3103841644958822E-3</v>
      </c>
      <c r="AB5" s="3">
        <v>0</v>
      </c>
      <c r="AC5" t="s">
        <v>38</v>
      </c>
    </row>
    <row r="6" spans="1:29" x14ac:dyDescent="0.3">
      <c r="A6" t="s">
        <v>54</v>
      </c>
      <c r="B6" t="s">
        <v>55</v>
      </c>
      <c r="C6" t="s">
        <v>56</v>
      </c>
      <c r="D6" s="2">
        <v>1064100</v>
      </c>
      <c r="E6" s="3">
        <v>0.3</v>
      </c>
      <c r="F6" s="2">
        <v>319230</v>
      </c>
      <c r="G6" s="2">
        <v>744870</v>
      </c>
      <c r="H6" s="3">
        <v>0.10920000000000001</v>
      </c>
      <c r="I6">
        <v>72</v>
      </c>
      <c r="J6" s="3">
        <v>9.1000000000000004E-3</v>
      </c>
      <c r="K6" s="2">
        <v>14147.412048111029</v>
      </c>
      <c r="L6" s="2">
        <v>1018613.667463994</v>
      </c>
      <c r="M6" s="2">
        <v>273743.66746399453</v>
      </c>
      <c r="N6" s="2">
        <v>7448.7</v>
      </c>
      <c r="O6" s="2">
        <v>290499.3</v>
      </c>
      <c r="P6" t="s">
        <v>52</v>
      </c>
      <c r="Q6" s="2">
        <v>0</v>
      </c>
      <c r="R6" s="2">
        <v>-9306.9325360055664</v>
      </c>
      <c r="S6" t="s">
        <v>57</v>
      </c>
      <c r="T6" t="s">
        <v>58</v>
      </c>
      <c r="U6" t="s">
        <v>59</v>
      </c>
      <c r="V6" t="s">
        <v>36</v>
      </c>
      <c r="W6" t="s">
        <v>49</v>
      </c>
      <c r="X6" s="2">
        <v>281192.36746399448</v>
      </c>
      <c r="Y6" s="2">
        <v>290499.3</v>
      </c>
      <c r="Z6" s="2">
        <v>-9306.9325360055664</v>
      </c>
      <c r="AA6" s="3">
        <v>-1.249470717844129E-2</v>
      </c>
      <c r="AB6" s="3">
        <v>0</v>
      </c>
      <c r="AC6" t="s">
        <v>38</v>
      </c>
    </row>
    <row r="7" spans="1:29" x14ac:dyDescent="0.3">
      <c r="A7" t="s">
        <v>60</v>
      </c>
      <c r="B7" t="s">
        <v>61</v>
      </c>
      <c r="C7" t="s">
        <v>41</v>
      </c>
      <c r="D7" s="2">
        <v>128700</v>
      </c>
      <c r="E7" s="3">
        <v>0.2</v>
      </c>
      <c r="F7" s="2">
        <v>25740</v>
      </c>
      <c r="G7" s="2">
        <v>102960</v>
      </c>
      <c r="H7" s="3">
        <v>0.16950000000000001</v>
      </c>
      <c r="I7">
        <v>12</v>
      </c>
      <c r="J7" s="3">
        <v>1.4125E-2</v>
      </c>
      <c r="K7" s="2">
        <v>9387.9983718841049</v>
      </c>
      <c r="L7" s="2">
        <v>112655.9804626093</v>
      </c>
      <c r="M7" s="2">
        <v>9695.9804626092664</v>
      </c>
      <c r="N7" s="2">
        <v>1029.5999999999999</v>
      </c>
      <c r="O7" s="2">
        <v>6692.4000000000005</v>
      </c>
      <c r="P7" t="s">
        <v>52</v>
      </c>
      <c r="Q7" s="2">
        <v>0</v>
      </c>
      <c r="R7" s="2">
        <v>4033.1804626092662</v>
      </c>
      <c r="S7" t="s">
        <v>33</v>
      </c>
      <c r="T7" t="s">
        <v>62</v>
      </c>
      <c r="U7" t="s">
        <v>48</v>
      </c>
      <c r="V7" t="s">
        <v>63</v>
      </c>
      <c r="W7" t="s">
        <v>64</v>
      </c>
      <c r="X7" s="2">
        <v>10725.58046260927</v>
      </c>
      <c r="Y7" s="2">
        <v>6692.4000000000005</v>
      </c>
      <c r="Z7" s="2">
        <v>4033.1804626092662</v>
      </c>
      <c r="AA7" s="3">
        <v>3.9172304415396923E-2</v>
      </c>
      <c r="AB7" s="3">
        <v>0</v>
      </c>
      <c r="AC7" t="s">
        <v>38</v>
      </c>
    </row>
    <row r="8" spans="1:29" x14ac:dyDescent="0.3">
      <c r="A8" t="s">
        <v>65</v>
      </c>
      <c r="B8" t="s">
        <v>66</v>
      </c>
      <c r="C8" t="s">
        <v>31</v>
      </c>
      <c r="D8" s="2">
        <v>245500</v>
      </c>
      <c r="E8" s="3">
        <v>0.05</v>
      </c>
      <c r="F8" s="2">
        <v>12275</v>
      </c>
      <c r="G8" s="2">
        <v>233225</v>
      </c>
      <c r="H8" s="3">
        <v>0.17879999999999999</v>
      </c>
      <c r="I8">
        <v>24</v>
      </c>
      <c r="J8" s="3">
        <v>1.49E-2</v>
      </c>
      <c r="K8" s="2">
        <v>11630.0304829134</v>
      </c>
      <c r="L8" s="2">
        <v>279120.73158992152</v>
      </c>
      <c r="M8" s="2">
        <v>45895.731589921517</v>
      </c>
      <c r="N8" s="2">
        <v>2332.25</v>
      </c>
      <c r="O8" s="2">
        <v>30319.25</v>
      </c>
      <c r="P8" t="s">
        <v>32</v>
      </c>
      <c r="Q8" s="2">
        <v>0</v>
      </c>
      <c r="R8" s="2">
        <v>17908.731589921521</v>
      </c>
      <c r="S8" t="s">
        <v>57</v>
      </c>
      <c r="T8" t="s">
        <v>67</v>
      </c>
      <c r="U8" t="s">
        <v>48</v>
      </c>
      <c r="V8" t="s">
        <v>63</v>
      </c>
      <c r="W8" t="s">
        <v>37</v>
      </c>
      <c r="X8" s="2">
        <v>48227.981589921517</v>
      </c>
      <c r="Y8" s="2">
        <v>30319.25</v>
      </c>
      <c r="Z8" s="2">
        <v>17908.731589921521</v>
      </c>
      <c r="AA8" s="3">
        <v>7.678735808734706E-2</v>
      </c>
      <c r="AB8" s="3">
        <v>0</v>
      </c>
      <c r="AC8" t="s">
        <v>38</v>
      </c>
    </row>
    <row r="9" spans="1:29" x14ac:dyDescent="0.3">
      <c r="A9" t="s">
        <v>68</v>
      </c>
      <c r="B9" t="s">
        <v>69</v>
      </c>
      <c r="C9" t="s">
        <v>56</v>
      </c>
      <c r="D9" s="2">
        <v>578900</v>
      </c>
      <c r="E9" s="3">
        <v>0.1</v>
      </c>
      <c r="F9" s="2">
        <v>57890</v>
      </c>
      <c r="G9" s="2">
        <v>521010</v>
      </c>
      <c r="H9" s="3">
        <v>9.5699999999999993E-2</v>
      </c>
      <c r="I9">
        <v>60</v>
      </c>
      <c r="J9" s="3">
        <v>7.9749999999999995E-3</v>
      </c>
      <c r="K9" s="2">
        <v>10960.011231980339</v>
      </c>
      <c r="L9" s="2">
        <v>657600.67391882068</v>
      </c>
      <c r="M9" s="2">
        <v>136590.67391882071</v>
      </c>
      <c r="N9" s="2">
        <v>5210.1000000000004</v>
      </c>
      <c r="O9" s="2">
        <v>169328.25</v>
      </c>
      <c r="P9" t="s">
        <v>32</v>
      </c>
      <c r="Q9" s="2">
        <v>0</v>
      </c>
      <c r="R9" s="2">
        <v>-27527.476081179309</v>
      </c>
      <c r="S9" t="s">
        <v>43</v>
      </c>
      <c r="T9" t="s">
        <v>70</v>
      </c>
      <c r="U9" t="s">
        <v>59</v>
      </c>
      <c r="V9" t="s">
        <v>71</v>
      </c>
      <c r="W9" t="s">
        <v>49</v>
      </c>
      <c r="X9" s="2">
        <v>141800.77391882069</v>
      </c>
      <c r="Y9" s="2">
        <v>169328.25</v>
      </c>
      <c r="Z9" s="2">
        <v>-27527.476081179309</v>
      </c>
      <c r="AA9" s="3">
        <v>-5.2834832500680037E-2</v>
      </c>
      <c r="AB9" s="3">
        <v>0</v>
      </c>
      <c r="AC9" t="s">
        <v>38</v>
      </c>
    </row>
    <row r="10" spans="1:29" x14ac:dyDescent="0.3">
      <c r="A10" t="s">
        <v>72</v>
      </c>
      <c r="B10" t="s">
        <v>73</v>
      </c>
      <c r="C10" t="s">
        <v>31</v>
      </c>
      <c r="D10" s="2">
        <v>99200</v>
      </c>
      <c r="E10" s="3">
        <v>0.1</v>
      </c>
      <c r="F10" s="2">
        <v>9920</v>
      </c>
      <c r="G10" s="2">
        <v>89280</v>
      </c>
      <c r="H10" s="3">
        <v>0.13039999999999999</v>
      </c>
      <c r="I10">
        <v>60</v>
      </c>
      <c r="J10" s="3">
        <v>1.086666666666667E-2</v>
      </c>
      <c r="K10" s="2">
        <v>2033.222961856035</v>
      </c>
      <c r="L10" s="2">
        <v>121993.3777113621</v>
      </c>
      <c r="M10" s="2">
        <v>32713.377711362129</v>
      </c>
      <c r="N10" s="2">
        <v>892.80000000000007</v>
      </c>
      <c r="O10" s="2">
        <v>29016</v>
      </c>
      <c r="P10" t="s">
        <v>32</v>
      </c>
      <c r="Q10" s="2">
        <v>0</v>
      </c>
      <c r="R10" s="2">
        <v>4590.1777113621356</v>
      </c>
      <c r="S10" t="s">
        <v>33</v>
      </c>
      <c r="T10" t="s">
        <v>74</v>
      </c>
      <c r="U10" t="s">
        <v>35</v>
      </c>
      <c r="V10" t="s">
        <v>36</v>
      </c>
      <c r="W10" t="s">
        <v>49</v>
      </c>
      <c r="X10" s="2">
        <v>33606.177711362143</v>
      </c>
      <c r="Y10" s="2">
        <v>29016</v>
      </c>
      <c r="Z10" s="2">
        <v>4590.1777113621356</v>
      </c>
      <c r="AA10" s="3">
        <v>5.1413280817228221E-2</v>
      </c>
      <c r="AB10" s="3">
        <v>0</v>
      </c>
      <c r="AC10" t="s">
        <v>38</v>
      </c>
    </row>
    <row r="11" spans="1:29" x14ac:dyDescent="0.3">
      <c r="A11" t="s">
        <v>75</v>
      </c>
      <c r="B11" t="s">
        <v>76</v>
      </c>
      <c r="C11" t="s">
        <v>56</v>
      </c>
      <c r="D11" s="2">
        <v>1285600</v>
      </c>
      <c r="E11" s="3">
        <v>0.15</v>
      </c>
      <c r="F11" s="2">
        <v>192840</v>
      </c>
      <c r="G11" s="2">
        <v>1092760</v>
      </c>
      <c r="H11" s="3">
        <v>9.7000000000000003E-2</v>
      </c>
      <c r="I11">
        <v>36</v>
      </c>
      <c r="J11" s="3">
        <v>8.083333333333333E-3</v>
      </c>
      <c r="K11" s="2">
        <v>35106.578575429186</v>
      </c>
      <c r="L11" s="2">
        <v>1263836.8287154511</v>
      </c>
      <c r="M11" s="2">
        <v>171076.8287154506</v>
      </c>
      <c r="N11" s="2">
        <v>10927.6</v>
      </c>
      <c r="O11" s="2">
        <v>213088.2</v>
      </c>
      <c r="P11" t="s">
        <v>32</v>
      </c>
      <c r="Q11" s="2">
        <v>0</v>
      </c>
      <c r="R11" s="2">
        <v>-31083.77128454941</v>
      </c>
      <c r="S11" t="s">
        <v>77</v>
      </c>
      <c r="T11" t="s">
        <v>74</v>
      </c>
      <c r="U11" t="s">
        <v>59</v>
      </c>
      <c r="V11" t="s">
        <v>71</v>
      </c>
      <c r="W11" t="s">
        <v>37</v>
      </c>
      <c r="X11" s="2">
        <v>182004.4287154506</v>
      </c>
      <c r="Y11" s="2">
        <v>213088.2</v>
      </c>
      <c r="Z11" s="2">
        <v>-31083.77128454941</v>
      </c>
      <c r="AA11" s="3">
        <v>-2.844519499665929E-2</v>
      </c>
      <c r="AB11" s="3">
        <v>0</v>
      </c>
      <c r="AC11" t="s">
        <v>38</v>
      </c>
    </row>
    <row r="12" spans="1:29" x14ac:dyDescent="0.3">
      <c r="A12" t="s">
        <v>78</v>
      </c>
      <c r="B12" t="s">
        <v>79</v>
      </c>
      <c r="C12" t="s">
        <v>31</v>
      </c>
      <c r="D12" s="2">
        <v>155000</v>
      </c>
      <c r="E12" s="3">
        <v>0.1</v>
      </c>
      <c r="F12" s="2">
        <v>15500</v>
      </c>
      <c r="G12" s="2">
        <v>139500</v>
      </c>
      <c r="H12" s="3">
        <v>0.17319999999999999</v>
      </c>
      <c r="I12">
        <v>48</v>
      </c>
      <c r="J12" s="3">
        <v>1.4433333333333329E-2</v>
      </c>
      <c r="K12" s="2">
        <v>4048.410662718295</v>
      </c>
      <c r="L12" s="2">
        <v>194323.7118104781</v>
      </c>
      <c r="M12" s="2">
        <v>54823.711810478133</v>
      </c>
      <c r="N12" s="2">
        <v>1395</v>
      </c>
      <c r="O12" s="2">
        <v>36270</v>
      </c>
      <c r="P12" t="s">
        <v>52</v>
      </c>
      <c r="Q12" s="2">
        <v>0</v>
      </c>
      <c r="R12" s="2">
        <v>19948.711810478129</v>
      </c>
      <c r="S12" t="s">
        <v>43</v>
      </c>
      <c r="T12" t="s">
        <v>44</v>
      </c>
      <c r="U12" t="s">
        <v>48</v>
      </c>
      <c r="V12" t="s">
        <v>63</v>
      </c>
      <c r="W12" t="s">
        <v>49</v>
      </c>
      <c r="X12" s="2">
        <v>56218.711810478133</v>
      </c>
      <c r="Y12" s="2">
        <v>36270</v>
      </c>
      <c r="Z12" s="2">
        <v>19948.711810478129</v>
      </c>
      <c r="AA12" s="3">
        <v>0.14300151835468189</v>
      </c>
      <c r="AB12" s="3">
        <v>0</v>
      </c>
      <c r="AC12" t="s">
        <v>38</v>
      </c>
    </row>
    <row r="13" spans="1:29" x14ac:dyDescent="0.3">
      <c r="A13" t="s">
        <v>80</v>
      </c>
      <c r="B13" t="s">
        <v>81</v>
      </c>
      <c r="C13" t="s">
        <v>31</v>
      </c>
      <c r="D13" s="2">
        <v>123100</v>
      </c>
      <c r="E13" s="3">
        <v>0.2</v>
      </c>
      <c r="F13" s="2">
        <v>24620</v>
      </c>
      <c r="G13" s="2">
        <v>98480</v>
      </c>
      <c r="H13" s="3">
        <v>0.14680000000000001</v>
      </c>
      <c r="I13">
        <v>60</v>
      </c>
      <c r="J13" s="3">
        <v>1.223333333333333E-2</v>
      </c>
      <c r="K13" s="2">
        <v>2326.3229804464022</v>
      </c>
      <c r="L13" s="2">
        <v>139579.37882678409</v>
      </c>
      <c r="M13" s="2">
        <v>41099.378826784137</v>
      </c>
      <c r="N13" s="2">
        <v>984.80000000000007</v>
      </c>
      <c r="O13" s="2">
        <v>32006</v>
      </c>
      <c r="P13" t="s">
        <v>32</v>
      </c>
      <c r="Q13" s="2">
        <v>0</v>
      </c>
      <c r="R13" s="2">
        <v>10078.178826784149</v>
      </c>
      <c r="S13" t="s">
        <v>43</v>
      </c>
      <c r="T13" t="s">
        <v>70</v>
      </c>
      <c r="U13" t="s">
        <v>35</v>
      </c>
      <c r="V13" t="s">
        <v>36</v>
      </c>
      <c r="W13" t="s">
        <v>49</v>
      </c>
      <c r="X13" s="2">
        <v>42084.178826784148</v>
      </c>
      <c r="Y13" s="2">
        <v>32006</v>
      </c>
      <c r="Z13" s="2">
        <v>10078.178826784149</v>
      </c>
      <c r="AA13" s="3">
        <v>0.10233731546287721</v>
      </c>
      <c r="AB13" s="3">
        <v>0</v>
      </c>
      <c r="AC13" t="s">
        <v>38</v>
      </c>
    </row>
    <row r="14" spans="1:29" x14ac:dyDescent="0.3">
      <c r="A14" t="s">
        <v>82</v>
      </c>
      <c r="B14" t="s">
        <v>83</v>
      </c>
      <c r="C14" t="s">
        <v>41</v>
      </c>
      <c r="D14" s="2">
        <v>119500</v>
      </c>
      <c r="E14" s="3">
        <v>0.05</v>
      </c>
      <c r="F14" s="2">
        <v>5975</v>
      </c>
      <c r="G14" s="2">
        <v>113525</v>
      </c>
      <c r="H14" s="3">
        <v>0.18890000000000001</v>
      </c>
      <c r="I14">
        <v>9</v>
      </c>
      <c r="J14" s="3">
        <v>1.5741666666666671E-2</v>
      </c>
      <c r="K14" s="2">
        <v>13627.376007841811</v>
      </c>
      <c r="L14" s="2">
        <v>122646.3840705763</v>
      </c>
      <c r="M14" s="2">
        <v>9121.3840705762705</v>
      </c>
      <c r="N14" s="2">
        <v>1135.25</v>
      </c>
      <c r="O14" s="2">
        <v>5534.34375</v>
      </c>
      <c r="P14" t="s">
        <v>32</v>
      </c>
      <c r="Q14" s="2">
        <v>0</v>
      </c>
      <c r="R14" s="2">
        <v>4722.2903205762696</v>
      </c>
      <c r="S14" t="s">
        <v>57</v>
      </c>
      <c r="T14" t="s">
        <v>34</v>
      </c>
      <c r="U14" t="s">
        <v>48</v>
      </c>
      <c r="V14" t="s">
        <v>63</v>
      </c>
      <c r="W14" t="s">
        <v>64</v>
      </c>
      <c r="X14" s="2">
        <v>10256.63407057627</v>
      </c>
      <c r="Y14" s="2">
        <v>5534.34375</v>
      </c>
      <c r="Z14" s="2">
        <v>4722.2903205762696</v>
      </c>
      <c r="AA14" s="3">
        <v>4.1596919802477608E-2</v>
      </c>
      <c r="AB14" s="3">
        <v>0</v>
      </c>
      <c r="AC14" t="s">
        <v>38</v>
      </c>
    </row>
    <row r="15" spans="1:29" x14ac:dyDescent="0.3">
      <c r="A15" t="s">
        <v>84</v>
      </c>
      <c r="B15" t="s">
        <v>85</v>
      </c>
      <c r="C15" t="s">
        <v>86</v>
      </c>
      <c r="D15" s="2">
        <v>50700</v>
      </c>
      <c r="E15" s="3">
        <v>0.05</v>
      </c>
      <c r="F15" s="2">
        <v>2535</v>
      </c>
      <c r="G15" s="2">
        <v>48165</v>
      </c>
      <c r="H15" s="3">
        <v>0.21970000000000001</v>
      </c>
      <c r="I15">
        <v>18</v>
      </c>
      <c r="J15" s="3">
        <v>1.8308333333333329E-2</v>
      </c>
      <c r="K15" s="2">
        <v>3165.120168667755</v>
      </c>
      <c r="L15" s="2">
        <v>56972.163036019592</v>
      </c>
      <c r="M15" s="2">
        <v>8807.1630360195923</v>
      </c>
      <c r="N15" s="2">
        <v>499</v>
      </c>
      <c r="O15" s="2">
        <v>4696.0874999999996</v>
      </c>
      <c r="P15" t="s">
        <v>32</v>
      </c>
      <c r="Q15" s="2">
        <v>0</v>
      </c>
      <c r="R15" s="2">
        <v>4610.0755360195926</v>
      </c>
      <c r="S15" t="s">
        <v>33</v>
      </c>
      <c r="T15" t="s">
        <v>67</v>
      </c>
      <c r="U15" t="s">
        <v>35</v>
      </c>
      <c r="V15" t="s">
        <v>63</v>
      </c>
      <c r="W15" t="s">
        <v>37</v>
      </c>
      <c r="X15" s="2">
        <v>9306.1630360195923</v>
      </c>
      <c r="Y15" s="2">
        <v>4696.0874999999996</v>
      </c>
      <c r="Z15" s="2">
        <v>4610.0755360195926</v>
      </c>
      <c r="AA15" s="3">
        <v>9.5714222693233528E-2</v>
      </c>
      <c r="AB15" s="3">
        <v>0</v>
      </c>
      <c r="AC15" t="s">
        <v>38</v>
      </c>
    </row>
    <row r="16" spans="1:29" x14ac:dyDescent="0.3">
      <c r="A16" t="s">
        <v>87</v>
      </c>
      <c r="B16" t="s">
        <v>88</v>
      </c>
      <c r="C16" t="s">
        <v>31</v>
      </c>
      <c r="D16" s="2">
        <v>223600</v>
      </c>
      <c r="E16" s="3">
        <v>0.15</v>
      </c>
      <c r="F16" s="2">
        <v>33540</v>
      </c>
      <c r="G16" s="2">
        <v>190060</v>
      </c>
      <c r="H16" s="3">
        <v>0.14299999999999999</v>
      </c>
      <c r="I16">
        <v>36</v>
      </c>
      <c r="J16" s="3">
        <v>1.1916666666666669E-2</v>
      </c>
      <c r="K16" s="2">
        <v>6523.5278039928317</v>
      </c>
      <c r="L16" s="2">
        <v>234847.00094374191</v>
      </c>
      <c r="M16" s="2">
        <v>44787.000943741943</v>
      </c>
      <c r="N16" s="2">
        <v>1900.6</v>
      </c>
      <c r="O16" s="2">
        <v>37061.699999999997</v>
      </c>
      <c r="P16" t="s">
        <v>52</v>
      </c>
      <c r="Q16" s="2">
        <v>0</v>
      </c>
      <c r="R16" s="2">
        <v>9625.9009437419372</v>
      </c>
      <c r="S16" t="s">
        <v>57</v>
      </c>
      <c r="T16" t="s">
        <v>47</v>
      </c>
      <c r="U16" t="s">
        <v>48</v>
      </c>
      <c r="V16" t="s">
        <v>36</v>
      </c>
      <c r="W16" t="s">
        <v>37</v>
      </c>
      <c r="X16" s="2">
        <v>46687.600943741927</v>
      </c>
      <c r="Y16" s="2">
        <v>37061.699999999997</v>
      </c>
      <c r="Z16" s="2">
        <v>9625.9009437419372</v>
      </c>
      <c r="AA16" s="3">
        <v>5.0646642869314633E-2</v>
      </c>
      <c r="AB16" s="3">
        <v>0</v>
      </c>
      <c r="AC16" t="s">
        <v>38</v>
      </c>
    </row>
    <row r="17" spans="1:29" x14ac:dyDescent="0.3">
      <c r="A17" t="s">
        <v>89</v>
      </c>
      <c r="B17" t="s">
        <v>90</v>
      </c>
      <c r="C17" t="s">
        <v>41</v>
      </c>
      <c r="D17" s="2">
        <v>144200</v>
      </c>
      <c r="E17" s="3">
        <v>0.2</v>
      </c>
      <c r="F17" s="2">
        <v>28840</v>
      </c>
      <c r="G17" s="2">
        <v>115360</v>
      </c>
      <c r="H17" s="3">
        <v>0.19009999999999999</v>
      </c>
      <c r="I17">
        <v>12</v>
      </c>
      <c r="J17" s="3">
        <v>1.5841666666666671E-2</v>
      </c>
      <c r="K17" s="2">
        <v>10631.73343531514</v>
      </c>
      <c r="L17" s="2">
        <v>127580.8012237817</v>
      </c>
      <c r="M17" s="2">
        <v>12220.80122378166</v>
      </c>
      <c r="N17" s="2">
        <v>1153.5999999999999</v>
      </c>
      <c r="O17" s="2">
        <v>7498.4000000000005</v>
      </c>
      <c r="P17" t="s">
        <v>32</v>
      </c>
      <c r="Q17" s="2">
        <v>0</v>
      </c>
      <c r="R17" s="2">
        <v>5876.0012237816582</v>
      </c>
      <c r="S17" t="s">
        <v>33</v>
      </c>
      <c r="T17" t="s">
        <v>67</v>
      </c>
      <c r="U17" t="s">
        <v>48</v>
      </c>
      <c r="V17" t="s">
        <v>63</v>
      </c>
      <c r="W17" t="s">
        <v>64</v>
      </c>
      <c r="X17" s="2">
        <v>13374.401223781661</v>
      </c>
      <c r="Y17" s="2">
        <v>7498.4000000000005</v>
      </c>
      <c r="Z17" s="2">
        <v>5876.0012237816582</v>
      </c>
      <c r="AA17" s="3">
        <v>5.093621033097831E-2</v>
      </c>
      <c r="AB17" s="3">
        <v>0</v>
      </c>
      <c r="AC17" t="s">
        <v>38</v>
      </c>
    </row>
    <row r="18" spans="1:29" x14ac:dyDescent="0.3">
      <c r="A18" t="s">
        <v>91</v>
      </c>
      <c r="B18" t="s">
        <v>92</v>
      </c>
      <c r="C18" t="s">
        <v>86</v>
      </c>
      <c r="D18" s="2">
        <v>79600</v>
      </c>
      <c r="E18" s="3">
        <v>0.05</v>
      </c>
      <c r="F18" s="2">
        <v>3980</v>
      </c>
      <c r="G18" s="2">
        <v>75620</v>
      </c>
      <c r="H18" s="3">
        <v>0.18870000000000001</v>
      </c>
      <c r="I18">
        <v>6</v>
      </c>
      <c r="J18" s="3">
        <v>1.5724999999999999E-2</v>
      </c>
      <c r="K18" s="2">
        <v>13306.006993349991</v>
      </c>
      <c r="L18" s="2">
        <v>79836.041960099959</v>
      </c>
      <c r="M18" s="2">
        <v>4216.0419600999594</v>
      </c>
      <c r="N18" s="2">
        <v>756.2</v>
      </c>
      <c r="O18" s="2">
        <v>2457.65</v>
      </c>
      <c r="P18" t="s">
        <v>32</v>
      </c>
      <c r="Q18" s="2">
        <v>0</v>
      </c>
      <c r="R18" s="2">
        <v>2514.5919600999591</v>
      </c>
      <c r="S18" t="s">
        <v>33</v>
      </c>
      <c r="T18" t="s">
        <v>34</v>
      </c>
      <c r="U18" t="s">
        <v>35</v>
      </c>
      <c r="V18" t="s">
        <v>63</v>
      </c>
      <c r="W18" t="s">
        <v>64</v>
      </c>
      <c r="X18" s="2">
        <v>4972.2419600999592</v>
      </c>
      <c r="Y18" s="2">
        <v>2457.65</v>
      </c>
      <c r="Z18" s="2">
        <v>2514.5919600999591</v>
      </c>
      <c r="AA18" s="3">
        <v>3.3253001323723337E-2</v>
      </c>
      <c r="AB18" s="3">
        <v>0</v>
      </c>
      <c r="AC18" t="s">
        <v>38</v>
      </c>
    </row>
    <row r="19" spans="1:29" x14ac:dyDescent="0.3">
      <c r="A19" t="s">
        <v>93</v>
      </c>
      <c r="B19" t="s">
        <v>94</v>
      </c>
      <c r="C19" t="s">
        <v>41</v>
      </c>
      <c r="D19" s="2">
        <v>27400</v>
      </c>
      <c r="E19" s="3">
        <v>0.05</v>
      </c>
      <c r="F19" s="2">
        <v>1370</v>
      </c>
      <c r="G19" s="2">
        <v>26030</v>
      </c>
      <c r="H19" s="3">
        <v>0.1943</v>
      </c>
      <c r="I19">
        <v>12</v>
      </c>
      <c r="J19" s="3">
        <v>1.619166666666667E-2</v>
      </c>
      <c r="K19" s="2">
        <v>2404.1808490383578</v>
      </c>
      <c r="L19" s="2">
        <v>28850.170188460299</v>
      </c>
      <c r="M19" s="2">
        <v>2820.1701884602949</v>
      </c>
      <c r="N19" s="2">
        <v>499</v>
      </c>
      <c r="O19" s="2">
        <v>1691.95</v>
      </c>
      <c r="P19" t="s">
        <v>42</v>
      </c>
      <c r="Q19" s="2">
        <v>10412</v>
      </c>
      <c r="R19" s="2">
        <v>-8784.7798115397054</v>
      </c>
      <c r="S19" t="s">
        <v>33</v>
      </c>
      <c r="T19" t="s">
        <v>58</v>
      </c>
      <c r="U19" t="s">
        <v>35</v>
      </c>
      <c r="V19" t="s">
        <v>63</v>
      </c>
      <c r="W19" t="s">
        <v>64</v>
      </c>
      <c r="X19" s="2">
        <v>3319.1701884602949</v>
      </c>
      <c r="Y19" s="2">
        <v>12103.95</v>
      </c>
      <c r="Z19" s="2">
        <v>-8784.7798115397054</v>
      </c>
      <c r="AA19" s="3">
        <v>-0.33748673882211699</v>
      </c>
      <c r="AB19" s="3">
        <v>0.4</v>
      </c>
      <c r="AC19" t="s">
        <v>38</v>
      </c>
    </row>
    <row r="20" spans="1:29" x14ac:dyDescent="0.3">
      <c r="A20" t="s">
        <v>95</v>
      </c>
      <c r="B20" t="s">
        <v>96</v>
      </c>
      <c r="C20" t="s">
        <v>31</v>
      </c>
      <c r="D20" s="2">
        <v>255800</v>
      </c>
      <c r="E20" s="3">
        <v>0.1</v>
      </c>
      <c r="F20" s="2">
        <v>25580</v>
      </c>
      <c r="G20" s="2">
        <v>230220</v>
      </c>
      <c r="H20" s="3">
        <v>0.1782</v>
      </c>
      <c r="I20">
        <v>60</v>
      </c>
      <c r="J20" s="3">
        <v>1.485E-2</v>
      </c>
      <c r="K20" s="2">
        <v>5823.5552078236524</v>
      </c>
      <c r="L20" s="2">
        <v>349413.31246941921</v>
      </c>
      <c r="M20" s="2">
        <v>119193.31246941919</v>
      </c>
      <c r="N20" s="2">
        <v>2302.1999999999998</v>
      </c>
      <c r="O20" s="2">
        <v>74821.5</v>
      </c>
      <c r="P20" t="s">
        <v>52</v>
      </c>
      <c r="Q20" s="2">
        <v>0</v>
      </c>
      <c r="R20" s="2">
        <v>46674.012469419147</v>
      </c>
      <c r="S20" t="s">
        <v>57</v>
      </c>
      <c r="T20" t="s">
        <v>70</v>
      </c>
      <c r="U20" t="s">
        <v>48</v>
      </c>
      <c r="V20" t="s">
        <v>63</v>
      </c>
      <c r="W20" t="s">
        <v>49</v>
      </c>
      <c r="X20" s="2">
        <v>121495.5124694191</v>
      </c>
      <c r="Y20" s="2">
        <v>74821.5</v>
      </c>
      <c r="Z20" s="2">
        <v>46674.012469419147</v>
      </c>
      <c r="AA20" s="3">
        <v>0.20273656706376139</v>
      </c>
      <c r="AB20" s="3">
        <v>0</v>
      </c>
      <c r="AC20" t="s">
        <v>38</v>
      </c>
    </row>
    <row r="21" spans="1:29" x14ac:dyDescent="0.3">
      <c r="A21" t="s">
        <v>97</v>
      </c>
      <c r="B21" t="s">
        <v>98</v>
      </c>
      <c r="C21" t="s">
        <v>86</v>
      </c>
      <c r="D21" s="2">
        <v>67100</v>
      </c>
      <c r="E21" s="3">
        <v>0.15</v>
      </c>
      <c r="F21" s="2">
        <v>10065</v>
      </c>
      <c r="G21" s="2">
        <v>57035</v>
      </c>
      <c r="H21" s="3">
        <v>0.1885</v>
      </c>
      <c r="I21">
        <v>6</v>
      </c>
      <c r="J21" s="3">
        <v>1.5708333333333331E-2</v>
      </c>
      <c r="K21" s="2">
        <v>10035.243212956349</v>
      </c>
      <c r="L21" s="2">
        <v>60211.459277738097</v>
      </c>
      <c r="M21" s="2">
        <v>3176.4592777380972</v>
      </c>
      <c r="N21" s="2">
        <v>570.35</v>
      </c>
      <c r="O21" s="2">
        <v>1853.6375</v>
      </c>
      <c r="P21" t="s">
        <v>32</v>
      </c>
      <c r="Q21" s="2">
        <v>0</v>
      </c>
      <c r="R21" s="2">
        <v>1893.171777738097</v>
      </c>
      <c r="S21" t="s">
        <v>43</v>
      </c>
      <c r="T21" t="s">
        <v>44</v>
      </c>
      <c r="U21" t="s">
        <v>35</v>
      </c>
      <c r="V21" t="s">
        <v>63</v>
      </c>
      <c r="W21" t="s">
        <v>64</v>
      </c>
      <c r="X21" s="2">
        <v>3746.8092777380971</v>
      </c>
      <c r="Y21" s="2">
        <v>1853.6375</v>
      </c>
      <c r="Z21" s="2">
        <v>1893.171777738097</v>
      </c>
      <c r="AA21" s="3">
        <v>3.3193158196512612E-2</v>
      </c>
      <c r="AB21" s="3">
        <v>0</v>
      </c>
      <c r="AC21" t="s">
        <v>38</v>
      </c>
    </row>
    <row r="22" spans="1:29" x14ac:dyDescent="0.3">
      <c r="A22" t="s">
        <v>99</v>
      </c>
      <c r="B22" t="s">
        <v>100</v>
      </c>
      <c r="C22" t="s">
        <v>86</v>
      </c>
      <c r="D22" s="2">
        <v>119500</v>
      </c>
      <c r="E22" s="3">
        <v>0.15</v>
      </c>
      <c r="F22" s="2">
        <v>17925</v>
      </c>
      <c r="G22" s="2">
        <v>101575</v>
      </c>
      <c r="H22" s="3">
        <v>0.192</v>
      </c>
      <c r="I22">
        <v>12</v>
      </c>
      <c r="J22" s="3">
        <v>1.6E-2</v>
      </c>
      <c r="K22" s="2">
        <v>9370.5026329130233</v>
      </c>
      <c r="L22" s="2">
        <v>112446.03159495629</v>
      </c>
      <c r="M22" s="2">
        <v>10871.031594956279</v>
      </c>
      <c r="N22" s="2">
        <v>1015.75</v>
      </c>
      <c r="O22" s="2">
        <v>6602.375</v>
      </c>
      <c r="P22" t="s">
        <v>32</v>
      </c>
      <c r="Q22" s="2">
        <v>0</v>
      </c>
      <c r="R22" s="2">
        <v>5284.4065949562792</v>
      </c>
      <c r="S22" t="s">
        <v>43</v>
      </c>
      <c r="T22" t="s">
        <v>74</v>
      </c>
      <c r="U22" t="s">
        <v>48</v>
      </c>
      <c r="V22" t="s">
        <v>63</v>
      </c>
      <c r="W22" t="s">
        <v>64</v>
      </c>
      <c r="X22" s="2">
        <v>11886.781594956279</v>
      </c>
      <c r="Y22" s="2">
        <v>6602.375</v>
      </c>
      <c r="Z22" s="2">
        <v>5284.4065949562792</v>
      </c>
      <c r="AA22" s="3">
        <v>5.2024677282365532E-2</v>
      </c>
      <c r="AB22" s="3">
        <v>0</v>
      </c>
      <c r="AC22" t="s">
        <v>38</v>
      </c>
    </row>
    <row r="23" spans="1:29" x14ac:dyDescent="0.3">
      <c r="A23" t="s">
        <v>101</v>
      </c>
      <c r="B23" t="s">
        <v>102</v>
      </c>
      <c r="C23" t="s">
        <v>86</v>
      </c>
      <c r="D23" s="2">
        <v>10400</v>
      </c>
      <c r="E23" s="3">
        <v>0</v>
      </c>
      <c r="F23" s="2">
        <v>0</v>
      </c>
      <c r="G23" s="2">
        <v>10400</v>
      </c>
      <c r="H23" s="3">
        <v>0.18429999999999999</v>
      </c>
      <c r="I23">
        <v>18</v>
      </c>
      <c r="J23" s="3">
        <v>1.535833333333333E-2</v>
      </c>
      <c r="K23" s="2">
        <v>665.71385155718531</v>
      </c>
      <c r="L23" s="2">
        <v>11982.849328029341</v>
      </c>
      <c r="M23" s="2">
        <v>1582.8493280293351</v>
      </c>
      <c r="N23" s="2">
        <v>499</v>
      </c>
      <c r="O23" s="2">
        <v>1014</v>
      </c>
      <c r="P23" t="s">
        <v>42</v>
      </c>
      <c r="Q23" s="2">
        <v>4160</v>
      </c>
      <c r="R23" s="2">
        <v>-3092.1506719706649</v>
      </c>
      <c r="S23" t="s">
        <v>33</v>
      </c>
      <c r="T23" t="s">
        <v>74</v>
      </c>
      <c r="U23" t="s">
        <v>35</v>
      </c>
      <c r="V23" t="s">
        <v>63</v>
      </c>
      <c r="W23" t="s">
        <v>37</v>
      </c>
      <c r="X23" s="2">
        <v>2081.8493280293351</v>
      </c>
      <c r="Y23" s="2">
        <v>5174</v>
      </c>
      <c r="Z23" s="2">
        <v>-3092.1506719706649</v>
      </c>
      <c r="AA23" s="3">
        <v>-0.2973221799971793</v>
      </c>
      <c r="AB23" s="3">
        <v>0.4</v>
      </c>
      <c r="AC23" t="s">
        <v>38</v>
      </c>
    </row>
    <row r="24" spans="1:29" x14ac:dyDescent="0.3">
      <c r="A24" t="s">
        <v>103</v>
      </c>
      <c r="B24" t="s">
        <v>104</v>
      </c>
      <c r="C24" t="s">
        <v>86</v>
      </c>
      <c r="D24" s="2">
        <v>11500</v>
      </c>
      <c r="E24" s="3">
        <v>0</v>
      </c>
      <c r="F24" s="2">
        <v>0</v>
      </c>
      <c r="G24" s="2">
        <v>11500</v>
      </c>
      <c r="H24" s="3">
        <v>0.16639999999999999</v>
      </c>
      <c r="I24">
        <v>18</v>
      </c>
      <c r="J24" s="3">
        <v>1.3866666666666669E-2</v>
      </c>
      <c r="K24" s="2">
        <v>726.33243606329438</v>
      </c>
      <c r="L24" s="2">
        <v>13073.9838491393</v>
      </c>
      <c r="M24" s="2">
        <v>1573.9838491392979</v>
      </c>
      <c r="N24" s="2">
        <v>499</v>
      </c>
      <c r="O24" s="2">
        <v>1121.25</v>
      </c>
      <c r="P24" t="s">
        <v>52</v>
      </c>
      <c r="Q24" s="2">
        <v>0</v>
      </c>
      <c r="R24" s="2">
        <v>951.7338491392984</v>
      </c>
      <c r="S24" t="s">
        <v>57</v>
      </c>
      <c r="T24" t="s">
        <v>74</v>
      </c>
      <c r="U24" t="s">
        <v>35</v>
      </c>
      <c r="V24" t="s">
        <v>63</v>
      </c>
      <c r="W24" t="s">
        <v>37</v>
      </c>
      <c r="X24" s="2">
        <v>2072.9838491392979</v>
      </c>
      <c r="Y24" s="2">
        <v>1121.25</v>
      </c>
      <c r="Z24" s="2">
        <v>951.7338491392984</v>
      </c>
      <c r="AA24" s="3">
        <v>8.2759465142547686E-2</v>
      </c>
      <c r="AB24" s="3">
        <v>0</v>
      </c>
      <c r="AC24" t="s">
        <v>38</v>
      </c>
    </row>
    <row r="25" spans="1:29" x14ac:dyDescent="0.3">
      <c r="A25" t="s">
        <v>105</v>
      </c>
      <c r="B25" t="s">
        <v>106</v>
      </c>
      <c r="C25" t="s">
        <v>41</v>
      </c>
      <c r="D25" s="2">
        <v>115400</v>
      </c>
      <c r="E25" s="3">
        <v>0.15</v>
      </c>
      <c r="F25" s="2">
        <v>17310</v>
      </c>
      <c r="G25" s="2">
        <v>98090</v>
      </c>
      <c r="H25" s="3">
        <v>0.19059999999999999</v>
      </c>
      <c r="I25">
        <v>24</v>
      </c>
      <c r="J25" s="3">
        <v>1.5883333333333329E-2</v>
      </c>
      <c r="K25" s="2">
        <v>4947.4411636903824</v>
      </c>
      <c r="L25" s="2">
        <v>118738.58792856921</v>
      </c>
      <c r="M25" s="2">
        <v>20648.587928569181</v>
      </c>
      <c r="N25" s="2">
        <v>980.9</v>
      </c>
      <c r="O25" s="2">
        <v>12751.7</v>
      </c>
      <c r="P25" t="s">
        <v>52</v>
      </c>
      <c r="Q25" s="2">
        <v>0</v>
      </c>
      <c r="R25" s="2">
        <v>8877.7879285691779</v>
      </c>
      <c r="S25" t="s">
        <v>57</v>
      </c>
      <c r="T25" t="s">
        <v>107</v>
      </c>
      <c r="U25" t="s">
        <v>35</v>
      </c>
      <c r="V25" t="s">
        <v>63</v>
      </c>
      <c r="W25" t="s">
        <v>37</v>
      </c>
      <c r="X25" s="2">
        <v>21629.487928569179</v>
      </c>
      <c r="Y25" s="2">
        <v>12751.7</v>
      </c>
      <c r="Z25" s="2">
        <v>8877.7879285691779</v>
      </c>
      <c r="AA25" s="3">
        <v>9.0506554476186954E-2</v>
      </c>
      <c r="AB25" s="3">
        <v>0</v>
      </c>
      <c r="AC25" t="s">
        <v>38</v>
      </c>
    </row>
    <row r="26" spans="1:29" x14ac:dyDescent="0.3">
      <c r="A26" t="s">
        <v>108</v>
      </c>
      <c r="B26" t="s">
        <v>109</v>
      </c>
      <c r="C26" t="s">
        <v>86</v>
      </c>
      <c r="D26" s="2">
        <v>18900</v>
      </c>
      <c r="E26" s="3">
        <v>0.1</v>
      </c>
      <c r="F26" s="2">
        <v>1890</v>
      </c>
      <c r="G26" s="2">
        <v>17010</v>
      </c>
      <c r="H26" s="3">
        <v>0.17449999999999999</v>
      </c>
      <c r="I26">
        <v>12</v>
      </c>
      <c r="J26" s="3">
        <v>1.454166666666667E-2</v>
      </c>
      <c r="K26" s="2">
        <v>1555.0277313216341</v>
      </c>
      <c r="L26" s="2">
        <v>18660.33277585961</v>
      </c>
      <c r="M26" s="2">
        <v>1650.3327758596099</v>
      </c>
      <c r="N26" s="2">
        <v>499</v>
      </c>
      <c r="O26" s="2">
        <v>1105.6500000000001</v>
      </c>
      <c r="P26" t="s">
        <v>32</v>
      </c>
      <c r="Q26" s="2">
        <v>0</v>
      </c>
      <c r="R26" s="2">
        <v>1043.68277585961</v>
      </c>
      <c r="S26" t="s">
        <v>33</v>
      </c>
      <c r="T26" t="s">
        <v>67</v>
      </c>
      <c r="U26" t="s">
        <v>35</v>
      </c>
      <c r="V26" t="s">
        <v>63</v>
      </c>
      <c r="W26" t="s">
        <v>64</v>
      </c>
      <c r="X26" s="2">
        <v>2149.3327758596101</v>
      </c>
      <c r="Y26" s="2">
        <v>1105.6500000000001</v>
      </c>
      <c r="Z26" s="2">
        <v>1043.68277585961</v>
      </c>
      <c r="AA26" s="3">
        <v>6.135701210226982E-2</v>
      </c>
      <c r="AB26" s="3">
        <v>0</v>
      </c>
      <c r="AC26" t="s">
        <v>38</v>
      </c>
    </row>
    <row r="27" spans="1:29" x14ac:dyDescent="0.3">
      <c r="A27" t="s">
        <v>110</v>
      </c>
      <c r="B27" t="s">
        <v>111</v>
      </c>
      <c r="C27" t="s">
        <v>31</v>
      </c>
      <c r="D27" s="2">
        <v>215100</v>
      </c>
      <c r="E27" s="3">
        <v>0.05</v>
      </c>
      <c r="F27" s="2">
        <v>10755</v>
      </c>
      <c r="G27" s="2">
        <v>204345</v>
      </c>
      <c r="H27" s="3">
        <v>0.1048</v>
      </c>
      <c r="I27">
        <v>36</v>
      </c>
      <c r="J27" s="3">
        <v>8.7333333333333343E-3</v>
      </c>
      <c r="K27" s="2">
        <v>6639.7848864820307</v>
      </c>
      <c r="L27" s="2">
        <v>239032.25591335309</v>
      </c>
      <c r="M27" s="2">
        <v>34687.255913353118</v>
      </c>
      <c r="N27" s="2">
        <v>2043.45</v>
      </c>
      <c r="O27" s="2">
        <v>39847.275000000001</v>
      </c>
      <c r="P27" t="s">
        <v>52</v>
      </c>
      <c r="Q27" s="2">
        <v>0</v>
      </c>
      <c r="R27" s="2">
        <v>-3116.5690866468872</v>
      </c>
      <c r="S27" t="s">
        <v>43</v>
      </c>
      <c r="T27" t="s">
        <v>70</v>
      </c>
      <c r="U27" t="s">
        <v>48</v>
      </c>
      <c r="V27" t="s">
        <v>36</v>
      </c>
      <c r="W27" t="s">
        <v>37</v>
      </c>
      <c r="X27" s="2">
        <v>36730.705913353107</v>
      </c>
      <c r="Y27" s="2">
        <v>39847.275000000001</v>
      </c>
      <c r="Z27" s="2">
        <v>-3116.5690866468872</v>
      </c>
      <c r="AA27" s="3">
        <v>-1.525150645548894E-2</v>
      </c>
      <c r="AB27" s="3">
        <v>0</v>
      </c>
      <c r="AC27" t="s">
        <v>38</v>
      </c>
    </row>
    <row r="28" spans="1:29" x14ac:dyDescent="0.3">
      <c r="A28" t="s">
        <v>112</v>
      </c>
      <c r="B28" t="s">
        <v>113</v>
      </c>
      <c r="C28" t="s">
        <v>41</v>
      </c>
      <c r="D28" s="2">
        <v>77700</v>
      </c>
      <c r="E28" s="3">
        <v>0</v>
      </c>
      <c r="F28" s="2">
        <v>0</v>
      </c>
      <c r="G28" s="2">
        <v>77700</v>
      </c>
      <c r="H28" s="3">
        <v>0.14230000000000001</v>
      </c>
      <c r="I28">
        <v>9</v>
      </c>
      <c r="J28" s="3">
        <v>1.185833333333333E-2</v>
      </c>
      <c r="K28" s="2">
        <v>9153.2623825800601</v>
      </c>
      <c r="L28" s="2">
        <v>82379.361443220536</v>
      </c>
      <c r="M28" s="2">
        <v>4679.3614432205359</v>
      </c>
      <c r="N28" s="2">
        <v>777</v>
      </c>
      <c r="O28" s="2">
        <v>3787.875</v>
      </c>
      <c r="P28" t="s">
        <v>32</v>
      </c>
      <c r="Q28" s="2">
        <v>0</v>
      </c>
      <c r="R28" s="2">
        <v>1668.4864432205361</v>
      </c>
      <c r="S28" t="s">
        <v>33</v>
      </c>
      <c r="T28" t="s">
        <v>62</v>
      </c>
      <c r="U28" t="s">
        <v>35</v>
      </c>
      <c r="V28" t="s">
        <v>36</v>
      </c>
      <c r="W28" t="s">
        <v>64</v>
      </c>
      <c r="X28" s="2">
        <v>5456.3614432205359</v>
      </c>
      <c r="Y28" s="2">
        <v>3787.875</v>
      </c>
      <c r="Z28" s="2">
        <v>1668.4864432205361</v>
      </c>
      <c r="AA28" s="3">
        <v>2.1473441997690291E-2</v>
      </c>
      <c r="AB28" s="3">
        <v>0</v>
      </c>
      <c r="AC28" t="s">
        <v>38</v>
      </c>
    </row>
    <row r="29" spans="1:29" x14ac:dyDescent="0.3">
      <c r="A29" t="s">
        <v>114</v>
      </c>
      <c r="B29" t="s">
        <v>115</v>
      </c>
      <c r="C29" t="s">
        <v>31</v>
      </c>
      <c r="D29" s="2">
        <v>189700</v>
      </c>
      <c r="E29" s="3">
        <v>0.1</v>
      </c>
      <c r="F29" s="2">
        <v>18970</v>
      </c>
      <c r="G29" s="2">
        <v>170730</v>
      </c>
      <c r="H29" s="3">
        <v>0.1012</v>
      </c>
      <c r="I29">
        <v>12</v>
      </c>
      <c r="J29" s="3">
        <v>8.4333333333333326E-3</v>
      </c>
      <c r="K29" s="2">
        <v>15019.409702000239</v>
      </c>
      <c r="L29" s="2">
        <v>180232.91642400291</v>
      </c>
      <c r="M29" s="2">
        <v>9502.9164240029349</v>
      </c>
      <c r="N29" s="2">
        <v>1707.3</v>
      </c>
      <c r="O29" s="2">
        <v>11097.45</v>
      </c>
      <c r="P29" t="s">
        <v>52</v>
      </c>
      <c r="Q29" s="2">
        <v>0</v>
      </c>
      <c r="R29" s="2">
        <v>112.7664240029335</v>
      </c>
      <c r="S29" t="s">
        <v>57</v>
      </c>
      <c r="T29" t="s">
        <v>116</v>
      </c>
      <c r="U29" t="s">
        <v>48</v>
      </c>
      <c r="V29" t="s">
        <v>36</v>
      </c>
      <c r="W29" t="s">
        <v>64</v>
      </c>
      <c r="X29" s="2">
        <v>11210.216424002931</v>
      </c>
      <c r="Y29" s="2">
        <v>11097.45</v>
      </c>
      <c r="Z29" s="2">
        <v>112.7664240029335</v>
      </c>
      <c r="AA29" s="3">
        <v>6.6049565983092307E-4</v>
      </c>
      <c r="AB29" s="3">
        <v>0</v>
      </c>
      <c r="AC29" t="s">
        <v>38</v>
      </c>
    </row>
    <row r="30" spans="1:29" x14ac:dyDescent="0.3">
      <c r="A30" t="s">
        <v>117</v>
      </c>
      <c r="B30" t="s">
        <v>118</v>
      </c>
      <c r="C30" t="s">
        <v>86</v>
      </c>
      <c r="D30" s="2">
        <v>52900</v>
      </c>
      <c r="E30" s="3">
        <v>0</v>
      </c>
      <c r="F30" s="2">
        <v>0</v>
      </c>
      <c r="G30" s="2">
        <v>52900</v>
      </c>
      <c r="H30" s="3">
        <v>0.1447</v>
      </c>
      <c r="I30">
        <v>12</v>
      </c>
      <c r="J30" s="3">
        <v>1.2058333333333331E-2</v>
      </c>
      <c r="K30" s="2">
        <v>4761.4449295016684</v>
      </c>
      <c r="L30" s="2">
        <v>57137.33915402001</v>
      </c>
      <c r="M30" s="2">
        <v>4237.33915402001</v>
      </c>
      <c r="N30" s="2">
        <v>529</v>
      </c>
      <c r="O30" s="2">
        <v>3438.5</v>
      </c>
      <c r="P30" t="s">
        <v>32</v>
      </c>
      <c r="Q30" s="2">
        <v>0</v>
      </c>
      <c r="R30" s="2">
        <v>1327.83915402001</v>
      </c>
      <c r="S30" t="s">
        <v>77</v>
      </c>
      <c r="T30" t="s">
        <v>116</v>
      </c>
      <c r="U30" t="s">
        <v>35</v>
      </c>
      <c r="V30" t="s">
        <v>36</v>
      </c>
      <c r="W30" t="s">
        <v>64</v>
      </c>
      <c r="X30" s="2">
        <v>4766.33915402001</v>
      </c>
      <c r="Y30" s="2">
        <v>3438.5</v>
      </c>
      <c r="Z30" s="2">
        <v>1327.83915402001</v>
      </c>
      <c r="AA30" s="3">
        <v>2.510092918752382E-2</v>
      </c>
      <c r="AB30" s="3">
        <v>0</v>
      </c>
      <c r="AC30" t="s">
        <v>38</v>
      </c>
    </row>
    <row r="31" spans="1:29" x14ac:dyDescent="0.3">
      <c r="A31" t="s">
        <v>119</v>
      </c>
      <c r="B31" t="s">
        <v>120</v>
      </c>
      <c r="C31" t="s">
        <v>86</v>
      </c>
      <c r="D31" s="2">
        <v>86000</v>
      </c>
      <c r="E31" s="3">
        <v>0.2</v>
      </c>
      <c r="F31" s="2">
        <v>17200</v>
      </c>
      <c r="G31" s="2">
        <v>68800</v>
      </c>
      <c r="H31" s="3">
        <v>0.19839999999999999</v>
      </c>
      <c r="I31">
        <v>18</v>
      </c>
      <c r="J31" s="3">
        <v>1.653333333333333E-2</v>
      </c>
      <c r="K31" s="2">
        <v>4450.4181999278653</v>
      </c>
      <c r="L31" s="2">
        <v>80107.527598701578</v>
      </c>
      <c r="M31" s="2">
        <v>11307.527598701579</v>
      </c>
      <c r="N31" s="2">
        <v>688</v>
      </c>
      <c r="O31" s="2">
        <v>6708</v>
      </c>
      <c r="P31" t="s">
        <v>32</v>
      </c>
      <c r="Q31" s="2">
        <v>0</v>
      </c>
      <c r="R31" s="2">
        <v>5287.5275987015784</v>
      </c>
      <c r="S31" t="s">
        <v>43</v>
      </c>
      <c r="T31" t="s">
        <v>74</v>
      </c>
      <c r="U31" t="s">
        <v>35</v>
      </c>
      <c r="V31" t="s">
        <v>63</v>
      </c>
      <c r="W31" t="s">
        <v>37</v>
      </c>
      <c r="X31" s="2">
        <v>11995.527598701579</v>
      </c>
      <c r="Y31" s="2">
        <v>6708</v>
      </c>
      <c r="Z31" s="2">
        <v>5287.5275987015784</v>
      </c>
      <c r="AA31" s="3">
        <v>7.685359881833688E-2</v>
      </c>
      <c r="AB31" s="3">
        <v>0</v>
      </c>
      <c r="AC31" t="s">
        <v>38</v>
      </c>
    </row>
    <row r="32" spans="1:29" x14ac:dyDescent="0.3">
      <c r="A32" t="s">
        <v>121</v>
      </c>
      <c r="B32" t="s">
        <v>122</v>
      </c>
      <c r="C32" t="s">
        <v>86</v>
      </c>
      <c r="D32" s="2">
        <v>116500</v>
      </c>
      <c r="E32" s="3">
        <v>0</v>
      </c>
      <c r="F32" s="2">
        <v>0</v>
      </c>
      <c r="G32" s="2">
        <v>116500</v>
      </c>
      <c r="H32" s="3">
        <v>0.18629999999999999</v>
      </c>
      <c r="I32">
        <v>18</v>
      </c>
      <c r="J32" s="3">
        <v>1.5525000000000001E-2</v>
      </c>
      <c r="K32" s="2">
        <v>7468.4072533432436</v>
      </c>
      <c r="L32" s="2">
        <v>134431.33056017841</v>
      </c>
      <c r="M32" s="2">
        <v>17931.33056017838</v>
      </c>
      <c r="N32" s="2">
        <v>1165</v>
      </c>
      <c r="O32" s="2">
        <v>11358.75</v>
      </c>
      <c r="P32" t="s">
        <v>32</v>
      </c>
      <c r="Q32" s="2">
        <v>0</v>
      </c>
      <c r="R32" s="2">
        <v>7737.5805601783804</v>
      </c>
      <c r="S32" t="s">
        <v>33</v>
      </c>
      <c r="T32" t="s">
        <v>62</v>
      </c>
      <c r="U32" t="s">
        <v>48</v>
      </c>
      <c r="V32" t="s">
        <v>63</v>
      </c>
      <c r="W32" t="s">
        <v>37</v>
      </c>
      <c r="X32" s="2">
        <v>19096.33056017838</v>
      </c>
      <c r="Y32" s="2">
        <v>11358.75</v>
      </c>
      <c r="Z32" s="2">
        <v>7737.5805601783804</v>
      </c>
      <c r="AA32" s="3">
        <v>6.641700051655261E-2</v>
      </c>
      <c r="AB32" s="3">
        <v>0</v>
      </c>
      <c r="AC32" t="s">
        <v>38</v>
      </c>
    </row>
    <row r="33" spans="1:29" x14ac:dyDescent="0.3">
      <c r="A33" t="s">
        <v>123</v>
      </c>
      <c r="B33" t="s">
        <v>124</v>
      </c>
      <c r="C33" t="s">
        <v>31</v>
      </c>
      <c r="D33" s="2">
        <v>180700</v>
      </c>
      <c r="E33" s="3">
        <v>0.05</v>
      </c>
      <c r="F33" s="2">
        <v>9035</v>
      </c>
      <c r="G33" s="2">
        <v>171665</v>
      </c>
      <c r="H33" s="3">
        <v>0.16819999999999999</v>
      </c>
      <c r="I33">
        <v>24</v>
      </c>
      <c r="J33" s="3">
        <v>1.401666666666667E-2</v>
      </c>
      <c r="K33" s="2">
        <v>8472.6665212539501</v>
      </c>
      <c r="L33" s="2">
        <v>203343.99651009479</v>
      </c>
      <c r="M33" s="2">
        <v>31678.996510094788</v>
      </c>
      <c r="N33" s="2">
        <v>1716.65</v>
      </c>
      <c r="O33" s="2">
        <v>22316.45</v>
      </c>
      <c r="P33" t="s">
        <v>32</v>
      </c>
      <c r="Q33" s="2">
        <v>0</v>
      </c>
      <c r="R33" s="2">
        <v>11079.196510094789</v>
      </c>
      <c r="S33" t="s">
        <v>33</v>
      </c>
      <c r="T33" t="s">
        <v>47</v>
      </c>
      <c r="U33" t="s">
        <v>48</v>
      </c>
      <c r="V33" t="s">
        <v>63</v>
      </c>
      <c r="W33" t="s">
        <v>37</v>
      </c>
      <c r="X33" s="2">
        <v>33395.64651009479</v>
      </c>
      <c r="Y33" s="2">
        <v>22316.45</v>
      </c>
      <c r="Z33" s="2">
        <v>11079.196510094789</v>
      </c>
      <c r="AA33" s="3">
        <v>6.4539635395070571E-2</v>
      </c>
      <c r="AB33" s="3">
        <v>0</v>
      </c>
      <c r="AC33" t="s">
        <v>38</v>
      </c>
    </row>
    <row r="34" spans="1:29" x14ac:dyDescent="0.3">
      <c r="A34" t="s">
        <v>125</v>
      </c>
      <c r="B34" t="s">
        <v>126</v>
      </c>
      <c r="C34" t="s">
        <v>86</v>
      </c>
      <c r="D34" s="2">
        <v>15600</v>
      </c>
      <c r="E34" s="3">
        <v>0</v>
      </c>
      <c r="F34" s="2">
        <v>0</v>
      </c>
      <c r="G34" s="2">
        <v>15600</v>
      </c>
      <c r="H34" s="3">
        <v>0.2089</v>
      </c>
      <c r="I34">
        <v>12</v>
      </c>
      <c r="J34" s="3">
        <v>1.7408333333333331E-2</v>
      </c>
      <c r="K34" s="2">
        <v>1451.751424686099</v>
      </c>
      <c r="L34" s="2">
        <v>17421.01709623319</v>
      </c>
      <c r="M34" s="2">
        <v>1821.017096233194</v>
      </c>
      <c r="N34" s="2">
        <v>499</v>
      </c>
      <c r="O34" s="2">
        <v>1014</v>
      </c>
      <c r="P34" t="s">
        <v>32</v>
      </c>
      <c r="Q34" s="2">
        <v>0</v>
      </c>
      <c r="R34" s="2">
        <v>1306.017096233194</v>
      </c>
      <c r="S34" t="s">
        <v>43</v>
      </c>
      <c r="T34" t="s">
        <v>34</v>
      </c>
      <c r="U34" t="s">
        <v>35</v>
      </c>
      <c r="V34" t="s">
        <v>63</v>
      </c>
      <c r="W34" t="s">
        <v>64</v>
      </c>
      <c r="X34" s="2">
        <v>2320.017096233194</v>
      </c>
      <c r="Y34" s="2">
        <v>1014</v>
      </c>
      <c r="Z34" s="2">
        <v>1306.017096233194</v>
      </c>
      <c r="AA34" s="3">
        <v>8.3719044630332945E-2</v>
      </c>
      <c r="AB34" s="3">
        <v>0</v>
      </c>
      <c r="AC34" t="s">
        <v>38</v>
      </c>
    </row>
    <row r="35" spans="1:29" x14ac:dyDescent="0.3">
      <c r="A35" t="s">
        <v>127</v>
      </c>
      <c r="B35" t="s">
        <v>128</v>
      </c>
      <c r="C35" t="s">
        <v>31</v>
      </c>
      <c r="D35" s="2">
        <v>208700</v>
      </c>
      <c r="E35" s="3">
        <v>0.25</v>
      </c>
      <c r="F35" s="2">
        <v>52175</v>
      </c>
      <c r="G35" s="2">
        <v>156525</v>
      </c>
      <c r="H35" s="3">
        <v>0.13350000000000001</v>
      </c>
      <c r="I35">
        <v>60</v>
      </c>
      <c r="J35" s="3">
        <v>1.1124999999999999E-2</v>
      </c>
      <c r="K35" s="2">
        <v>3589.531865774868</v>
      </c>
      <c r="L35" s="2">
        <v>215371.9119464921</v>
      </c>
      <c r="M35" s="2">
        <v>58846.911946492073</v>
      </c>
      <c r="N35" s="2">
        <v>1565.25</v>
      </c>
      <c r="O35" s="2">
        <v>50870.625</v>
      </c>
      <c r="P35" t="s">
        <v>32</v>
      </c>
      <c r="Q35" s="2">
        <v>0</v>
      </c>
      <c r="R35" s="2">
        <v>9541.5369464920659</v>
      </c>
      <c r="S35" t="s">
        <v>77</v>
      </c>
      <c r="T35" t="s">
        <v>74</v>
      </c>
      <c r="U35" t="s">
        <v>48</v>
      </c>
      <c r="V35" t="s">
        <v>36</v>
      </c>
      <c r="W35" t="s">
        <v>49</v>
      </c>
      <c r="X35" s="2">
        <v>60412.161946492073</v>
      </c>
      <c r="Y35" s="2">
        <v>50870.625</v>
      </c>
      <c r="Z35" s="2">
        <v>9541.5369464920659</v>
      </c>
      <c r="AA35" s="3">
        <v>6.0958549410586593E-2</v>
      </c>
      <c r="AB35" s="3">
        <v>0</v>
      </c>
      <c r="AC35" t="s">
        <v>38</v>
      </c>
    </row>
    <row r="36" spans="1:29" x14ac:dyDescent="0.3">
      <c r="A36" t="s">
        <v>129</v>
      </c>
      <c r="B36" t="s">
        <v>130</v>
      </c>
      <c r="C36" t="s">
        <v>31</v>
      </c>
      <c r="D36" s="2">
        <v>135400</v>
      </c>
      <c r="E36" s="3">
        <v>0.15</v>
      </c>
      <c r="F36" s="2">
        <v>20310</v>
      </c>
      <c r="G36" s="2">
        <v>115090</v>
      </c>
      <c r="H36" s="3">
        <v>0.1212</v>
      </c>
      <c r="I36">
        <v>24</v>
      </c>
      <c r="J36" s="3">
        <v>1.01E-2</v>
      </c>
      <c r="K36" s="2">
        <v>5424.1377183432369</v>
      </c>
      <c r="L36" s="2">
        <v>130179.30524023771</v>
      </c>
      <c r="M36" s="2">
        <v>15089.30524023768</v>
      </c>
      <c r="N36" s="2">
        <v>1150.9000000000001</v>
      </c>
      <c r="O36" s="2">
        <v>14961.7</v>
      </c>
      <c r="P36" t="s">
        <v>32</v>
      </c>
      <c r="Q36" s="2">
        <v>0</v>
      </c>
      <c r="R36" s="2">
        <v>1278.5052402376771</v>
      </c>
      <c r="S36" t="s">
        <v>33</v>
      </c>
      <c r="T36" t="s">
        <v>62</v>
      </c>
      <c r="U36" t="s">
        <v>48</v>
      </c>
      <c r="V36" t="s">
        <v>36</v>
      </c>
      <c r="W36" t="s">
        <v>37</v>
      </c>
      <c r="X36" s="2">
        <v>16240.205240237679</v>
      </c>
      <c r="Y36" s="2">
        <v>14961.7</v>
      </c>
      <c r="Z36" s="2">
        <v>1278.5052402376771</v>
      </c>
      <c r="AA36" s="3">
        <v>1.1108743072705511E-2</v>
      </c>
      <c r="AB36" s="3">
        <v>0</v>
      </c>
      <c r="AC36" t="s">
        <v>38</v>
      </c>
    </row>
    <row r="37" spans="1:29" x14ac:dyDescent="0.3">
      <c r="A37" t="s">
        <v>131</v>
      </c>
      <c r="B37" t="s">
        <v>132</v>
      </c>
      <c r="C37" t="s">
        <v>41</v>
      </c>
      <c r="D37" s="2">
        <v>149800</v>
      </c>
      <c r="E37" s="3">
        <v>0.2</v>
      </c>
      <c r="F37" s="2">
        <v>29960</v>
      </c>
      <c r="G37" s="2">
        <v>119840</v>
      </c>
      <c r="H37" s="3">
        <v>0.19969999999999999</v>
      </c>
      <c r="I37">
        <v>6</v>
      </c>
      <c r="J37" s="3">
        <v>1.6641666666666669E-2</v>
      </c>
      <c r="K37" s="2">
        <v>21152.694905536729</v>
      </c>
      <c r="L37" s="2">
        <v>126916.1694332203</v>
      </c>
      <c r="M37" s="2">
        <v>7076.1694332203479</v>
      </c>
      <c r="N37" s="2">
        <v>1198.4000000000001</v>
      </c>
      <c r="O37" s="2">
        <v>3894.8</v>
      </c>
      <c r="P37" t="s">
        <v>52</v>
      </c>
      <c r="Q37" s="2">
        <v>0</v>
      </c>
      <c r="R37" s="2">
        <v>4379.7694332203473</v>
      </c>
      <c r="S37" t="s">
        <v>77</v>
      </c>
      <c r="T37" t="s">
        <v>47</v>
      </c>
      <c r="U37" t="s">
        <v>48</v>
      </c>
      <c r="V37" t="s">
        <v>63</v>
      </c>
      <c r="W37" t="s">
        <v>64</v>
      </c>
      <c r="X37" s="2">
        <v>8274.5694332203475</v>
      </c>
      <c r="Y37" s="2">
        <v>3894.8</v>
      </c>
      <c r="Z37" s="2">
        <v>4379.7694332203473</v>
      </c>
      <c r="AA37" s="3">
        <v>3.6546807687085667E-2</v>
      </c>
      <c r="AB37" s="3">
        <v>0</v>
      </c>
      <c r="AC37" t="s">
        <v>38</v>
      </c>
    </row>
    <row r="38" spans="1:29" x14ac:dyDescent="0.3">
      <c r="A38" t="s">
        <v>133</v>
      </c>
      <c r="B38" t="s">
        <v>134</v>
      </c>
      <c r="C38" t="s">
        <v>56</v>
      </c>
      <c r="D38" s="2">
        <v>1369000</v>
      </c>
      <c r="E38" s="3">
        <v>0.2</v>
      </c>
      <c r="F38" s="2">
        <v>273800</v>
      </c>
      <c r="G38" s="2">
        <v>1095200</v>
      </c>
      <c r="H38" s="3">
        <v>0.1114</v>
      </c>
      <c r="I38">
        <v>60</v>
      </c>
      <c r="J38" s="3">
        <v>9.2833333333333327E-3</v>
      </c>
      <c r="K38" s="2">
        <v>23888.839091580099</v>
      </c>
      <c r="L38" s="2">
        <v>1433330.3454948061</v>
      </c>
      <c r="M38" s="2">
        <v>338130.34549480613</v>
      </c>
      <c r="N38" s="2">
        <v>10952</v>
      </c>
      <c r="O38" s="2">
        <v>355940</v>
      </c>
      <c r="P38" t="s">
        <v>52</v>
      </c>
      <c r="Q38" s="2">
        <v>0</v>
      </c>
      <c r="R38" s="2">
        <v>-6857.654505193932</v>
      </c>
      <c r="S38" t="s">
        <v>77</v>
      </c>
      <c r="T38" t="s">
        <v>34</v>
      </c>
      <c r="U38" t="s">
        <v>59</v>
      </c>
      <c r="V38" t="s">
        <v>36</v>
      </c>
      <c r="W38" t="s">
        <v>49</v>
      </c>
      <c r="X38" s="2">
        <v>349082.34549480613</v>
      </c>
      <c r="Y38" s="2">
        <v>355940</v>
      </c>
      <c r="Z38" s="2">
        <v>-6857.654505193932</v>
      </c>
      <c r="AA38" s="3">
        <v>-6.2615545153341234E-3</v>
      </c>
      <c r="AB38" s="3">
        <v>0</v>
      </c>
      <c r="AC38" t="s">
        <v>38</v>
      </c>
    </row>
    <row r="39" spans="1:29" x14ac:dyDescent="0.3">
      <c r="A39" t="s">
        <v>135</v>
      </c>
      <c r="B39" t="s">
        <v>136</v>
      </c>
      <c r="C39" t="s">
        <v>56</v>
      </c>
      <c r="D39" s="2">
        <v>1287800</v>
      </c>
      <c r="E39" s="3">
        <v>0.2</v>
      </c>
      <c r="F39" s="2">
        <v>257560</v>
      </c>
      <c r="G39" s="2">
        <v>1030240</v>
      </c>
      <c r="H39" s="3">
        <v>0.1009</v>
      </c>
      <c r="I39">
        <v>84</v>
      </c>
      <c r="J39" s="3">
        <v>8.4083333333333336E-3</v>
      </c>
      <c r="K39" s="2">
        <v>17151.150828383328</v>
      </c>
      <c r="L39" s="2">
        <v>1440696.6695842</v>
      </c>
      <c r="M39" s="2">
        <v>410456.66958419961</v>
      </c>
      <c r="N39" s="2">
        <v>10302.4</v>
      </c>
      <c r="O39" s="2">
        <v>468759.20000000013</v>
      </c>
      <c r="P39" t="s">
        <v>32</v>
      </c>
      <c r="Q39" s="2">
        <v>0</v>
      </c>
      <c r="R39" s="2">
        <v>-48000.130415800493</v>
      </c>
      <c r="S39" t="s">
        <v>33</v>
      </c>
      <c r="T39" t="s">
        <v>47</v>
      </c>
      <c r="U39" t="s">
        <v>59</v>
      </c>
      <c r="V39" t="s">
        <v>36</v>
      </c>
      <c r="W39" t="s">
        <v>49</v>
      </c>
      <c r="X39" s="2">
        <v>420759.06958419958</v>
      </c>
      <c r="Y39" s="2">
        <v>468759.20000000013</v>
      </c>
      <c r="Z39" s="2">
        <v>-48000.130415800493</v>
      </c>
      <c r="AA39" s="3">
        <v>-4.6591212160079692E-2</v>
      </c>
      <c r="AB39" s="3">
        <v>0</v>
      </c>
      <c r="AC39" t="s">
        <v>38</v>
      </c>
    </row>
    <row r="40" spans="1:29" x14ac:dyDescent="0.3">
      <c r="A40" t="s">
        <v>137</v>
      </c>
      <c r="B40" t="s">
        <v>138</v>
      </c>
      <c r="C40" t="s">
        <v>86</v>
      </c>
      <c r="D40" s="2">
        <v>107600</v>
      </c>
      <c r="E40" s="3">
        <v>0.05</v>
      </c>
      <c r="F40" s="2">
        <v>5380</v>
      </c>
      <c r="G40" s="2">
        <v>102220</v>
      </c>
      <c r="H40" s="3">
        <v>0.19939999999999999</v>
      </c>
      <c r="I40">
        <v>6</v>
      </c>
      <c r="J40" s="3">
        <v>1.6616666666666668E-2</v>
      </c>
      <c r="K40" s="2">
        <v>18041.095944670891</v>
      </c>
      <c r="L40" s="2">
        <v>108246.5756680253</v>
      </c>
      <c r="M40" s="2">
        <v>6026.5756680253253</v>
      </c>
      <c r="N40" s="2">
        <v>1022.2</v>
      </c>
      <c r="O40" s="2">
        <v>3322.15</v>
      </c>
      <c r="P40" t="s">
        <v>52</v>
      </c>
      <c r="Q40" s="2">
        <v>0</v>
      </c>
      <c r="R40" s="2">
        <v>3726.625668025325</v>
      </c>
      <c r="S40" t="s">
        <v>43</v>
      </c>
      <c r="T40" t="s">
        <v>44</v>
      </c>
      <c r="U40" t="s">
        <v>48</v>
      </c>
      <c r="V40" t="s">
        <v>63</v>
      </c>
      <c r="W40" t="s">
        <v>64</v>
      </c>
      <c r="X40" s="2">
        <v>7048.7756680253251</v>
      </c>
      <c r="Y40" s="2">
        <v>3322.15</v>
      </c>
      <c r="Z40" s="2">
        <v>3726.625668025325</v>
      </c>
      <c r="AA40" s="3">
        <v>3.6456913207056588E-2</v>
      </c>
      <c r="AB40" s="3">
        <v>0</v>
      </c>
      <c r="AC40" t="s">
        <v>38</v>
      </c>
    </row>
    <row r="41" spans="1:29" x14ac:dyDescent="0.3">
      <c r="A41" t="s">
        <v>139</v>
      </c>
      <c r="B41" t="s">
        <v>140</v>
      </c>
      <c r="C41" t="s">
        <v>41</v>
      </c>
      <c r="D41" s="2">
        <v>110900</v>
      </c>
      <c r="E41" s="3">
        <v>0.15</v>
      </c>
      <c r="F41" s="2">
        <v>16635</v>
      </c>
      <c r="G41" s="2">
        <v>94265</v>
      </c>
      <c r="H41" s="3">
        <v>0.18820000000000001</v>
      </c>
      <c r="I41">
        <v>24</v>
      </c>
      <c r="J41" s="3">
        <v>1.568333333333333E-2</v>
      </c>
      <c r="K41" s="2">
        <v>4743.5285958850463</v>
      </c>
      <c r="L41" s="2">
        <v>113844.6863012411</v>
      </c>
      <c r="M41" s="2">
        <v>19579.686301241101</v>
      </c>
      <c r="N41" s="2">
        <v>942.65</v>
      </c>
      <c r="O41" s="2">
        <v>12254.45</v>
      </c>
      <c r="P41" t="s">
        <v>52</v>
      </c>
      <c r="Q41" s="2">
        <v>0</v>
      </c>
      <c r="R41" s="2">
        <v>8267.8863012411057</v>
      </c>
      <c r="S41" t="s">
        <v>33</v>
      </c>
      <c r="T41" t="s">
        <v>58</v>
      </c>
      <c r="U41" t="s">
        <v>35</v>
      </c>
      <c r="V41" t="s">
        <v>63</v>
      </c>
      <c r="W41" t="s">
        <v>37</v>
      </c>
      <c r="X41" s="2">
        <v>20522.33630124111</v>
      </c>
      <c r="Y41" s="2">
        <v>12254.45</v>
      </c>
      <c r="Z41" s="2">
        <v>8267.8863012411057</v>
      </c>
      <c r="AA41" s="3">
        <v>8.770897259047479E-2</v>
      </c>
      <c r="AB41" s="3">
        <v>0</v>
      </c>
      <c r="AC41" t="s">
        <v>38</v>
      </c>
    </row>
    <row r="42" spans="1:29" x14ac:dyDescent="0.3">
      <c r="A42" t="s">
        <v>141</v>
      </c>
      <c r="B42" t="s">
        <v>142</v>
      </c>
      <c r="C42" t="s">
        <v>31</v>
      </c>
      <c r="D42" s="2">
        <v>259000</v>
      </c>
      <c r="E42" s="3">
        <v>0.1</v>
      </c>
      <c r="F42" s="2">
        <v>25900</v>
      </c>
      <c r="G42" s="2">
        <v>233100</v>
      </c>
      <c r="H42" s="3">
        <v>0.10349999999999999</v>
      </c>
      <c r="I42">
        <v>36</v>
      </c>
      <c r="J42" s="3">
        <v>8.624999999999999E-3</v>
      </c>
      <c r="K42" s="2">
        <v>7559.8431914680777</v>
      </c>
      <c r="L42" s="2">
        <v>272154.3548928508</v>
      </c>
      <c r="M42" s="2">
        <v>39054.354892850803</v>
      </c>
      <c r="N42" s="2">
        <v>2331</v>
      </c>
      <c r="O42" s="2">
        <v>45454.5</v>
      </c>
      <c r="P42" t="s">
        <v>32</v>
      </c>
      <c r="Q42" s="2">
        <v>0</v>
      </c>
      <c r="R42" s="2">
        <v>-4069.1451071492052</v>
      </c>
      <c r="S42" t="s">
        <v>77</v>
      </c>
      <c r="T42" t="s">
        <v>47</v>
      </c>
      <c r="U42" t="s">
        <v>48</v>
      </c>
      <c r="V42" t="s">
        <v>36</v>
      </c>
      <c r="W42" t="s">
        <v>37</v>
      </c>
      <c r="X42" s="2">
        <v>41385.354892850803</v>
      </c>
      <c r="Y42" s="2">
        <v>45454.5</v>
      </c>
      <c r="Z42" s="2">
        <v>-4069.1451071492052</v>
      </c>
      <c r="AA42" s="3">
        <v>-1.7456649966320049E-2</v>
      </c>
      <c r="AB42" s="3">
        <v>0</v>
      </c>
      <c r="AC42" t="s">
        <v>38</v>
      </c>
    </row>
    <row r="43" spans="1:29" x14ac:dyDescent="0.3">
      <c r="A43" t="s">
        <v>143</v>
      </c>
      <c r="B43" t="s">
        <v>144</v>
      </c>
      <c r="C43" t="s">
        <v>31</v>
      </c>
      <c r="D43" s="2">
        <v>192400</v>
      </c>
      <c r="E43" s="3">
        <v>0.05</v>
      </c>
      <c r="F43" s="2">
        <v>9620</v>
      </c>
      <c r="G43" s="2">
        <v>182780</v>
      </c>
      <c r="H43" s="3">
        <v>0.13420000000000001</v>
      </c>
      <c r="I43">
        <v>12</v>
      </c>
      <c r="J43" s="3">
        <v>1.118333333333334E-2</v>
      </c>
      <c r="K43" s="2">
        <v>16361.450148083301</v>
      </c>
      <c r="L43" s="2">
        <v>196337.40177699961</v>
      </c>
      <c r="M43" s="2">
        <v>13557.401776999641</v>
      </c>
      <c r="N43" s="2">
        <v>1827.8</v>
      </c>
      <c r="O43" s="2">
        <v>11880.7</v>
      </c>
      <c r="P43" t="s">
        <v>42</v>
      </c>
      <c r="Q43" s="2">
        <v>73112</v>
      </c>
      <c r="R43" s="2">
        <v>-69607.498223000352</v>
      </c>
      <c r="S43" t="s">
        <v>43</v>
      </c>
      <c r="T43" t="s">
        <v>70</v>
      </c>
      <c r="U43" t="s">
        <v>48</v>
      </c>
      <c r="V43" t="s">
        <v>36</v>
      </c>
      <c r="W43" t="s">
        <v>64</v>
      </c>
      <c r="X43" s="2">
        <v>15385.20177699964</v>
      </c>
      <c r="Y43" s="2">
        <v>84992.7</v>
      </c>
      <c r="Z43" s="2">
        <v>-69607.498223000352</v>
      </c>
      <c r="AA43" s="3">
        <v>-0.38082666715724012</v>
      </c>
      <c r="AB43" s="3">
        <v>0.4</v>
      </c>
      <c r="AC43" t="s">
        <v>38</v>
      </c>
    </row>
    <row r="44" spans="1:29" x14ac:dyDescent="0.3">
      <c r="A44" t="s">
        <v>145</v>
      </c>
      <c r="B44" t="s">
        <v>146</v>
      </c>
      <c r="C44" t="s">
        <v>86</v>
      </c>
      <c r="D44" s="2">
        <v>49400</v>
      </c>
      <c r="E44" s="3">
        <v>0</v>
      </c>
      <c r="F44" s="2">
        <v>0</v>
      </c>
      <c r="G44" s="2">
        <v>49400</v>
      </c>
      <c r="H44" s="3">
        <v>0.1842</v>
      </c>
      <c r="I44">
        <v>12</v>
      </c>
      <c r="J44" s="3">
        <v>1.5350000000000001E-2</v>
      </c>
      <c r="K44" s="2">
        <v>4538.8717581378933</v>
      </c>
      <c r="L44" s="2">
        <v>54466.461097654719</v>
      </c>
      <c r="M44" s="2">
        <v>5066.4610976547192</v>
      </c>
      <c r="N44" s="2">
        <v>499</v>
      </c>
      <c r="O44" s="2">
        <v>3211</v>
      </c>
      <c r="P44" t="s">
        <v>42</v>
      </c>
      <c r="Q44" s="2">
        <v>19760</v>
      </c>
      <c r="R44" s="2">
        <v>-17405.538902345281</v>
      </c>
      <c r="S44" t="s">
        <v>77</v>
      </c>
      <c r="T44" t="s">
        <v>62</v>
      </c>
      <c r="U44" t="s">
        <v>35</v>
      </c>
      <c r="V44" t="s">
        <v>63</v>
      </c>
      <c r="W44" t="s">
        <v>64</v>
      </c>
      <c r="X44" s="2">
        <v>5565.4610976547192</v>
      </c>
      <c r="Y44" s="2">
        <v>22971</v>
      </c>
      <c r="Z44" s="2">
        <v>-17405.538902345281</v>
      </c>
      <c r="AA44" s="3">
        <v>-0.35233884417702999</v>
      </c>
      <c r="AB44" s="3">
        <v>0.4</v>
      </c>
      <c r="AC44" t="s">
        <v>38</v>
      </c>
    </row>
    <row r="45" spans="1:29" x14ac:dyDescent="0.3">
      <c r="A45" t="s">
        <v>147</v>
      </c>
      <c r="B45" t="s">
        <v>148</v>
      </c>
      <c r="C45" t="s">
        <v>56</v>
      </c>
      <c r="D45" s="2">
        <v>631100</v>
      </c>
      <c r="E45" s="3">
        <v>0.2</v>
      </c>
      <c r="F45" s="2">
        <v>126220</v>
      </c>
      <c r="G45" s="2">
        <v>504880</v>
      </c>
      <c r="H45" s="3">
        <v>9.2499999999999999E-2</v>
      </c>
      <c r="I45">
        <v>36</v>
      </c>
      <c r="J45" s="3">
        <v>7.7083333333333344E-3</v>
      </c>
      <c r="K45" s="2">
        <v>16113.857902590569</v>
      </c>
      <c r="L45" s="2">
        <v>580098.88449326053</v>
      </c>
      <c r="M45" s="2">
        <v>75218.884493260528</v>
      </c>
      <c r="N45" s="2">
        <v>5048.8</v>
      </c>
      <c r="O45" s="2">
        <v>98451.6</v>
      </c>
      <c r="P45" t="s">
        <v>32</v>
      </c>
      <c r="Q45" s="2">
        <v>0</v>
      </c>
      <c r="R45" s="2">
        <v>-18183.915506739471</v>
      </c>
      <c r="S45" t="s">
        <v>57</v>
      </c>
      <c r="T45" t="s">
        <v>34</v>
      </c>
      <c r="U45" t="s">
        <v>59</v>
      </c>
      <c r="V45" t="s">
        <v>71</v>
      </c>
      <c r="W45" t="s">
        <v>37</v>
      </c>
      <c r="X45" s="2">
        <v>80267.684493260531</v>
      </c>
      <c r="Y45" s="2">
        <v>98451.6</v>
      </c>
      <c r="Z45" s="2">
        <v>-18183.915506739471</v>
      </c>
      <c r="AA45" s="3">
        <v>-3.6016311810211289E-2</v>
      </c>
      <c r="AB45" s="3">
        <v>0</v>
      </c>
      <c r="AC45" t="s">
        <v>38</v>
      </c>
    </row>
    <row r="46" spans="1:29" x14ac:dyDescent="0.3">
      <c r="A46" t="s">
        <v>149</v>
      </c>
      <c r="B46" t="s">
        <v>150</v>
      </c>
      <c r="C46" t="s">
        <v>31</v>
      </c>
      <c r="D46" s="2">
        <v>282200</v>
      </c>
      <c r="E46" s="3">
        <v>0.1</v>
      </c>
      <c r="F46" s="2">
        <v>28220</v>
      </c>
      <c r="G46" s="2">
        <v>253980</v>
      </c>
      <c r="H46" s="3">
        <v>0.11890000000000001</v>
      </c>
      <c r="I46">
        <v>24</v>
      </c>
      <c r="J46" s="3">
        <v>9.9083333333333332E-3</v>
      </c>
      <c r="K46" s="2">
        <v>11942.67788732219</v>
      </c>
      <c r="L46" s="2">
        <v>286624.26929573261</v>
      </c>
      <c r="M46" s="2">
        <v>32644.269295732611</v>
      </c>
      <c r="N46" s="2">
        <v>2539.8000000000002</v>
      </c>
      <c r="O46" s="2">
        <v>33017.4</v>
      </c>
      <c r="P46" t="s">
        <v>32</v>
      </c>
      <c r="Q46" s="2">
        <v>0</v>
      </c>
      <c r="R46" s="2">
        <v>2166.669295732609</v>
      </c>
      <c r="S46" t="s">
        <v>33</v>
      </c>
      <c r="T46" t="s">
        <v>47</v>
      </c>
      <c r="U46" t="s">
        <v>151</v>
      </c>
      <c r="V46" t="s">
        <v>36</v>
      </c>
      <c r="W46" t="s">
        <v>37</v>
      </c>
      <c r="X46" s="2">
        <v>35184.06929573261</v>
      </c>
      <c r="Y46" s="2">
        <v>33017.4</v>
      </c>
      <c r="Z46" s="2">
        <v>2166.669295732609</v>
      </c>
      <c r="AA46" s="3">
        <v>8.5308657994039236E-3</v>
      </c>
      <c r="AB46" s="3">
        <v>0</v>
      </c>
      <c r="AC46" t="s">
        <v>38</v>
      </c>
    </row>
    <row r="47" spans="1:29" x14ac:dyDescent="0.3">
      <c r="A47" t="s">
        <v>152</v>
      </c>
      <c r="B47" t="s">
        <v>153</v>
      </c>
      <c r="C47" t="s">
        <v>31</v>
      </c>
      <c r="D47" s="2">
        <v>139700</v>
      </c>
      <c r="E47" s="3">
        <v>0.15</v>
      </c>
      <c r="F47" s="2">
        <v>20955</v>
      </c>
      <c r="G47" s="2">
        <v>118745</v>
      </c>
      <c r="H47" s="3">
        <v>0.17449999999999999</v>
      </c>
      <c r="I47">
        <v>24</v>
      </c>
      <c r="J47" s="3">
        <v>1.454166666666667E-2</v>
      </c>
      <c r="K47" s="2">
        <v>5896.7293803866496</v>
      </c>
      <c r="L47" s="2">
        <v>141521.5051292796</v>
      </c>
      <c r="M47" s="2">
        <v>22776.505129279602</v>
      </c>
      <c r="N47" s="2">
        <v>1187.45</v>
      </c>
      <c r="O47" s="2">
        <v>15436.85</v>
      </c>
      <c r="P47" t="s">
        <v>52</v>
      </c>
      <c r="Q47" s="2">
        <v>0</v>
      </c>
      <c r="R47" s="2">
        <v>8527.1051292795983</v>
      </c>
      <c r="S47" t="s">
        <v>33</v>
      </c>
      <c r="T47" t="s">
        <v>107</v>
      </c>
      <c r="U47" t="s">
        <v>48</v>
      </c>
      <c r="V47" t="s">
        <v>63</v>
      </c>
      <c r="W47" t="s">
        <v>37</v>
      </c>
      <c r="X47" s="2">
        <v>23963.955129279599</v>
      </c>
      <c r="Y47" s="2">
        <v>15436.85</v>
      </c>
      <c r="Z47" s="2">
        <v>8527.1051292795983</v>
      </c>
      <c r="AA47" s="3">
        <v>7.1810224677077761E-2</v>
      </c>
      <c r="AB47" s="3">
        <v>0</v>
      </c>
      <c r="AC47" t="s">
        <v>38</v>
      </c>
    </row>
    <row r="48" spans="1:29" x14ac:dyDescent="0.3">
      <c r="A48" t="s">
        <v>154</v>
      </c>
      <c r="B48" t="s">
        <v>155</v>
      </c>
      <c r="C48" t="s">
        <v>56</v>
      </c>
      <c r="D48" s="2">
        <v>1344500</v>
      </c>
      <c r="E48" s="3">
        <v>0.2</v>
      </c>
      <c r="F48" s="2">
        <v>268900</v>
      </c>
      <c r="G48" s="2">
        <v>1075600</v>
      </c>
      <c r="H48" s="3">
        <v>9.1700000000000004E-2</v>
      </c>
      <c r="I48">
        <v>72</v>
      </c>
      <c r="J48" s="3">
        <v>7.6416666666666673E-3</v>
      </c>
      <c r="K48" s="2">
        <v>19479.143178410661</v>
      </c>
      <c r="L48" s="2">
        <v>1402498.308845568</v>
      </c>
      <c r="M48" s="2">
        <v>326898.30884556769</v>
      </c>
      <c r="N48" s="2">
        <v>10756</v>
      </c>
      <c r="O48" s="2">
        <v>419484</v>
      </c>
      <c r="P48" t="s">
        <v>32</v>
      </c>
      <c r="Q48" s="2">
        <v>0</v>
      </c>
      <c r="R48" s="2">
        <v>-81829.69115443225</v>
      </c>
      <c r="S48" t="s">
        <v>43</v>
      </c>
      <c r="T48" t="s">
        <v>74</v>
      </c>
      <c r="U48" t="s">
        <v>59</v>
      </c>
      <c r="V48" t="s">
        <v>71</v>
      </c>
      <c r="W48" t="s">
        <v>49</v>
      </c>
      <c r="X48" s="2">
        <v>337654.30884556769</v>
      </c>
      <c r="Y48" s="2">
        <v>419484</v>
      </c>
      <c r="Z48" s="2">
        <v>-81829.69115443225</v>
      </c>
      <c r="AA48" s="3">
        <v>-7.6078180693968253E-2</v>
      </c>
      <c r="AB48" s="3">
        <v>0</v>
      </c>
      <c r="AC48" t="s">
        <v>38</v>
      </c>
    </row>
    <row r="49" spans="1:29" x14ac:dyDescent="0.3">
      <c r="A49" t="s">
        <v>156</v>
      </c>
      <c r="B49" t="s">
        <v>157</v>
      </c>
      <c r="C49" t="s">
        <v>86</v>
      </c>
      <c r="D49" s="2">
        <v>29600</v>
      </c>
      <c r="E49" s="3">
        <v>0.05</v>
      </c>
      <c r="F49" s="2">
        <v>1480</v>
      </c>
      <c r="G49" s="2">
        <v>28120</v>
      </c>
      <c r="H49" s="3">
        <v>0.1663</v>
      </c>
      <c r="I49">
        <v>3</v>
      </c>
      <c r="J49" s="3">
        <v>1.385833333333333E-2</v>
      </c>
      <c r="K49" s="2">
        <v>9634.3227318415902</v>
      </c>
      <c r="L49" s="2">
        <v>28902.968195524769</v>
      </c>
      <c r="M49" s="2">
        <v>782.96819552477245</v>
      </c>
      <c r="N49" s="2">
        <v>499</v>
      </c>
      <c r="O49" s="2">
        <v>456.95</v>
      </c>
      <c r="P49" t="s">
        <v>32</v>
      </c>
      <c r="Q49" s="2">
        <v>0</v>
      </c>
      <c r="R49" s="2">
        <v>825.01819552477241</v>
      </c>
      <c r="S49" t="s">
        <v>57</v>
      </c>
      <c r="T49" t="s">
        <v>67</v>
      </c>
      <c r="U49" t="s">
        <v>35</v>
      </c>
      <c r="V49" t="s">
        <v>63</v>
      </c>
      <c r="W49" t="s">
        <v>64</v>
      </c>
      <c r="X49" s="2">
        <v>1281.968195524772</v>
      </c>
      <c r="Y49" s="2">
        <v>456.95</v>
      </c>
      <c r="Z49" s="2">
        <v>825.01819552477241</v>
      </c>
      <c r="AA49" s="3">
        <v>2.9339196142417229E-2</v>
      </c>
      <c r="AB49" s="3">
        <v>0</v>
      </c>
      <c r="AC49" t="s">
        <v>38</v>
      </c>
    </row>
    <row r="50" spans="1:29" x14ac:dyDescent="0.3">
      <c r="A50" t="s">
        <v>158</v>
      </c>
      <c r="B50" t="s">
        <v>159</v>
      </c>
      <c r="C50" t="s">
        <v>56</v>
      </c>
      <c r="D50" s="2">
        <v>989800</v>
      </c>
      <c r="E50" s="3">
        <v>0.2</v>
      </c>
      <c r="F50" s="2">
        <v>197960</v>
      </c>
      <c r="G50" s="2">
        <v>791840</v>
      </c>
      <c r="H50" s="3">
        <v>0.1132</v>
      </c>
      <c r="I50">
        <v>36</v>
      </c>
      <c r="J50" s="3">
        <v>9.4333333333333335E-3</v>
      </c>
      <c r="K50" s="2">
        <v>26043.986100512451</v>
      </c>
      <c r="L50" s="2">
        <v>937583.49961844832</v>
      </c>
      <c r="M50" s="2">
        <v>145743.49961844829</v>
      </c>
      <c r="N50" s="2">
        <v>7918.4000000000005</v>
      </c>
      <c r="O50" s="2">
        <v>154408.79999999999</v>
      </c>
      <c r="P50" t="s">
        <v>52</v>
      </c>
      <c r="Q50" s="2">
        <v>0</v>
      </c>
      <c r="R50" s="2">
        <v>-746.90038155167713</v>
      </c>
      <c r="S50" t="s">
        <v>77</v>
      </c>
      <c r="T50" t="s">
        <v>62</v>
      </c>
      <c r="U50" t="s">
        <v>59</v>
      </c>
      <c r="V50" t="s">
        <v>36</v>
      </c>
      <c r="W50" t="s">
        <v>37</v>
      </c>
      <c r="X50" s="2">
        <v>153661.89961844831</v>
      </c>
      <c r="Y50" s="2">
        <v>154408.79999999999</v>
      </c>
      <c r="Z50" s="2">
        <v>-746.90038155167713</v>
      </c>
      <c r="AA50" s="3">
        <v>-9.4324659217983069E-4</v>
      </c>
      <c r="AB50" s="3">
        <v>0</v>
      </c>
      <c r="AC50" t="s">
        <v>38</v>
      </c>
    </row>
    <row r="51" spans="1:29" x14ac:dyDescent="0.3">
      <c r="A51" t="s">
        <v>160</v>
      </c>
      <c r="B51" t="s">
        <v>161</v>
      </c>
      <c r="C51" t="s">
        <v>86</v>
      </c>
      <c r="D51" s="2">
        <v>56700</v>
      </c>
      <c r="E51" s="3">
        <v>0.1</v>
      </c>
      <c r="F51" s="2">
        <v>5670</v>
      </c>
      <c r="G51" s="2">
        <v>51030</v>
      </c>
      <c r="H51" s="3">
        <v>0.1983</v>
      </c>
      <c r="I51">
        <v>9</v>
      </c>
      <c r="J51" s="3">
        <v>1.6525000000000001E-2</v>
      </c>
      <c r="K51" s="2">
        <v>6148.7178923806778</v>
      </c>
      <c r="L51" s="2">
        <v>55338.461031426101</v>
      </c>
      <c r="M51" s="2">
        <v>4308.4610314261008</v>
      </c>
      <c r="N51" s="2">
        <v>510.3</v>
      </c>
      <c r="O51" s="2">
        <v>2487.7125000000001</v>
      </c>
      <c r="P51" t="s">
        <v>32</v>
      </c>
      <c r="Q51" s="2">
        <v>0</v>
      </c>
      <c r="R51" s="2">
        <v>2331.0485314261009</v>
      </c>
      <c r="S51" t="s">
        <v>33</v>
      </c>
      <c r="T51" t="s">
        <v>107</v>
      </c>
      <c r="U51" t="s">
        <v>35</v>
      </c>
      <c r="V51" t="s">
        <v>63</v>
      </c>
      <c r="W51" t="s">
        <v>64</v>
      </c>
      <c r="X51" s="2">
        <v>4818.761031426101</v>
      </c>
      <c r="Y51" s="2">
        <v>2487.7125000000001</v>
      </c>
      <c r="Z51" s="2">
        <v>2331.0485314261009</v>
      </c>
      <c r="AA51" s="3">
        <v>4.5679963382835607E-2</v>
      </c>
      <c r="AB51" s="3">
        <v>0</v>
      </c>
      <c r="AC51" t="s">
        <v>38</v>
      </c>
    </row>
    <row r="52" spans="1:29" x14ac:dyDescent="0.3">
      <c r="A52" t="s">
        <v>162</v>
      </c>
      <c r="B52" t="s">
        <v>163</v>
      </c>
      <c r="C52" t="s">
        <v>56</v>
      </c>
      <c r="D52" s="2">
        <v>609100</v>
      </c>
      <c r="E52" s="3">
        <v>0.1</v>
      </c>
      <c r="F52" s="2">
        <v>60910</v>
      </c>
      <c r="G52" s="2">
        <v>548190</v>
      </c>
      <c r="H52" s="3">
        <v>8.6300000000000002E-2</v>
      </c>
      <c r="I52">
        <v>72</v>
      </c>
      <c r="J52" s="3">
        <v>7.1916666666666674E-3</v>
      </c>
      <c r="K52" s="2">
        <v>9781.0534068032357</v>
      </c>
      <c r="L52" s="2">
        <v>704235.84528983291</v>
      </c>
      <c r="M52" s="2">
        <v>156045.84528983291</v>
      </c>
      <c r="N52" s="2">
        <v>5481.9000000000005</v>
      </c>
      <c r="O52" s="2">
        <v>213794.1</v>
      </c>
      <c r="P52" t="s">
        <v>32</v>
      </c>
      <c r="Q52" s="2">
        <v>0</v>
      </c>
      <c r="R52" s="2">
        <v>-52266.35471016707</v>
      </c>
      <c r="S52" t="s">
        <v>43</v>
      </c>
      <c r="T52" t="s">
        <v>53</v>
      </c>
      <c r="U52" t="s">
        <v>59</v>
      </c>
      <c r="V52" t="s">
        <v>71</v>
      </c>
      <c r="W52" t="s">
        <v>49</v>
      </c>
      <c r="X52" s="2">
        <v>161527.74528983291</v>
      </c>
      <c r="Y52" s="2">
        <v>213794.1</v>
      </c>
      <c r="Z52" s="2">
        <v>-52266.35471016707</v>
      </c>
      <c r="AA52" s="3">
        <v>-9.5343502636252159E-2</v>
      </c>
      <c r="AB52" s="3">
        <v>0</v>
      </c>
      <c r="AC52" t="s">
        <v>38</v>
      </c>
    </row>
    <row r="53" spans="1:29" x14ac:dyDescent="0.3">
      <c r="A53" t="s">
        <v>164</v>
      </c>
      <c r="B53" t="s">
        <v>165</v>
      </c>
      <c r="C53" t="s">
        <v>41</v>
      </c>
      <c r="D53" s="2">
        <v>143600</v>
      </c>
      <c r="E53" s="3">
        <v>0.1</v>
      </c>
      <c r="F53" s="2">
        <v>14360</v>
      </c>
      <c r="G53" s="2">
        <v>129240</v>
      </c>
      <c r="H53" s="3">
        <v>0.19370000000000001</v>
      </c>
      <c r="I53">
        <v>24</v>
      </c>
      <c r="J53" s="3">
        <v>1.6141666666666669E-2</v>
      </c>
      <c r="K53" s="2">
        <v>6538.0661393901119</v>
      </c>
      <c r="L53" s="2">
        <v>156913.5873453627</v>
      </c>
      <c r="M53" s="2">
        <v>27673.587345362699</v>
      </c>
      <c r="N53" s="2">
        <v>1292.4000000000001</v>
      </c>
      <c r="O53" s="2">
        <v>16801.2</v>
      </c>
      <c r="P53" t="s">
        <v>32</v>
      </c>
      <c r="Q53" s="2">
        <v>0</v>
      </c>
      <c r="R53" s="2">
        <v>12164.7873453627</v>
      </c>
      <c r="S53" t="s">
        <v>33</v>
      </c>
      <c r="T53" t="s">
        <v>44</v>
      </c>
      <c r="U53" t="s">
        <v>48</v>
      </c>
      <c r="V53" t="s">
        <v>63</v>
      </c>
      <c r="W53" t="s">
        <v>37</v>
      </c>
      <c r="X53" s="2">
        <v>28965.987345362701</v>
      </c>
      <c r="Y53" s="2">
        <v>16801.2</v>
      </c>
      <c r="Z53" s="2">
        <v>12164.7873453627</v>
      </c>
      <c r="AA53" s="3">
        <v>9.4125559775322651E-2</v>
      </c>
      <c r="AB53" s="3">
        <v>0</v>
      </c>
      <c r="AC53" t="s">
        <v>38</v>
      </c>
    </row>
    <row r="54" spans="1:29" x14ac:dyDescent="0.3">
      <c r="A54" t="s">
        <v>166</v>
      </c>
      <c r="B54" t="s">
        <v>167</v>
      </c>
      <c r="C54" t="s">
        <v>56</v>
      </c>
      <c r="D54" s="2">
        <v>957800</v>
      </c>
      <c r="E54" s="3">
        <v>0.25</v>
      </c>
      <c r="F54" s="2">
        <v>239450</v>
      </c>
      <c r="G54" s="2">
        <v>718350</v>
      </c>
      <c r="H54" s="3">
        <v>0.105</v>
      </c>
      <c r="I54">
        <v>60</v>
      </c>
      <c r="J54" s="3">
        <v>8.7499999999999991E-3</v>
      </c>
      <c r="K54" s="2">
        <v>15440.14333662068</v>
      </c>
      <c r="L54" s="2">
        <v>926408.60019724059</v>
      </c>
      <c r="M54" s="2">
        <v>208058.60019724059</v>
      </c>
      <c r="N54" s="2">
        <v>7183.5</v>
      </c>
      <c r="O54" s="2">
        <v>233463.75</v>
      </c>
      <c r="P54" t="s">
        <v>32</v>
      </c>
      <c r="Q54" s="2">
        <v>0</v>
      </c>
      <c r="R54" s="2">
        <v>-18221.64980275941</v>
      </c>
      <c r="S54" t="s">
        <v>43</v>
      </c>
      <c r="T54" t="s">
        <v>74</v>
      </c>
      <c r="U54" t="s">
        <v>59</v>
      </c>
      <c r="V54" t="s">
        <v>36</v>
      </c>
      <c r="W54" t="s">
        <v>49</v>
      </c>
      <c r="X54" s="2">
        <v>215242.10019724059</v>
      </c>
      <c r="Y54" s="2">
        <v>233463.75</v>
      </c>
      <c r="Z54" s="2">
        <v>-18221.64980275941</v>
      </c>
      <c r="AA54" s="3">
        <v>-2.5365977312952471E-2</v>
      </c>
      <c r="AB54" s="3">
        <v>0</v>
      </c>
      <c r="AC54" t="s">
        <v>38</v>
      </c>
    </row>
    <row r="55" spans="1:29" x14ac:dyDescent="0.3">
      <c r="A55" t="s">
        <v>168</v>
      </c>
      <c r="B55" t="s">
        <v>169</v>
      </c>
      <c r="C55" t="s">
        <v>41</v>
      </c>
      <c r="D55" s="2">
        <v>142500</v>
      </c>
      <c r="E55" s="3">
        <v>0.2</v>
      </c>
      <c r="F55" s="2">
        <v>28500</v>
      </c>
      <c r="G55" s="2">
        <v>114000</v>
      </c>
      <c r="H55" s="3">
        <v>0.17419999999999999</v>
      </c>
      <c r="I55">
        <v>9</v>
      </c>
      <c r="J55" s="3">
        <v>1.4516666666666671E-2</v>
      </c>
      <c r="K55" s="2">
        <v>13603.717897404391</v>
      </c>
      <c r="L55" s="2">
        <v>122433.46107663951</v>
      </c>
      <c r="M55" s="2">
        <v>8433.4610766395053</v>
      </c>
      <c r="N55" s="2">
        <v>1140</v>
      </c>
      <c r="O55" s="2">
        <v>5557.5</v>
      </c>
      <c r="P55" t="s">
        <v>32</v>
      </c>
      <c r="Q55" s="2">
        <v>0</v>
      </c>
      <c r="R55" s="2">
        <v>4015.9610766395049</v>
      </c>
      <c r="S55" t="s">
        <v>57</v>
      </c>
      <c r="T55" t="s">
        <v>70</v>
      </c>
      <c r="U55" t="s">
        <v>48</v>
      </c>
      <c r="V55" t="s">
        <v>63</v>
      </c>
      <c r="W55" t="s">
        <v>64</v>
      </c>
      <c r="X55" s="2">
        <v>9573.4610766395053</v>
      </c>
      <c r="Y55" s="2">
        <v>5557.5</v>
      </c>
      <c r="Z55" s="2">
        <v>4015.9610766395049</v>
      </c>
      <c r="AA55" s="3">
        <v>3.5227728742451801E-2</v>
      </c>
      <c r="AB55" s="3">
        <v>0</v>
      </c>
      <c r="AC55" t="s">
        <v>38</v>
      </c>
    </row>
    <row r="56" spans="1:29" x14ac:dyDescent="0.3">
      <c r="A56" t="s">
        <v>170</v>
      </c>
      <c r="B56" t="s">
        <v>171</v>
      </c>
      <c r="C56" t="s">
        <v>56</v>
      </c>
      <c r="D56" s="2">
        <v>734300</v>
      </c>
      <c r="E56" s="3">
        <v>0.3</v>
      </c>
      <c r="F56" s="2">
        <v>220290</v>
      </c>
      <c r="G56" s="2">
        <v>514010</v>
      </c>
      <c r="H56" s="3">
        <v>9.1300000000000006E-2</v>
      </c>
      <c r="I56">
        <v>84</v>
      </c>
      <c r="J56" s="3">
        <v>7.6083333333333341E-3</v>
      </c>
      <c r="K56" s="2">
        <v>8303.8990566053308</v>
      </c>
      <c r="L56" s="2">
        <v>697527.52075484779</v>
      </c>
      <c r="M56" s="2">
        <v>183517.52075484779</v>
      </c>
      <c r="N56" s="2">
        <v>5140.1000000000004</v>
      </c>
      <c r="O56" s="2">
        <v>233874.55</v>
      </c>
      <c r="P56" t="s">
        <v>32</v>
      </c>
      <c r="Q56" s="2">
        <v>0</v>
      </c>
      <c r="R56" s="2">
        <v>-45216.92924515222</v>
      </c>
      <c r="S56" t="s">
        <v>57</v>
      </c>
      <c r="T56" t="s">
        <v>116</v>
      </c>
      <c r="U56" t="s">
        <v>59</v>
      </c>
      <c r="V56" t="s">
        <v>71</v>
      </c>
      <c r="W56" t="s">
        <v>49</v>
      </c>
      <c r="X56" s="2">
        <v>188657.6207548478</v>
      </c>
      <c r="Y56" s="2">
        <v>233874.55</v>
      </c>
      <c r="Z56" s="2">
        <v>-45216.92924515222</v>
      </c>
      <c r="AA56" s="3">
        <v>-8.796896800675516E-2</v>
      </c>
      <c r="AB56" s="3">
        <v>0</v>
      </c>
      <c r="AC56" t="s">
        <v>38</v>
      </c>
    </row>
    <row r="57" spans="1:29" x14ac:dyDescent="0.3">
      <c r="A57" t="s">
        <v>172</v>
      </c>
      <c r="B57" t="s">
        <v>173</v>
      </c>
      <c r="C57" t="s">
        <v>41</v>
      </c>
      <c r="D57" s="2">
        <v>51700</v>
      </c>
      <c r="E57" s="3">
        <v>0.05</v>
      </c>
      <c r="F57" s="2">
        <v>2585</v>
      </c>
      <c r="G57" s="2">
        <v>49115</v>
      </c>
      <c r="H57" s="3">
        <v>0.15790000000000001</v>
      </c>
      <c r="I57">
        <v>36</v>
      </c>
      <c r="J57" s="3">
        <v>1.3158333333333329E-2</v>
      </c>
      <c r="K57" s="2">
        <v>1721.6498813723181</v>
      </c>
      <c r="L57" s="2">
        <v>61979.395729403434</v>
      </c>
      <c r="M57" s="2">
        <v>12864.39572940343</v>
      </c>
      <c r="N57" s="2">
        <v>499</v>
      </c>
      <c r="O57" s="2">
        <v>9577.4249999999993</v>
      </c>
      <c r="P57" t="s">
        <v>32</v>
      </c>
      <c r="Q57" s="2">
        <v>0</v>
      </c>
      <c r="R57" s="2">
        <v>3785.9707294034338</v>
      </c>
      <c r="S57" t="s">
        <v>77</v>
      </c>
      <c r="T57" t="s">
        <v>70</v>
      </c>
      <c r="U57" t="s">
        <v>35</v>
      </c>
      <c r="V57" t="s">
        <v>63</v>
      </c>
      <c r="W57" t="s">
        <v>37</v>
      </c>
      <c r="X57" s="2">
        <v>13363.39572940343</v>
      </c>
      <c r="Y57" s="2">
        <v>9577.4249999999993</v>
      </c>
      <c r="Z57" s="2">
        <v>3785.9707294034338</v>
      </c>
      <c r="AA57" s="3">
        <v>7.708379780929317E-2</v>
      </c>
      <c r="AB57" s="3">
        <v>0</v>
      </c>
      <c r="AC57" t="s">
        <v>38</v>
      </c>
    </row>
    <row r="58" spans="1:29" x14ac:dyDescent="0.3">
      <c r="A58" t="s">
        <v>174</v>
      </c>
      <c r="B58" t="s">
        <v>175</v>
      </c>
      <c r="C58" t="s">
        <v>31</v>
      </c>
      <c r="D58" s="2">
        <v>208600</v>
      </c>
      <c r="E58" s="3">
        <v>0.15</v>
      </c>
      <c r="F58" s="2">
        <v>31290</v>
      </c>
      <c r="G58" s="2">
        <v>177310</v>
      </c>
      <c r="H58" s="3">
        <v>0.1075</v>
      </c>
      <c r="I58">
        <v>24</v>
      </c>
      <c r="J58" s="3">
        <v>8.9583333333333338E-3</v>
      </c>
      <c r="K58" s="2">
        <v>8243.470775499607</v>
      </c>
      <c r="L58" s="2">
        <v>197843.29861199061</v>
      </c>
      <c r="M58" s="2">
        <v>20533.29861199058</v>
      </c>
      <c r="N58" s="2">
        <v>1773.1</v>
      </c>
      <c r="O58" s="2">
        <v>23050.3</v>
      </c>
      <c r="P58" t="s">
        <v>52</v>
      </c>
      <c r="Q58" s="2">
        <v>0</v>
      </c>
      <c r="R58" s="2">
        <v>-743.90138800941713</v>
      </c>
      <c r="S58" t="s">
        <v>43</v>
      </c>
      <c r="T58" t="s">
        <v>47</v>
      </c>
      <c r="U58" t="s">
        <v>48</v>
      </c>
      <c r="V58" t="s">
        <v>36</v>
      </c>
      <c r="W58" t="s">
        <v>37</v>
      </c>
      <c r="X58" s="2">
        <v>22306.398611990579</v>
      </c>
      <c r="Y58" s="2">
        <v>23050.3</v>
      </c>
      <c r="Z58" s="2">
        <v>-743.90138800941713</v>
      </c>
      <c r="AA58" s="3">
        <v>-4.1954846766082974E-3</v>
      </c>
      <c r="AB58" s="3">
        <v>0</v>
      </c>
      <c r="AC58" t="s">
        <v>38</v>
      </c>
    </row>
    <row r="59" spans="1:29" x14ac:dyDescent="0.3">
      <c r="A59" t="s">
        <v>176</v>
      </c>
      <c r="B59" t="s">
        <v>177</v>
      </c>
      <c r="C59" t="s">
        <v>86</v>
      </c>
      <c r="D59" s="2">
        <v>35400</v>
      </c>
      <c r="E59" s="3">
        <v>0.1</v>
      </c>
      <c r="F59" s="2">
        <v>3540</v>
      </c>
      <c r="G59" s="2">
        <v>31860</v>
      </c>
      <c r="H59" s="3">
        <v>0.17799999999999999</v>
      </c>
      <c r="I59">
        <v>3</v>
      </c>
      <c r="J59" s="3">
        <v>1.483333333333333E-2</v>
      </c>
      <c r="K59" s="2">
        <v>10936.60630013035</v>
      </c>
      <c r="L59" s="2">
        <v>32809.818900391052</v>
      </c>
      <c r="M59" s="2">
        <v>949.81890039105201</v>
      </c>
      <c r="N59" s="2">
        <v>499</v>
      </c>
      <c r="O59" s="2">
        <v>517.72500000000002</v>
      </c>
      <c r="P59" t="s">
        <v>32</v>
      </c>
      <c r="Q59" s="2">
        <v>0</v>
      </c>
      <c r="R59" s="2">
        <v>931.09390039105199</v>
      </c>
      <c r="S59" t="s">
        <v>43</v>
      </c>
      <c r="T59" t="s">
        <v>44</v>
      </c>
      <c r="U59" t="s">
        <v>35</v>
      </c>
      <c r="V59" t="s">
        <v>63</v>
      </c>
      <c r="W59" t="s">
        <v>64</v>
      </c>
      <c r="X59" s="2">
        <v>1448.818900391052</v>
      </c>
      <c r="Y59" s="2">
        <v>517.72500000000002</v>
      </c>
      <c r="Z59" s="2">
        <v>931.09390039105199</v>
      </c>
      <c r="AA59" s="3">
        <v>2.9224541757409041E-2</v>
      </c>
      <c r="AB59" s="3">
        <v>0</v>
      </c>
      <c r="AC59" t="s">
        <v>38</v>
      </c>
    </row>
    <row r="60" spans="1:29" x14ac:dyDescent="0.3">
      <c r="A60" t="s">
        <v>178</v>
      </c>
      <c r="B60" t="s">
        <v>179</v>
      </c>
      <c r="C60" t="s">
        <v>31</v>
      </c>
      <c r="D60" s="2">
        <v>178700</v>
      </c>
      <c r="E60" s="3">
        <v>0.05</v>
      </c>
      <c r="F60" s="2">
        <v>8935</v>
      </c>
      <c r="G60" s="2">
        <v>169765</v>
      </c>
      <c r="H60" s="3">
        <v>0.1195</v>
      </c>
      <c r="I60">
        <v>12</v>
      </c>
      <c r="J60" s="3">
        <v>9.9583333333333329E-3</v>
      </c>
      <c r="K60" s="2">
        <v>15079.44401878805</v>
      </c>
      <c r="L60" s="2">
        <v>180953.32822545659</v>
      </c>
      <c r="M60" s="2">
        <v>11188.328225456609</v>
      </c>
      <c r="N60" s="2">
        <v>1697.65</v>
      </c>
      <c r="O60" s="2">
        <v>11034.725</v>
      </c>
      <c r="P60" t="s">
        <v>32</v>
      </c>
      <c r="Q60" s="2">
        <v>0</v>
      </c>
      <c r="R60" s="2">
        <v>1851.253225456614</v>
      </c>
      <c r="S60" t="s">
        <v>43</v>
      </c>
      <c r="T60" t="s">
        <v>47</v>
      </c>
      <c r="U60" t="s">
        <v>48</v>
      </c>
      <c r="V60" t="s">
        <v>36</v>
      </c>
      <c r="W60" t="s">
        <v>64</v>
      </c>
      <c r="X60" s="2">
        <v>12885.978225456611</v>
      </c>
      <c r="Y60" s="2">
        <v>11034.725</v>
      </c>
      <c r="Z60" s="2">
        <v>1851.253225456614</v>
      </c>
      <c r="AA60" s="3">
        <v>1.0904799136786819E-2</v>
      </c>
      <c r="AB60" s="3">
        <v>0</v>
      </c>
      <c r="AC60" t="s">
        <v>38</v>
      </c>
    </row>
    <row r="61" spans="1:29" x14ac:dyDescent="0.3">
      <c r="A61" t="s">
        <v>180</v>
      </c>
      <c r="B61" t="s">
        <v>181</v>
      </c>
      <c r="C61" t="s">
        <v>56</v>
      </c>
      <c r="D61" s="2">
        <v>1165500</v>
      </c>
      <c r="E61" s="3">
        <v>0.15</v>
      </c>
      <c r="F61" s="2">
        <v>174825</v>
      </c>
      <c r="G61" s="2">
        <v>990675</v>
      </c>
      <c r="H61" s="3">
        <v>9.8900000000000002E-2</v>
      </c>
      <c r="I61">
        <v>84</v>
      </c>
      <c r="J61" s="3">
        <v>8.2416666666666662E-3</v>
      </c>
      <c r="K61" s="2">
        <v>16390.126317507838</v>
      </c>
      <c r="L61" s="2">
        <v>1376770.610670659</v>
      </c>
      <c r="M61" s="2">
        <v>386095.61067065882</v>
      </c>
      <c r="N61" s="2">
        <v>9906.75</v>
      </c>
      <c r="O61" s="2">
        <v>450757.125</v>
      </c>
      <c r="P61" t="s">
        <v>32</v>
      </c>
      <c r="Q61" s="2">
        <v>0</v>
      </c>
      <c r="R61" s="2">
        <v>-54754.76432934124</v>
      </c>
      <c r="S61" t="s">
        <v>33</v>
      </c>
      <c r="T61" t="s">
        <v>116</v>
      </c>
      <c r="U61" t="s">
        <v>59</v>
      </c>
      <c r="V61" t="s">
        <v>71</v>
      </c>
      <c r="W61" t="s">
        <v>49</v>
      </c>
      <c r="X61" s="2">
        <v>396002.36067065882</v>
      </c>
      <c r="Y61" s="2">
        <v>450757.125</v>
      </c>
      <c r="Z61" s="2">
        <v>-54754.76432934124</v>
      </c>
      <c r="AA61" s="3">
        <v>-5.5270158557893599E-2</v>
      </c>
      <c r="AB61" s="3">
        <v>0</v>
      </c>
      <c r="AC61" t="s">
        <v>38</v>
      </c>
    </row>
    <row r="62" spans="1:29" x14ac:dyDescent="0.3">
      <c r="A62" t="s">
        <v>182</v>
      </c>
      <c r="B62" t="s">
        <v>183</v>
      </c>
      <c r="C62" t="s">
        <v>86</v>
      </c>
      <c r="D62" s="2">
        <v>60000</v>
      </c>
      <c r="E62" s="3">
        <v>0.15</v>
      </c>
      <c r="F62" s="2">
        <v>9000</v>
      </c>
      <c r="G62" s="2">
        <v>51000</v>
      </c>
      <c r="H62" s="3">
        <v>0.1825</v>
      </c>
      <c r="I62">
        <v>18</v>
      </c>
      <c r="J62" s="3">
        <v>1.5208333333333331E-2</v>
      </c>
      <c r="K62" s="2">
        <v>3260.1759527685472</v>
      </c>
      <c r="L62" s="2">
        <v>58683.16714983384</v>
      </c>
      <c r="M62" s="2">
        <v>7683.1671498338401</v>
      </c>
      <c r="N62" s="2">
        <v>510</v>
      </c>
      <c r="O62" s="2">
        <v>4972.5</v>
      </c>
      <c r="P62" t="s">
        <v>52</v>
      </c>
      <c r="Q62" s="2">
        <v>0</v>
      </c>
      <c r="R62" s="2">
        <v>3220.6671498338401</v>
      </c>
      <c r="S62" t="s">
        <v>57</v>
      </c>
      <c r="T62" t="s">
        <v>34</v>
      </c>
      <c r="U62" t="s">
        <v>35</v>
      </c>
      <c r="V62" t="s">
        <v>63</v>
      </c>
      <c r="W62" t="s">
        <v>37</v>
      </c>
      <c r="X62" s="2">
        <v>8193.1671498338401</v>
      </c>
      <c r="Y62" s="2">
        <v>4972.5</v>
      </c>
      <c r="Z62" s="2">
        <v>3220.6671498338401</v>
      </c>
      <c r="AA62" s="3">
        <v>6.3150336271251772E-2</v>
      </c>
      <c r="AB62" s="3">
        <v>0</v>
      </c>
      <c r="AC62" t="s">
        <v>38</v>
      </c>
    </row>
    <row r="63" spans="1:29" x14ac:dyDescent="0.3">
      <c r="A63" t="s">
        <v>184</v>
      </c>
      <c r="B63" t="s">
        <v>185</v>
      </c>
      <c r="C63" t="s">
        <v>56</v>
      </c>
      <c r="D63" s="2">
        <v>1381200</v>
      </c>
      <c r="E63" s="3">
        <v>0.25</v>
      </c>
      <c r="F63" s="2">
        <v>345300</v>
      </c>
      <c r="G63" s="2">
        <v>1035900</v>
      </c>
      <c r="H63" s="3">
        <v>9.7799999999999998E-2</v>
      </c>
      <c r="I63">
        <v>84</v>
      </c>
      <c r="J63" s="3">
        <v>8.1499999999999993E-3</v>
      </c>
      <c r="K63" s="2">
        <v>17079.642132790399</v>
      </c>
      <c r="L63" s="2">
        <v>1434689.939154393</v>
      </c>
      <c r="M63" s="2">
        <v>398789.93915439327</v>
      </c>
      <c r="N63" s="2">
        <v>10359</v>
      </c>
      <c r="O63" s="2">
        <v>471334.5</v>
      </c>
      <c r="P63" t="s">
        <v>32</v>
      </c>
      <c r="Q63" s="2">
        <v>0</v>
      </c>
      <c r="R63" s="2">
        <v>-62185.560845606728</v>
      </c>
      <c r="S63" t="s">
        <v>57</v>
      </c>
      <c r="T63" t="s">
        <v>116</v>
      </c>
      <c r="U63" t="s">
        <v>59</v>
      </c>
      <c r="V63" t="s">
        <v>71</v>
      </c>
      <c r="W63" t="s">
        <v>49</v>
      </c>
      <c r="X63" s="2">
        <v>409148.93915439327</v>
      </c>
      <c r="Y63" s="2">
        <v>471334.5</v>
      </c>
      <c r="Z63" s="2">
        <v>-62185.560845606728</v>
      </c>
      <c r="AA63" s="3">
        <v>-6.003046707752363E-2</v>
      </c>
      <c r="AB63" s="3">
        <v>0</v>
      </c>
      <c r="AC63" t="s">
        <v>38</v>
      </c>
    </row>
    <row r="64" spans="1:29" x14ac:dyDescent="0.3">
      <c r="A64" t="s">
        <v>186</v>
      </c>
      <c r="B64" t="s">
        <v>187</v>
      </c>
      <c r="C64" t="s">
        <v>86</v>
      </c>
      <c r="D64" s="2">
        <v>35700</v>
      </c>
      <c r="E64" s="3">
        <v>0.1</v>
      </c>
      <c r="F64" s="2">
        <v>3570</v>
      </c>
      <c r="G64" s="2">
        <v>32130</v>
      </c>
      <c r="H64" s="3">
        <v>0.191</v>
      </c>
      <c r="I64">
        <v>18</v>
      </c>
      <c r="J64" s="3">
        <v>1.5916666666666669E-2</v>
      </c>
      <c r="K64" s="2">
        <v>2066.9667914693191</v>
      </c>
      <c r="L64" s="2">
        <v>37205.402246447738</v>
      </c>
      <c r="M64" s="2">
        <v>5075.4022464477384</v>
      </c>
      <c r="N64" s="2">
        <v>499</v>
      </c>
      <c r="O64" s="2">
        <v>3132.6750000000002</v>
      </c>
      <c r="P64" t="s">
        <v>32</v>
      </c>
      <c r="Q64" s="2">
        <v>0</v>
      </c>
      <c r="R64" s="2">
        <v>2441.7272464477378</v>
      </c>
      <c r="S64" t="s">
        <v>77</v>
      </c>
      <c r="T64" t="s">
        <v>116</v>
      </c>
      <c r="U64" t="s">
        <v>35</v>
      </c>
      <c r="V64" t="s">
        <v>63</v>
      </c>
      <c r="W64" t="s">
        <v>37</v>
      </c>
      <c r="X64" s="2">
        <v>5574.4022464477384</v>
      </c>
      <c r="Y64" s="2">
        <v>3132.6750000000002</v>
      </c>
      <c r="Z64" s="2">
        <v>2441.7272464477378</v>
      </c>
      <c r="AA64" s="3">
        <v>7.5995245765569194E-2</v>
      </c>
      <c r="AB64" s="3">
        <v>0</v>
      </c>
      <c r="AC64" t="s">
        <v>38</v>
      </c>
    </row>
    <row r="65" spans="1:29" x14ac:dyDescent="0.3">
      <c r="A65" t="s">
        <v>188</v>
      </c>
      <c r="B65" t="s">
        <v>189</v>
      </c>
      <c r="C65" t="s">
        <v>86</v>
      </c>
      <c r="D65" s="2">
        <v>40000</v>
      </c>
      <c r="E65" s="3">
        <v>0.15</v>
      </c>
      <c r="F65" s="2">
        <v>6000</v>
      </c>
      <c r="G65" s="2">
        <v>34000</v>
      </c>
      <c r="H65" s="3">
        <v>0.16170000000000001</v>
      </c>
      <c r="I65">
        <v>9</v>
      </c>
      <c r="J65" s="3">
        <v>1.3475000000000001E-2</v>
      </c>
      <c r="K65" s="2">
        <v>4036.8469227749501</v>
      </c>
      <c r="L65" s="2">
        <v>36331.622304974553</v>
      </c>
      <c r="M65" s="2">
        <v>2331.6223049745531</v>
      </c>
      <c r="N65" s="2">
        <v>499</v>
      </c>
      <c r="O65" s="2">
        <v>1657.5</v>
      </c>
      <c r="P65" t="s">
        <v>42</v>
      </c>
      <c r="Q65" s="2">
        <v>13600</v>
      </c>
      <c r="R65" s="2">
        <v>-12426.877695025451</v>
      </c>
      <c r="S65" t="s">
        <v>43</v>
      </c>
      <c r="T65" t="s">
        <v>74</v>
      </c>
      <c r="U65" t="s">
        <v>35</v>
      </c>
      <c r="V65" t="s">
        <v>63</v>
      </c>
      <c r="W65" t="s">
        <v>64</v>
      </c>
      <c r="X65" s="2">
        <v>2830.6223049745531</v>
      </c>
      <c r="Y65" s="2">
        <v>15257.5</v>
      </c>
      <c r="Z65" s="2">
        <v>-12426.877695025451</v>
      </c>
      <c r="AA65" s="3">
        <v>-0.36549640279486612</v>
      </c>
      <c r="AB65" s="3">
        <v>0.4</v>
      </c>
      <c r="AC65" t="s">
        <v>38</v>
      </c>
    </row>
    <row r="66" spans="1:29" x14ac:dyDescent="0.3">
      <c r="A66" t="s">
        <v>190</v>
      </c>
      <c r="B66" t="s">
        <v>191</v>
      </c>
      <c r="C66" t="s">
        <v>41</v>
      </c>
      <c r="D66" s="2">
        <v>44100</v>
      </c>
      <c r="E66" s="3">
        <v>0.15</v>
      </c>
      <c r="F66" s="2">
        <v>6615</v>
      </c>
      <c r="G66" s="2">
        <v>37485</v>
      </c>
      <c r="H66" s="3">
        <v>0.1371</v>
      </c>
      <c r="I66">
        <v>18</v>
      </c>
      <c r="J66" s="3">
        <v>1.1424999999999999E-2</v>
      </c>
      <c r="K66" s="2">
        <v>2315.799539934012</v>
      </c>
      <c r="L66" s="2">
        <v>41684.391718812207</v>
      </c>
      <c r="M66" s="2">
        <v>4199.3917188122141</v>
      </c>
      <c r="N66" s="2">
        <v>499</v>
      </c>
      <c r="O66" s="2">
        <v>3654.7874999999999</v>
      </c>
      <c r="P66" t="s">
        <v>32</v>
      </c>
      <c r="Q66" s="2">
        <v>0</v>
      </c>
      <c r="R66" s="2">
        <v>1043.604218812214</v>
      </c>
      <c r="S66" t="s">
        <v>57</v>
      </c>
      <c r="T66" t="s">
        <v>107</v>
      </c>
      <c r="U66" t="s">
        <v>35</v>
      </c>
      <c r="V66" t="s">
        <v>36</v>
      </c>
      <c r="W66" t="s">
        <v>37</v>
      </c>
      <c r="X66" s="2">
        <v>4698.3917188122141</v>
      </c>
      <c r="Y66" s="2">
        <v>3654.7874999999999</v>
      </c>
      <c r="Z66" s="2">
        <v>1043.604218812214</v>
      </c>
      <c r="AA66" s="3">
        <v>2.7840582067819489E-2</v>
      </c>
      <c r="AB66" s="3">
        <v>0</v>
      </c>
      <c r="AC66" t="s">
        <v>38</v>
      </c>
    </row>
    <row r="67" spans="1:29" x14ac:dyDescent="0.3">
      <c r="A67" t="s">
        <v>192</v>
      </c>
      <c r="B67" t="s">
        <v>193</v>
      </c>
      <c r="C67" t="s">
        <v>86</v>
      </c>
      <c r="D67" s="2">
        <v>101300</v>
      </c>
      <c r="E67" s="3">
        <v>0.2</v>
      </c>
      <c r="F67" s="2">
        <v>20260</v>
      </c>
      <c r="G67" s="2">
        <v>81040</v>
      </c>
      <c r="H67" s="3">
        <v>0.17119999999999999</v>
      </c>
      <c r="I67">
        <v>18</v>
      </c>
      <c r="J67" s="3">
        <v>1.4266666666666671E-2</v>
      </c>
      <c r="K67" s="2">
        <v>5136.8882222263583</v>
      </c>
      <c r="L67" s="2">
        <v>92463.988000074445</v>
      </c>
      <c r="M67" s="2">
        <v>11423.988000074451</v>
      </c>
      <c r="N67" s="2">
        <v>810.4</v>
      </c>
      <c r="O67" s="2">
        <v>7901.4000000000005</v>
      </c>
      <c r="P67" t="s">
        <v>42</v>
      </c>
      <c r="Q67" s="2">
        <v>32416</v>
      </c>
      <c r="R67" s="2">
        <v>-28083.011999925551</v>
      </c>
      <c r="S67" t="s">
        <v>57</v>
      </c>
      <c r="T67" t="s">
        <v>116</v>
      </c>
      <c r="U67" t="s">
        <v>35</v>
      </c>
      <c r="V67" t="s">
        <v>63</v>
      </c>
      <c r="W67" t="s">
        <v>37</v>
      </c>
      <c r="X67" s="2">
        <v>12234.388000074439</v>
      </c>
      <c r="Y67" s="2">
        <v>40317.4</v>
      </c>
      <c r="Z67" s="2">
        <v>-28083.011999925551</v>
      </c>
      <c r="AA67" s="3">
        <v>-0.34653272457953549</v>
      </c>
      <c r="AB67" s="3">
        <v>0.4</v>
      </c>
      <c r="AC67" t="s">
        <v>38</v>
      </c>
    </row>
    <row r="68" spans="1:29" x14ac:dyDescent="0.3">
      <c r="A68" t="s">
        <v>194</v>
      </c>
      <c r="B68" t="s">
        <v>195</v>
      </c>
      <c r="C68" t="s">
        <v>86</v>
      </c>
      <c r="D68" s="2">
        <v>47400</v>
      </c>
      <c r="E68" s="3">
        <v>0.15</v>
      </c>
      <c r="F68" s="2">
        <v>7110</v>
      </c>
      <c r="G68" s="2">
        <v>40290</v>
      </c>
      <c r="H68" s="3">
        <v>0.20030000000000001</v>
      </c>
      <c r="I68">
        <v>12</v>
      </c>
      <c r="J68" s="3">
        <v>1.6691666666666671E-2</v>
      </c>
      <c r="K68" s="2">
        <v>3732.8227484513759</v>
      </c>
      <c r="L68" s="2">
        <v>44793.872981416513</v>
      </c>
      <c r="M68" s="2">
        <v>4503.8729814165126</v>
      </c>
      <c r="N68" s="2">
        <v>499</v>
      </c>
      <c r="O68" s="2">
        <v>2618.85</v>
      </c>
      <c r="P68" t="s">
        <v>32</v>
      </c>
      <c r="Q68" s="2">
        <v>0</v>
      </c>
      <c r="R68" s="2">
        <v>2384.0229814165132</v>
      </c>
      <c r="S68" t="s">
        <v>43</v>
      </c>
      <c r="T68" t="s">
        <v>116</v>
      </c>
      <c r="U68" t="s">
        <v>35</v>
      </c>
      <c r="V68" t="s">
        <v>63</v>
      </c>
      <c r="W68" t="s">
        <v>64</v>
      </c>
      <c r="X68" s="2">
        <v>5002.8729814165126</v>
      </c>
      <c r="Y68" s="2">
        <v>2618.85</v>
      </c>
      <c r="Z68" s="2">
        <v>2384.0229814165132</v>
      </c>
      <c r="AA68" s="3">
        <v>5.9171580576235117E-2</v>
      </c>
      <c r="AB68" s="3">
        <v>0</v>
      </c>
      <c r="AC68" t="s">
        <v>38</v>
      </c>
    </row>
    <row r="69" spans="1:29" x14ac:dyDescent="0.3">
      <c r="A69" t="s">
        <v>196</v>
      </c>
      <c r="B69" t="s">
        <v>197</v>
      </c>
      <c r="C69" t="s">
        <v>86</v>
      </c>
      <c r="D69" s="2">
        <v>56800</v>
      </c>
      <c r="E69" s="3">
        <v>0.2</v>
      </c>
      <c r="F69" s="2">
        <v>11360</v>
      </c>
      <c r="G69" s="2">
        <v>45440</v>
      </c>
      <c r="H69" s="3">
        <v>0.14230000000000001</v>
      </c>
      <c r="I69">
        <v>9</v>
      </c>
      <c r="J69" s="3">
        <v>1.185833333333333E-2</v>
      </c>
      <c r="K69" s="2">
        <v>5352.9503560416724</v>
      </c>
      <c r="L69" s="2">
        <v>48176.553204375043</v>
      </c>
      <c r="M69" s="2">
        <v>2736.5532043750432</v>
      </c>
      <c r="N69" s="2">
        <v>499</v>
      </c>
      <c r="O69" s="2">
        <v>2215.1999999999998</v>
      </c>
      <c r="P69" t="s">
        <v>32</v>
      </c>
      <c r="Q69" s="2">
        <v>0</v>
      </c>
      <c r="R69" s="2">
        <v>1020.353204375043</v>
      </c>
      <c r="S69" t="s">
        <v>57</v>
      </c>
      <c r="T69" t="s">
        <v>44</v>
      </c>
      <c r="U69" t="s">
        <v>35</v>
      </c>
      <c r="V69" t="s">
        <v>36</v>
      </c>
      <c r="W69" t="s">
        <v>64</v>
      </c>
      <c r="X69" s="2">
        <v>3235.5532043750432</v>
      </c>
      <c r="Y69" s="2">
        <v>2215.1999999999998</v>
      </c>
      <c r="Z69" s="2">
        <v>1020.353204375043</v>
      </c>
      <c r="AA69" s="3">
        <v>2.2454956082197251E-2</v>
      </c>
      <c r="AB69" s="3">
        <v>0</v>
      </c>
      <c r="AC69" t="s">
        <v>38</v>
      </c>
    </row>
    <row r="70" spans="1:29" x14ac:dyDescent="0.3">
      <c r="A70" t="s">
        <v>198</v>
      </c>
      <c r="B70" t="s">
        <v>199</v>
      </c>
      <c r="C70" t="s">
        <v>86</v>
      </c>
      <c r="D70" s="2">
        <v>60300</v>
      </c>
      <c r="E70" s="3">
        <v>0.15</v>
      </c>
      <c r="F70" s="2">
        <v>9045</v>
      </c>
      <c r="G70" s="2">
        <v>51255</v>
      </c>
      <c r="H70" s="3">
        <v>0.1502</v>
      </c>
      <c r="I70">
        <v>18</v>
      </c>
      <c r="J70" s="3">
        <v>1.2516666666666671E-2</v>
      </c>
      <c r="K70" s="2">
        <v>3198.0147329136971</v>
      </c>
      <c r="L70" s="2">
        <v>57564.265192446539</v>
      </c>
      <c r="M70" s="2">
        <v>6309.265192446539</v>
      </c>
      <c r="N70" s="2">
        <v>512.54999999999995</v>
      </c>
      <c r="O70" s="2">
        <v>4997.3625000000002</v>
      </c>
      <c r="P70" t="s">
        <v>42</v>
      </c>
      <c r="Q70" s="2">
        <v>20502</v>
      </c>
      <c r="R70" s="2">
        <v>-18677.547307553461</v>
      </c>
      <c r="S70" t="s">
        <v>57</v>
      </c>
      <c r="T70" t="s">
        <v>34</v>
      </c>
      <c r="U70" t="s">
        <v>35</v>
      </c>
      <c r="V70" t="s">
        <v>63</v>
      </c>
      <c r="W70" t="s">
        <v>37</v>
      </c>
      <c r="X70" s="2">
        <v>6821.8151924465392</v>
      </c>
      <c r="Y70" s="2">
        <v>25499.362499999999</v>
      </c>
      <c r="Z70" s="2">
        <v>-18677.547307553461</v>
      </c>
      <c r="AA70" s="3">
        <v>-0.36440439581608552</v>
      </c>
      <c r="AB70" s="3">
        <v>0.4</v>
      </c>
      <c r="AC70" t="s">
        <v>38</v>
      </c>
    </row>
    <row r="71" spans="1:29" x14ac:dyDescent="0.3">
      <c r="A71" t="s">
        <v>200</v>
      </c>
      <c r="B71" t="s">
        <v>201</v>
      </c>
      <c r="C71" t="s">
        <v>31</v>
      </c>
      <c r="D71" s="2">
        <v>66500</v>
      </c>
      <c r="E71" s="3">
        <v>0.2</v>
      </c>
      <c r="F71" s="2">
        <v>13300</v>
      </c>
      <c r="G71" s="2">
        <v>53200</v>
      </c>
      <c r="H71" s="3">
        <v>0.15140000000000001</v>
      </c>
      <c r="I71">
        <v>24</v>
      </c>
      <c r="J71" s="3">
        <v>1.261666666666667E-2</v>
      </c>
      <c r="K71" s="2">
        <v>2583.0297367625471</v>
      </c>
      <c r="L71" s="2">
        <v>61992.713682301131</v>
      </c>
      <c r="M71" s="2">
        <v>8792.7136823011315</v>
      </c>
      <c r="N71" s="2">
        <v>532</v>
      </c>
      <c r="O71" s="2">
        <v>6916</v>
      </c>
      <c r="P71" t="s">
        <v>52</v>
      </c>
      <c r="Q71" s="2">
        <v>0</v>
      </c>
      <c r="R71" s="2">
        <v>2408.713682301131</v>
      </c>
      <c r="S71" t="s">
        <v>77</v>
      </c>
      <c r="T71" t="s">
        <v>107</v>
      </c>
      <c r="U71" t="s">
        <v>35</v>
      </c>
      <c r="V71" t="s">
        <v>63</v>
      </c>
      <c r="W71" t="s">
        <v>37</v>
      </c>
      <c r="X71" s="2">
        <v>9324.7136823011315</v>
      </c>
      <c r="Y71" s="2">
        <v>6916</v>
      </c>
      <c r="Z71" s="2">
        <v>2408.713682301131</v>
      </c>
      <c r="AA71" s="3">
        <v>4.5276572975585183E-2</v>
      </c>
      <c r="AB71" s="3">
        <v>0</v>
      </c>
      <c r="AC71" t="s">
        <v>38</v>
      </c>
    </row>
    <row r="72" spans="1:29" x14ac:dyDescent="0.3">
      <c r="A72" t="s">
        <v>202</v>
      </c>
      <c r="B72" t="s">
        <v>203</v>
      </c>
      <c r="C72" t="s">
        <v>41</v>
      </c>
      <c r="D72" s="2">
        <v>81800</v>
      </c>
      <c r="E72" s="3">
        <v>0.1</v>
      </c>
      <c r="F72" s="2">
        <v>8180</v>
      </c>
      <c r="G72" s="2">
        <v>73620</v>
      </c>
      <c r="H72" s="3">
        <v>0.14699999999999999</v>
      </c>
      <c r="I72">
        <v>18</v>
      </c>
      <c r="J72" s="3">
        <v>1.225E-2</v>
      </c>
      <c r="K72" s="2">
        <v>4582.3804678703491</v>
      </c>
      <c r="L72" s="2">
        <v>82482.848421666276</v>
      </c>
      <c r="M72" s="2">
        <v>8862.8484216662764</v>
      </c>
      <c r="N72" s="2">
        <v>736.2</v>
      </c>
      <c r="O72" s="2">
        <v>7177.9500000000007</v>
      </c>
      <c r="P72" t="s">
        <v>32</v>
      </c>
      <c r="Q72" s="2">
        <v>0</v>
      </c>
      <c r="R72" s="2">
        <v>2421.098421666276</v>
      </c>
      <c r="S72" t="s">
        <v>57</v>
      </c>
      <c r="T72" t="s">
        <v>204</v>
      </c>
      <c r="U72" t="s">
        <v>35</v>
      </c>
      <c r="V72" t="s">
        <v>36</v>
      </c>
      <c r="W72" t="s">
        <v>37</v>
      </c>
      <c r="X72" s="2">
        <v>9599.0484216662771</v>
      </c>
      <c r="Y72" s="2">
        <v>7177.9500000000007</v>
      </c>
      <c r="Z72" s="2">
        <v>2421.098421666276</v>
      </c>
      <c r="AA72" s="3">
        <v>3.2886422462187953E-2</v>
      </c>
      <c r="AB72" s="3">
        <v>0</v>
      </c>
      <c r="AC72" t="s">
        <v>38</v>
      </c>
    </row>
    <row r="73" spans="1:29" x14ac:dyDescent="0.3">
      <c r="A73" t="s">
        <v>205</v>
      </c>
      <c r="B73" t="s">
        <v>206</v>
      </c>
      <c r="C73" t="s">
        <v>56</v>
      </c>
      <c r="D73" s="2">
        <v>917300</v>
      </c>
      <c r="E73" s="3">
        <v>0.2</v>
      </c>
      <c r="F73" s="2">
        <v>183460</v>
      </c>
      <c r="G73" s="2">
        <v>733840</v>
      </c>
      <c r="H73" s="3">
        <v>0.1075</v>
      </c>
      <c r="I73">
        <v>36</v>
      </c>
      <c r="J73" s="3">
        <v>8.9583333333333338E-3</v>
      </c>
      <c r="K73" s="2">
        <v>23938.193410823402</v>
      </c>
      <c r="L73" s="2">
        <v>861774.96278964251</v>
      </c>
      <c r="M73" s="2">
        <v>127934.96278964249</v>
      </c>
      <c r="N73" s="2">
        <v>7338.4000000000005</v>
      </c>
      <c r="O73" s="2">
        <v>143098.79999999999</v>
      </c>
      <c r="P73" t="s">
        <v>52</v>
      </c>
      <c r="Q73" s="2">
        <v>0</v>
      </c>
      <c r="R73" s="2">
        <v>-7825.437210357486</v>
      </c>
      <c r="S73" t="s">
        <v>33</v>
      </c>
      <c r="T73" t="s">
        <v>67</v>
      </c>
      <c r="U73" t="s">
        <v>59</v>
      </c>
      <c r="V73" t="s">
        <v>36</v>
      </c>
      <c r="W73" t="s">
        <v>37</v>
      </c>
      <c r="X73" s="2">
        <v>135273.3627896425</v>
      </c>
      <c r="Y73" s="2">
        <v>143098.79999999999</v>
      </c>
      <c r="Z73" s="2">
        <v>-7825.437210357486</v>
      </c>
      <c r="AA73" s="3">
        <v>-1.06636831057962E-2</v>
      </c>
      <c r="AB73" s="3">
        <v>0</v>
      </c>
      <c r="AC73" t="s">
        <v>38</v>
      </c>
    </row>
    <row r="74" spans="1:29" x14ac:dyDescent="0.3">
      <c r="A74" t="s">
        <v>207</v>
      </c>
      <c r="B74" t="s">
        <v>208</v>
      </c>
      <c r="C74" t="s">
        <v>86</v>
      </c>
      <c r="D74" s="2">
        <v>11500</v>
      </c>
      <c r="E74" s="3">
        <v>0.15</v>
      </c>
      <c r="F74" s="2">
        <v>1725</v>
      </c>
      <c r="G74" s="2">
        <v>9775</v>
      </c>
      <c r="H74" s="3">
        <v>0.1598</v>
      </c>
      <c r="I74">
        <v>3</v>
      </c>
      <c r="J74" s="3">
        <v>1.3316666666666669E-2</v>
      </c>
      <c r="K74" s="2">
        <v>3345.4962656629659</v>
      </c>
      <c r="L74" s="2">
        <v>10036.488796988901</v>
      </c>
      <c r="M74" s="2">
        <v>261.48879698889868</v>
      </c>
      <c r="N74" s="2">
        <v>499</v>
      </c>
      <c r="O74" s="2">
        <v>158.84375</v>
      </c>
      <c r="P74" t="s">
        <v>52</v>
      </c>
      <c r="Q74" s="2">
        <v>0</v>
      </c>
      <c r="R74" s="2">
        <v>601.64504698889868</v>
      </c>
      <c r="S74" t="s">
        <v>43</v>
      </c>
      <c r="T74" t="s">
        <v>116</v>
      </c>
      <c r="U74" t="s">
        <v>35</v>
      </c>
      <c r="V74" t="s">
        <v>63</v>
      </c>
      <c r="W74" t="s">
        <v>64</v>
      </c>
      <c r="X74" s="2">
        <v>760.48879698889868</v>
      </c>
      <c r="Y74" s="2">
        <v>158.84375</v>
      </c>
      <c r="Z74" s="2">
        <v>601.64504698889868</v>
      </c>
      <c r="AA74" s="3">
        <v>6.1549365420859203E-2</v>
      </c>
      <c r="AB74" s="3">
        <v>0</v>
      </c>
      <c r="AC74" t="s">
        <v>38</v>
      </c>
    </row>
    <row r="75" spans="1:29" x14ac:dyDescent="0.3">
      <c r="A75" t="s">
        <v>209</v>
      </c>
      <c r="B75" t="s">
        <v>210</v>
      </c>
      <c r="C75" t="s">
        <v>31</v>
      </c>
      <c r="D75" s="2">
        <v>195400</v>
      </c>
      <c r="E75" s="3">
        <v>0.15</v>
      </c>
      <c r="F75" s="2">
        <v>29310</v>
      </c>
      <c r="G75" s="2">
        <v>166090</v>
      </c>
      <c r="H75" s="3">
        <v>0.1174</v>
      </c>
      <c r="I75">
        <v>36</v>
      </c>
      <c r="J75" s="3">
        <v>9.7833333333333331E-3</v>
      </c>
      <c r="K75" s="2">
        <v>5495.9622139232924</v>
      </c>
      <c r="L75" s="2">
        <v>197854.63970123851</v>
      </c>
      <c r="M75" s="2">
        <v>31764.639701238539</v>
      </c>
      <c r="N75" s="2">
        <v>1660.9</v>
      </c>
      <c r="O75" s="2">
        <v>32387.55</v>
      </c>
      <c r="P75" t="s">
        <v>52</v>
      </c>
      <c r="Q75" s="2">
        <v>0</v>
      </c>
      <c r="R75" s="2">
        <v>1037.9897012385411</v>
      </c>
      <c r="S75" t="s">
        <v>33</v>
      </c>
      <c r="T75" t="s">
        <v>47</v>
      </c>
      <c r="U75" t="s">
        <v>48</v>
      </c>
      <c r="V75" t="s">
        <v>36</v>
      </c>
      <c r="W75" t="s">
        <v>37</v>
      </c>
      <c r="X75" s="2">
        <v>33425.539701238537</v>
      </c>
      <c r="Y75" s="2">
        <v>32387.55</v>
      </c>
      <c r="Z75" s="2">
        <v>1037.9897012385411</v>
      </c>
      <c r="AA75" s="3">
        <v>6.2495616908816963E-3</v>
      </c>
      <c r="AB75" s="3">
        <v>0</v>
      </c>
      <c r="AC75" t="s">
        <v>38</v>
      </c>
    </row>
    <row r="76" spans="1:29" x14ac:dyDescent="0.3">
      <c r="A76" t="s">
        <v>211</v>
      </c>
      <c r="B76" t="s">
        <v>212</v>
      </c>
      <c r="C76" t="s">
        <v>56</v>
      </c>
      <c r="D76" s="2">
        <v>518900</v>
      </c>
      <c r="E76" s="3">
        <v>0.3</v>
      </c>
      <c r="F76" s="2">
        <v>155670</v>
      </c>
      <c r="G76" s="2">
        <v>363230</v>
      </c>
      <c r="H76" s="3">
        <v>8.5800000000000001E-2</v>
      </c>
      <c r="I76">
        <v>60</v>
      </c>
      <c r="J76" s="3">
        <v>7.1500000000000001E-3</v>
      </c>
      <c r="K76" s="2">
        <v>7466.2325737508972</v>
      </c>
      <c r="L76" s="2">
        <v>447973.95442505379</v>
      </c>
      <c r="M76" s="2">
        <v>84743.954425053846</v>
      </c>
      <c r="N76" s="2">
        <v>3632.3</v>
      </c>
      <c r="O76" s="2">
        <v>118049.75</v>
      </c>
      <c r="P76" t="s">
        <v>32</v>
      </c>
      <c r="Q76" s="2">
        <v>0</v>
      </c>
      <c r="R76" s="2">
        <v>-29673.495574946151</v>
      </c>
      <c r="S76" t="s">
        <v>57</v>
      </c>
      <c r="T76" t="s">
        <v>107</v>
      </c>
      <c r="U76" t="s">
        <v>151</v>
      </c>
      <c r="V76" t="s">
        <v>71</v>
      </c>
      <c r="W76" t="s">
        <v>49</v>
      </c>
      <c r="X76" s="2">
        <v>88376.254425053849</v>
      </c>
      <c r="Y76" s="2">
        <v>118049.75</v>
      </c>
      <c r="Z76" s="2">
        <v>-29673.495574946151</v>
      </c>
      <c r="AA76" s="3">
        <v>-8.1693405211425679E-2</v>
      </c>
      <c r="AB76" s="3">
        <v>0</v>
      </c>
      <c r="AC76" t="s">
        <v>38</v>
      </c>
    </row>
    <row r="77" spans="1:29" x14ac:dyDescent="0.3">
      <c r="A77" t="s">
        <v>213</v>
      </c>
      <c r="B77" t="s">
        <v>214</v>
      </c>
      <c r="C77" t="s">
        <v>56</v>
      </c>
      <c r="D77" s="2">
        <v>618200</v>
      </c>
      <c r="E77" s="3">
        <v>0.1</v>
      </c>
      <c r="F77" s="2">
        <v>61820</v>
      </c>
      <c r="G77" s="2">
        <v>556380</v>
      </c>
      <c r="H77" s="3">
        <v>0.1028</v>
      </c>
      <c r="I77">
        <v>48</v>
      </c>
      <c r="J77" s="3">
        <v>8.5666666666666669E-3</v>
      </c>
      <c r="K77" s="2">
        <v>14186.167353762819</v>
      </c>
      <c r="L77" s="2">
        <v>680936.03298061562</v>
      </c>
      <c r="M77" s="2">
        <v>124556.03298061559</v>
      </c>
      <c r="N77" s="2">
        <v>5563.8</v>
      </c>
      <c r="O77" s="2">
        <v>144658.79999999999</v>
      </c>
      <c r="P77" t="s">
        <v>32</v>
      </c>
      <c r="Q77" s="2">
        <v>0</v>
      </c>
      <c r="R77" s="2">
        <v>-14538.96701938439</v>
      </c>
      <c r="S77" t="s">
        <v>77</v>
      </c>
      <c r="T77" t="s">
        <v>67</v>
      </c>
      <c r="U77" t="s">
        <v>59</v>
      </c>
      <c r="V77" t="s">
        <v>36</v>
      </c>
      <c r="W77" t="s">
        <v>49</v>
      </c>
      <c r="X77" s="2">
        <v>130119.8329806156</v>
      </c>
      <c r="Y77" s="2">
        <v>144658.79999999999</v>
      </c>
      <c r="Z77" s="2">
        <v>-14538.96701938439</v>
      </c>
      <c r="AA77" s="3">
        <v>-2.6131361694137809E-2</v>
      </c>
      <c r="AB77" s="3">
        <v>0</v>
      </c>
      <c r="AC77" t="s">
        <v>38</v>
      </c>
    </row>
    <row r="78" spans="1:29" x14ac:dyDescent="0.3">
      <c r="A78" t="s">
        <v>215</v>
      </c>
      <c r="B78" t="s">
        <v>216</v>
      </c>
      <c r="C78" t="s">
        <v>31</v>
      </c>
      <c r="D78" s="2">
        <v>89100</v>
      </c>
      <c r="E78" s="3">
        <v>0.15</v>
      </c>
      <c r="F78" s="2">
        <v>13365</v>
      </c>
      <c r="G78" s="2">
        <v>75735</v>
      </c>
      <c r="H78" s="3">
        <v>0.1787</v>
      </c>
      <c r="I78">
        <v>12</v>
      </c>
      <c r="J78" s="3">
        <v>1.4891666666666669E-2</v>
      </c>
      <c r="K78" s="2">
        <v>6938.6994937828449</v>
      </c>
      <c r="L78" s="2">
        <v>83264.393925394135</v>
      </c>
      <c r="M78" s="2">
        <v>7529.3939253941353</v>
      </c>
      <c r="N78" s="2">
        <v>757.35</v>
      </c>
      <c r="O78" s="2">
        <v>4922.7750000000005</v>
      </c>
      <c r="P78" t="s">
        <v>32</v>
      </c>
      <c r="Q78" s="2">
        <v>0</v>
      </c>
      <c r="R78" s="2">
        <v>3363.9689253941351</v>
      </c>
      <c r="S78" t="s">
        <v>77</v>
      </c>
      <c r="T78" t="s">
        <v>58</v>
      </c>
      <c r="U78" t="s">
        <v>35</v>
      </c>
      <c r="V78" t="s">
        <v>63</v>
      </c>
      <c r="W78" t="s">
        <v>64</v>
      </c>
      <c r="X78" s="2">
        <v>8286.7439253941357</v>
      </c>
      <c r="Y78" s="2">
        <v>4922.7750000000005</v>
      </c>
      <c r="Z78" s="2">
        <v>3363.9689253941351</v>
      </c>
      <c r="AA78" s="3">
        <v>4.4417626267830398E-2</v>
      </c>
      <c r="AB78" s="3">
        <v>0</v>
      </c>
      <c r="AC78" t="s">
        <v>38</v>
      </c>
    </row>
    <row r="79" spans="1:29" x14ac:dyDescent="0.3">
      <c r="A79" t="s">
        <v>217</v>
      </c>
      <c r="B79" t="s">
        <v>218</v>
      </c>
      <c r="C79" t="s">
        <v>41</v>
      </c>
      <c r="D79" s="2">
        <v>67700</v>
      </c>
      <c r="E79" s="3">
        <v>0</v>
      </c>
      <c r="F79" s="2">
        <v>0</v>
      </c>
      <c r="G79" s="2">
        <v>67700</v>
      </c>
      <c r="H79" s="3">
        <v>0.188</v>
      </c>
      <c r="I79">
        <v>18</v>
      </c>
      <c r="J79" s="3">
        <v>1.5666666666666669E-2</v>
      </c>
      <c r="K79" s="2">
        <v>4345.5129238137079</v>
      </c>
      <c r="L79" s="2">
        <v>78219.232628646743</v>
      </c>
      <c r="M79" s="2">
        <v>10519.23262864674</v>
      </c>
      <c r="N79" s="2">
        <v>677</v>
      </c>
      <c r="O79" s="2">
        <v>6600.75</v>
      </c>
      <c r="P79" t="s">
        <v>32</v>
      </c>
      <c r="Q79" s="2">
        <v>0</v>
      </c>
      <c r="R79" s="2">
        <v>4595.4826286467433</v>
      </c>
      <c r="S79" t="s">
        <v>77</v>
      </c>
      <c r="T79" t="s">
        <v>67</v>
      </c>
      <c r="U79" t="s">
        <v>35</v>
      </c>
      <c r="V79" t="s">
        <v>63</v>
      </c>
      <c r="W79" t="s">
        <v>37</v>
      </c>
      <c r="X79" s="2">
        <v>11196.23262864674</v>
      </c>
      <c r="Y79" s="2">
        <v>6600.75</v>
      </c>
      <c r="Z79" s="2">
        <v>4595.4826286467433</v>
      </c>
      <c r="AA79" s="3">
        <v>6.7880097912064161E-2</v>
      </c>
      <c r="AB79" s="3">
        <v>0</v>
      </c>
      <c r="AC79" t="s">
        <v>38</v>
      </c>
    </row>
    <row r="80" spans="1:29" x14ac:dyDescent="0.3">
      <c r="A80" t="s">
        <v>219</v>
      </c>
      <c r="B80" t="s">
        <v>220</v>
      </c>
      <c r="C80" t="s">
        <v>56</v>
      </c>
      <c r="D80" s="2">
        <v>905700</v>
      </c>
      <c r="E80" s="3">
        <v>0.3</v>
      </c>
      <c r="F80" s="2">
        <v>271710</v>
      </c>
      <c r="G80" s="2">
        <v>633990</v>
      </c>
      <c r="H80" s="3">
        <v>8.9599999999999999E-2</v>
      </c>
      <c r="I80">
        <v>48</v>
      </c>
      <c r="J80" s="3">
        <v>7.4666666666666666E-3</v>
      </c>
      <c r="K80" s="2">
        <v>15764.8291581293</v>
      </c>
      <c r="L80" s="2">
        <v>756711.79959020659</v>
      </c>
      <c r="M80" s="2">
        <v>122721.7995902066</v>
      </c>
      <c r="N80" s="2">
        <v>6339.9000000000005</v>
      </c>
      <c r="O80" s="2">
        <v>164837.4</v>
      </c>
      <c r="P80" t="s">
        <v>32</v>
      </c>
      <c r="Q80" s="2">
        <v>0</v>
      </c>
      <c r="R80" s="2">
        <v>-35775.700409793411</v>
      </c>
      <c r="S80" t="s">
        <v>77</v>
      </c>
      <c r="T80" t="s">
        <v>34</v>
      </c>
      <c r="U80" t="s">
        <v>59</v>
      </c>
      <c r="V80" t="s">
        <v>71</v>
      </c>
      <c r="W80" t="s">
        <v>49</v>
      </c>
      <c r="X80" s="2">
        <v>129061.6995902066</v>
      </c>
      <c r="Y80" s="2">
        <v>164837.4</v>
      </c>
      <c r="Z80" s="2">
        <v>-35775.700409793411</v>
      </c>
      <c r="AA80" s="3">
        <v>-5.6429439596513212E-2</v>
      </c>
      <c r="AB80" s="3">
        <v>0</v>
      </c>
      <c r="AC80" t="s">
        <v>38</v>
      </c>
    </row>
    <row r="81" spans="1:29" x14ac:dyDescent="0.3">
      <c r="A81" t="s">
        <v>221</v>
      </c>
      <c r="B81" t="s">
        <v>222</v>
      </c>
      <c r="C81" t="s">
        <v>56</v>
      </c>
      <c r="D81" s="2">
        <v>992000</v>
      </c>
      <c r="E81" s="3">
        <v>0.3</v>
      </c>
      <c r="F81" s="2">
        <v>297600</v>
      </c>
      <c r="G81" s="2">
        <v>694400</v>
      </c>
      <c r="H81" s="3">
        <v>9.9500000000000005E-2</v>
      </c>
      <c r="I81">
        <v>72</v>
      </c>
      <c r="J81" s="3">
        <v>8.2916666666666677E-3</v>
      </c>
      <c r="K81" s="2">
        <v>12846.839977588061</v>
      </c>
      <c r="L81" s="2">
        <v>924972.4783863402</v>
      </c>
      <c r="M81" s="2">
        <v>230572.4783863402</v>
      </c>
      <c r="N81" s="2">
        <v>6944</v>
      </c>
      <c r="O81" s="2">
        <v>270816</v>
      </c>
      <c r="P81" t="s">
        <v>52</v>
      </c>
      <c r="Q81" s="2">
        <v>0</v>
      </c>
      <c r="R81" s="2">
        <v>-33299.521613659803</v>
      </c>
      <c r="S81" t="s">
        <v>43</v>
      </c>
      <c r="T81" t="s">
        <v>58</v>
      </c>
      <c r="U81" t="s">
        <v>59</v>
      </c>
      <c r="V81" t="s">
        <v>71</v>
      </c>
      <c r="W81" t="s">
        <v>49</v>
      </c>
      <c r="X81" s="2">
        <v>237516.4783863402</v>
      </c>
      <c r="Y81" s="2">
        <v>270816</v>
      </c>
      <c r="Z81" s="2">
        <v>-33299.521613659803</v>
      </c>
      <c r="AA81" s="3">
        <v>-4.7954380204003173E-2</v>
      </c>
      <c r="AB81" s="3">
        <v>0</v>
      </c>
      <c r="AC81" t="s">
        <v>38</v>
      </c>
    </row>
    <row r="82" spans="1:29" x14ac:dyDescent="0.3">
      <c r="A82" t="s">
        <v>223</v>
      </c>
      <c r="B82" t="s">
        <v>224</v>
      </c>
      <c r="C82" t="s">
        <v>86</v>
      </c>
      <c r="D82" s="2">
        <v>58500</v>
      </c>
      <c r="E82" s="3">
        <v>0.15</v>
      </c>
      <c r="F82" s="2">
        <v>8775</v>
      </c>
      <c r="G82" s="2">
        <v>49725</v>
      </c>
      <c r="H82" s="3">
        <v>0.2</v>
      </c>
      <c r="I82">
        <v>18</v>
      </c>
      <c r="J82" s="3">
        <v>1.666666666666667E-2</v>
      </c>
      <c r="K82" s="2">
        <v>3220.3501501339588</v>
      </c>
      <c r="L82" s="2">
        <v>57966.30270241126</v>
      </c>
      <c r="M82" s="2">
        <v>8241.3027024112598</v>
      </c>
      <c r="N82" s="2">
        <v>499</v>
      </c>
      <c r="O82" s="2">
        <v>4848.1875</v>
      </c>
      <c r="P82" t="s">
        <v>32</v>
      </c>
      <c r="Q82" s="2">
        <v>0</v>
      </c>
      <c r="R82" s="2">
        <v>3892.1152024112598</v>
      </c>
      <c r="S82" t="s">
        <v>77</v>
      </c>
      <c r="T82" t="s">
        <v>62</v>
      </c>
      <c r="U82" t="s">
        <v>35</v>
      </c>
      <c r="V82" t="s">
        <v>63</v>
      </c>
      <c r="W82" t="s">
        <v>37</v>
      </c>
      <c r="X82" s="2">
        <v>8740.3027024112598</v>
      </c>
      <c r="Y82" s="2">
        <v>4848.1875</v>
      </c>
      <c r="Z82" s="2">
        <v>3892.1152024112598</v>
      </c>
      <c r="AA82" s="3">
        <v>7.8272804472825738E-2</v>
      </c>
      <c r="AB82" s="3">
        <v>0</v>
      </c>
      <c r="AC82" t="s">
        <v>38</v>
      </c>
    </row>
    <row r="83" spans="1:29" x14ac:dyDescent="0.3">
      <c r="A83" t="s">
        <v>225</v>
      </c>
      <c r="B83" t="s">
        <v>226</v>
      </c>
      <c r="C83" t="s">
        <v>41</v>
      </c>
      <c r="D83" s="2">
        <v>65600</v>
      </c>
      <c r="E83" s="3">
        <v>0.1</v>
      </c>
      <c r="F83" s="2">
        <v>6560</v>
      </c>
      <c r="G83" s="2">
        <v>59040</v>
      </c>
      <c r="H83" s="3">
        <v>0.159</v>
      </c>
      <c r="I83">
        <v>12</v>
      </c>
      <c r="J83" s="3">
        <v>1.325E-2</v>
      </c>
      <c r="K83" s="2">
        <v>5353.9563540214949</v>
      </c>
      <c r="L83" s="2">
        <v>64247.476248257939</v>
      </c>
      <c r="M83" s="2">
        <v>5207.476248257939</v>
      </c>
      <c r="N83" s="2">
        <v>590.4</v>
      </c>
      <c r="O83" s="2">
        <v>3837.6</v>
      </c>
      <c r="P83" t="s">
        <v>32</v>
      </c>
      <c r="Q83" s="2">
        <v>0</v>
      </c>
      <c r="R83" s="2">
        <v>1960.276248257939</v>
      </c>
      <c r="S83" t="s">
        <v>77</v>
      </c>
      <c r="T83" t="s">
        <v>70</v>
      </c>
      <c r="U83" t="s">
        <v>35</v>
      </c>
      <c r="V83" t="s">
        <v>63</v>
      </c>
      <c r="W83" t="s">
        <v>64</v>
      </c>
      <c r="X83" s="2">
        <v>5797.8762482579386</v>
      </c>
      <c r="Y83" s="2">
        <v>3837.6</v>
      </c>
      <c r="Z83" s="2">
        <v>1960.276248257939</v>
      </c>
      <c r="AA83" s="3">
        <v>3.3202510979978637E-2</v>
      </c>
      <c r="AB83" s="3">
        <v>0</v>
      </c>
      <c r="AC83" t="s">
        <v>38</v>
      </c>
    </row>
    <row r="84" spans="1:29" x14ac:dyDescent="0.3">
      <c r="A84" t="s">
        <v>227</v>
      </c>
      <c r="B84" t="s">
        <v>228</v>
      </c>
      <c r="C84" t="s">
        <v>86</v>
      </c>
      <c r="D84" s="2">
        <v>114200</v>
      </c>
      <c r="E84" s="3">
        <v>0.1</v>
      </c>
      <c r="F84" s="2">
        <v>11420</v>
      </c>
      <c r="G84" s="2">
        <v>102780</v>
      </c>
      <c r="H84" s="3">
        <v>0.14680000000000001</v>
      </c>
      <c r="I84">
        <v>24</v>
      </c>
      <c r="J84" s="3">
        <v>1.223333333333333E-2</v>
      </c>
      <c r="K84" s="2">
        <v>4967.8455534467048</v>
      </c>
      <c r="L84" s="2">
        <v>119228.2932827209</v>
      </c>
      <c r="M84" s="2">
        <v>16448.293282720919</v>
      </c>
      <c r="N84" s="2">
        <v>1027.8</v>
      </c>
      <c r="O84" s="2">
        <v>13361.4</v>
      </c>
      <c r="P84" t="s">
        <v>32</v>
      </c>
      <c r="Q84" s="2">
        <v>0</v>
      </c>
      <c r="R84" s="2">
        <v>4114.6932827209148</v>
      </c>
      <c r="S84" t="s">
        <v>43</v>
      </c>
      <c r="T84" t="s">
        <v>44</v>
      </c>
      <c r="U84" t="s">
        <v>48</v>
      </c>
      <c r="V84" t="s">
        <v>36</v>
      </c>
      <c r="W84" t="s">
        <v>37</v>
      </c>
      <c r="X84" s="2">
        <v>17476.093282720911</v>
      </c>
      <c r="Y84" s="2">
        <v>13361.4</v>
      </c>
      <c r="Z84" s="2">
        <v>4114.6932827209148</v>
      </c>
      <c r="AA84" s="3">
        <v>4.0033987961869182E-2</v>
      </c>
      <c r="AB84" s="3">
        <v>0</v>
      </c>
      <c r="AC84" t="s">
        <v>38</v>
      </c>
    </row>
    <row r="85" spans="1:29" x14ac:dyDescent="0.3">
      <c r="A85" t="s">
        <v>229</v>
      </c>
      <c r="B85" t="s">
        <v>230</v>
      </c>
      <c r="C85" t="s">
        <v>41</v>
      </c>
      <c r="D85" s="2">
        <v>114000</v>
      </c>
      <c r="E85" s="3">
        <v>0</v>
      </c>
      <c r="F85" s="2">
        <v>0</v>
      </c>
      <c r="G85" s="2">
        <v>114000</v>
      </c>
      <c r="H85" s="3">
        <v>0.15590000000000001</v>
      </c>
      <c r="I85">
        <v>6</v>
      </c>
      <c r="J85" s="3">
        <v>1.299166666666667E-2</v>
      </c>
      <c r="K85" s="2">
        <v>19873.23805513946</v>
      </c>
      <c r="L85" s="2">
        <v>119239.4283308368</v>
      </c>
      <c r="M85" s="2">
        <v>5239.4283308367594</v>
      </c>
      <c r="N85" s="2">
        <v>1140</v>
      </c>
      <c r="O85" s="2">
        <v>3705</v>
      </c>
      <c r="P85" t="s">
        <v>52</v>
      </c>
      <c r="Q85" s="2">
        <v>0</v>
      </c>
      <c r="R85" s="2">
        <v>2674.428330836759</v>
      </c>
      <c r="S85" t="s">
        <v>57</v>
      </c>
      <c r="T85" t="s">
        <v>44</v>
      </c>
      <c r="U85" t="s">
        <v>48</v>
      </c>
      <c r="V85" t="s">
        <v>63</v>
      </c>
      <c r="W85" t="s">
        <v>64</v>
      </c>
      <c r="X85" s="2">
        <v>6379.4283308367594</v>
      </c>
      <c r="Y85" s="2">
        <v>3705</v>
      </c>
      <c r="Z85" s="2">
        <v>2674.428330836759</v>
      </c>
      <c r="AA85" s="3">
        <v>2.3459897638918939E-2</v>
      </c>
      <c r="AB85" s="3">
        <v>0</v>
      </c>
      <c r="AC85" t="s">
        <v>38</v>
      </c>
    </row>
    <row r="86" spans="1:29" x14ac:dyDescent="0.3">
      <c r="A86" t="s">
        <v>231</v>
      </c>
      <c r="B86" t="s">
        <v>232</v>
      </c>
      <c r="C86" t="s">
        <v>86</v>
      </c>
      <c r="D86" s="2">
        <v>82400</v>
      </c>
      <c r="E86" s="3">
        <v>0.15</v>
      </c>
      <c r="F86" s="2">
        <v>12360</v>
      </c>
      <c r="G86" s="2">
        <v>70040</v>
      </c>
      <c r="H86" s="3">
        <v>0.16950000000000001</v>
      </c>
      <c r="I86">
        <v>18</v>
      </c>
      <c r="J86" s="3">
        <v>1.4125E-2</v>
      </c>
      <c r="K86" s="2">
        <v>4433.977715582203</v>
      </c>
      <c r="L86" s="2">
        <v>79811.598880479651</v>
      </c>
      <c r="M86" s="2">
        <v>9771.5988804796507</v>
      </c>
      <c r="N86" s="2">
        <v>700.4</v>
      </c>
      <c r="O86" s="2">
        <v>6828.9000000000005</v>
      </c>
      <c r="P86" t="s">
        <v>52</v>
      </c>
      <c r="Q86" s="2">
        <v>0</v>
      </c>
      <c r="R86" s="2">
        <v>3643.0988804796498</v>
      </c>
      <c r="S86" t="s">
        <v>77</v>
      </c>
      <c r="T86" t="s">
        <v>53</v>
      </c>
      <c r="U86" t="s">
        <v>35</v>
      </c>
      <c r="V86" t="s">
        <v>63</v>
      </c>
      <c r="W86" t="s">
        <v>37</v>
      </c>
      <c r="X86" s="2">
        <v>10471.99888047965</v>
      </c>
      <c r="Y86" s="2">
        <v>6828.9000000000005</v>
      </c>
      <c r="Z86" s="2">
        <v>3643.0988804796498</v>
      </c>
      <c r="AA86" s="3">
        <v>5.201454712278198E-2</v>
      </c>
      <c r="AB86" s="3">
        <v>0</v>
      </c>
      <c r="AC86" t="s">
        <v>38</v>
      </c>
    </row>
    <row r="87" spans="1:29" x14ac:dyDescent="0.3">
      <c r="A87" t="s">
        <v>233</v>
      </c>
      <c r="B87" t="s">
        <v>234</v>
      </c>
      <c r="C87" t="s">
        <v>31</v>
      </c>
      <c r="D87" s="2">
        <v>125000</v>
      </c>
      <c r="E87" s="3">
        <v>0.1</v>
      </c>
      <c r="F87" s="2">
        <v>12500</v>
      </c>
      <c r="G87" s="2">
        <v>112500</v>
      </c>
      <c r="H87" s="3">
        <v>0.1201</v>
      </c>
      <c r="I87">
        <v>12</v>
      </c>
      <c r="J87" s="3">
        <v>1.0008333333333329E-2</v>
      </c>
      <c r="K87" s="2">
        <v>9996.015018990207</v>
      </c>
      <c r="L87" s="2">
        <v>119952.18022788251</v>
      </c>
      <c r="M87" s="2">
        <v>7452.1802278824907</v>
      </c>
      <c r="N87" s="2">
        <v>1125</v>
      </c>
      <c r="O87" s="2">
        <v>7312.5</v>
      </c>
      <c r="P87" t="s">
        <v>52</v>
      </c>
      <c r="Q87" s="2">
        <v>0</v>
      </c>
      <c r="R87" s="2">
        <v>1264.680227882491</v>
      </c>
      <c r="S87" t="s">
        <v>43</v>
      </c>
      <c r="T87" t="s">
        <v>74</v>
      </c>
      <c r="U87" t="s">
        <v>48</v>
      </c>
      <c r="V87" t="s">
        <v>36</v>
      </c>
      <c r="W87" t="s">
        <v>64</v>
      </c>
      <c r="X87" s="2">
        <v>8577.1802278824907</v>
      </c>
      <c r="Y87" s="2">
        <v>7312.5</v>
      </c>
      <c r="Z87" s="2">
        <v>1264.680227882491</v>
      </c>
      <c r="AA87" s="3">
        <v>1.124160202562214E-2</v>
      </c>
      <c r="AB87" s="3">
        <v>0</v>
      </c>
      <c r="AC87" t="s">
        <v>38</v>
      </c>
    </row>
    <row r="88" spans="1:29" x14ac:dyDescent="0.3">
      <c r="A88" t="s">
        <v>235</v>
      </c>
      <c r="B88" t="s">
        <v>236</v>
      </c>
      <c r="C88" t="s">
        <v>86</v>
      </c>
      <c r="D88" s="2">
        <v>62200</v>
      </c>
      <c r="E88" s="3">
        <v>0.15</v>
      </c>
      <c r="F88" s="2">
        <v>9330</v>
      </c>
      <c r="G88" s="2">
        <v>52870</v>
      </c>
      <c r="H88" s="3">
        <v>0.19800000000000001</v>
      </c>
      <c r="I88">
        <v>18</v>
      </c>
      <c r="J88" s="3">
        <v>1.6500000000000001E-2</v>
      </c>
      <c r="K88" s="2">
        <v>3418.9494020114648</v>
      </c>
      <c r="L88" s="2">
        <v>61541.089236206368</v>
      </c>
      <c r="M88" s="2">
        <v>8671.0892362063678</v>
      </c>
      <c r="N88" s="2">
        <v>528.70000000000005</v>
      </c>
      <c r="O88" s="2">
        <v>5154.8250000000007</v>
      </c>
      <c r="P88" t="s">
        <v>52</v>
      </c>
      <c r="Q88" s="2">
        <v>0</v>
      </c>
      <c r="R88" s="2">
        <v>4044.9642362063678</v>
      </c>
      <c r="S88" t="s">
        <v>33</v>
      </c>
      <c r="T88" t="s">
        <v>74</v>
      </c>
      <c r="U88" t="s">
        <v>35</v>
      </c>
      <c r="V88" t="s">
        <v>63</v>
      </c>
      <c r="W88" t="s">
        <v>37</v>
      </c>
      <c r="X88" s="2">
        <v>9199.7892362063685</v>
      </c>
      <c r="Y88" s="2">
        <v>5154.8250000000007</v>
      </c>
      <c r="Z88" s="2">
        <v>4044.9642362063678</v>
      </c>
      <c r="AA88" s="3">
        <v>7.6507740423801165E-2</v>
      </c>
      <c r="AB88" s="3">
        <v>0</v>
      </c>
      <c r="AC88" t="s">
        <v>38</v>
      </c>
    </row>
    <row r="89" spans="1:29" x14ac:dyDescent="0.3">
      <c r="A89" t="s">
        <v>237</v>
      </c>
      <c r="B89" t="s">
        <v>238</v>
      </c>
      <c r="C89" t="s">
        <v>86</v>
      </c>
      <c r="D89" s="2">
        <v>48400</v>
      </c>
      <c r="E89" s="3">
        <v>0.15</v>
      </c>
      <c r="F89" s="2">
        <v>7260</v>
      </c>
      <c r="G89" s="2">
        <v>41140</v>
      </c>
      <c r="H89" s="3">
        <v>0.16420000000000001</v>
      </c>
      <c r="I89">
        <v>24</v>
      </c>
      <c r="J89" s="3">
        <v>1.368333333333333E-2</v>
      </c>
      <c r="K89" s="2">
        <v>2022.6080965832809</v>
      </c>
      <c r="L89" s="2">
        <v>48542.594317998737</v>
      </c>
      <c r="M89" s="2">
        <v>7402.5943179987444</v>
      </c>
      <c r="N89" s="2">
        <v>499</v>
      </c>
      <c r="O89" s="2">
        <v>5348.2</v>
      </c>
      <c r="P89" t="s">
        <v>52</v>
      </c>
      <c r="Q89" s="2">
        <v>0</v>
      </c>
      <c r="R89" s="2">
        <v>2553.394317998745</v>
      </c>
      <c r="S89" t="s">
        <v>33</v>
      </c>
      <c r="T89" t="s">
        <v>62</v>
      </c>
      <c r="U89" t="s">
        <v>35</v>
      </c>
      <c r="V89" t="s">
        <v>63</v>
      </c>
      <c r="W89" t="s">
        <v>37</v>
      </c>
      <c r="X89" s="2">
        <v>7901.5943179987444</v>
      </c>
      <c r="Y89" s="2">
        <v>5348.2</v>
      </c>
      <c r="Z89" s="2">
        <v>2553.394317998745</v>
      </c>
      <c r="AA89" s="3">
        <v>6.2065977588690917E-2</v>
      </c>
      <c r="AB89" s="3">
        <v>0</v>
      </c>
      <c r="AC89" t="s">
        <v>38</v>
      </c>
    </row>
    <row r="90" spans="1:29" x14ac:dyDescent="0.3">
      <c r="A90" t="s">
        <v>239</v>
      </c>
      <c r="B90" t="s">
        <v>240</v>
      </c>
      <c r="C90" t="s">
        <v>41</v>
      </c>
      <c r="D90" s="2">
        <v>112200</v>
      </c>
      <c r="E90" s="3">
        <v>0</v>
      </c>
      <c r="F90" s="2">
        <v>0</v>
      </c>
      <c r="G90" s="2">
        <v>112200</v>
      </c>
      <c r="H90" s="3">
        <v>0.13009999999999999</v>
      </c>
      <c r="I90">
        <v>18</v>
      </c>
      <c r="J90" s="3">
        <v>1.084166666666667E-2</v>
      </c>
      <c r="K90" s="2">
        <v>6894.9434297772696</v>
      </c>
      <c r="L90" s="2">
        <v>124108.98173599091</v>
      </c>
      <c r="M90" s="2">
        <v>11908.981735990859</v>
      </c>
      <c r="N90" s="2">
        <v>1122</v>
      </c>
      <c r="O90" s="2">
        <v>10939.5</v>
      </c>
      <c r="P90" t="s">
        <v>32</v>
      </c>
      <c r="Q90" s="2">
        <v>0</v>
      </c>
      <c r="R90" s="2">
        <v>2091.4817359908629</v>
      </c>
      <c r="S90" t="s">
        <v>77</v>
      </c>
      <c r="T90" t="s">
        <v>116</v>
      </c>
      <c r="U90" t="s">
        <v>48</v>
      </c>
      <c r="V90" t="s">
        <v>36</v>
      </c>
      <c r="W90" t="s">
        <v>37</v>
      </c>
      <c r="X90" s="2">
        <v>13030.981735990859</v>
      </c>
      <c r="Y90" s="2">
        <v>10939.5</v>
      </c>
      <c r="Z90" s="2">
        <v>2091.4817359908629</v>
      </c>
      <c r="AA90" s="3">
        <v>1.8640657183519281E-2</v>
      </c>
      <c r="AB90" s="3">
        <v>0</v>
      </c>
      <c r="AC90" t="s">
        <v>38</v>
      </c>
    </row>
    <row r="91" spans="1:29" x14ac:dyDescent="0.3">
      <c r="A91" t="s">
        <v>241</v>
      </c>
      <c r="B91" t="s">
        <v>242</v>
      </c>
      <c r="C91" t="s">
        <v>41</v>
      </c>
      <c r="D91" s="2">
        <v>67600</v>
      </c>
      <c r="E91" s="3">
        <v>0.15</v>
      </c>
      <c r="F91" s="2">
        <v>10140</v>
      </c>
      <c r="G91" s="2">
        <v>57460</v>
      </c>
      <c r="H91" s="3">
        <v>0.19719999999999999</v>
      </c>
      <c r="I91">
        <v>12</v>
      </c>
      <c r="J91" s="3">
        <v>1.6433333333333331E-2</v>
      </c>
      <c r="K91" s="2">
        <v>5315.0816584034073</v>
      </c>
      <c r="L91" s="2">
        <v>63780.979900840888</v>
      </c>
      <c r="M91" s="2">
        <v>6320.9799008408881</v>
      </c>
      <c r="N91" s="2">
        <v>574.6</v>
      </c>
      <c r="O91" s="2">
        <v>3734.9</v>
      </c>
      <c r="P91" t="s">
        <v>52</v>
      </c>
      <c r="Q91" s="2">
        <v>0</v>
      </c>
      <c r="R91" s="2">
        <v>3160.679900840888</v>
      </c>
      <c r="S91" t="s">
        <v>33</v>
      </c>
      <c r="T91" t="s">
        <v>107</v>
      </c>
      <c r="U91" t="s">
        <v>35</v>
      </c>
      <c r="V91" t="s">
        <v>63</v>
      </c>
      <c r="W91" t="s">
        <v>64</v>
      </c>
      <c r="X91" s="2">
        <v>6895.5799008408894</v>
      </c>
      <c r="Y91" s="2">
        <v>3734.9</v>
      </c>
      <c r="Z91" s="2">
        <v>3160.679900840888</v>
      </c>
      <c r="AA91" s="3">
        <v>5.5006611570499277E-2</v>
      </c>
      <c r="AB91" s="3">
        <v>0</v>
      </c>
      <c r="AC91" t="s">
        <v>38</v>
      </c>
    </row>
    <row r="92" spans="1:29" x14ac:dyDescent="0.3">
      <c r="A92" t="s">
        <v>243</v>
      </c>
      <c r="B92" t="s">
        <v>244</v>
      </c>
      <c r="C92" t="s">
        <v>41</v>
      </c>
      <c r="D92" s="2">
        <v>97100</v>
      </c>
      <c r="E92" s="3">
        <v>0.05</v>
      </c>
      <c r="F92" s="2">
        <v>4855</v>
      </c>
      <c r="G92" s="2">
        <v>92245</v>
      </c>
      <c r="H92" s="3">
        <v>0.1749</v>
      </c>
      <c r="I92">
        <v>9</v>
      </c>
      <c r="J92" s="3">
        <v>1.4574999999999999E-2</v>
      </c>
      <c r="K92" s="2">
        <v>11010.779128837959</v>
      </c>
      <c r="L92" s="2">
        <v>99097.012159541657</v>
      </c>
      <c r="M92" s="2">
        <v>6852.0121595416567</v>
      </c>
      <c r="N92" s="2">
        <v>922.45</v>
      </c>
      <c r="O92" s="2">
        <v>4496.9437500000004</v>
      </c>
      <c r="P92" t="s">
        <v>32</v>
      </c>
      <c r="Q92" s="2">
        <v>0</v>
      </c>
      <c r="R92" s="2">
        <v>3277.5184095416562</v>
      </c>
      <c r="S92" t="s">
        <v>77</v>
      </c>
      <c r="T92" t="s">
        <v>58</v>
      </c>
      <c r="U92" t="s">
        <v>35</v>
      </c>
      <c r="V92" t="s">
        <v>63</v>
      </c>
      <c r="W92" t="s">
        <v>64</v>
      </c>
      <c r="X92" s="2">
        <v>7774.4621595416565</v>
      </c>
      <c r="Y92" s="2">
        <v>4496.9437500000004</v>
      </c>
      <c r="Z92" s="2">
        <v>3277.5184095416562</v>
      </c>
      <c r="AA92" s="3">
        <v>3.553058062270753E-2</v>
      </c>
      <c r="AB92" s="3">
        <v>0</v>
      </c>
      <c r="AC92" t="s">
        <v>38</v>
      </c>
    </row>
    <row r="93" spans="1:29" x14ac:dyDescent="0.3">
      <c r="A93" t="s">
        <v>245</v>
      </c>
      <c r="B93" t="s">
        <v>246</v>
      </c>
      <c r="C93" t="s">
        <v>56</v>
      </c>
      <c r="D93" s="2">
        <v>530300</v>
      </c>
      <c r="E93" s="3">
        <v>0.3</v>
      </c>
      <c r="F93" s="2">
        <v>159090</v>
      </c>
      <c r="G93" s="2">
        <v>371210</v>
      </c>
      <c r="H93" s="3">
        <v>0.1079</v>
      </c>
      <c r="I93">
        <v>84</v>
      </c>
      <c r="J93" s="3">
        <v>8.9916666666666669E-3</v>
      </c>
      <c r="K93" s="2">
        <v>6315.1060709000649</v>
      </c>
      <c r="L93" s="2">
        <v>530468.9099556054</v>
      </c>
      <c r="M93" s="2">
        <v>159258.9099556054</v>
      </c>
      <c r="N93" s="2">
        <v>3712.1</v>
      </c>
      <c r="O93" s="2">
        <v>168900.55</v>
      </c>
      <c r="P93" t="s">
        <v>32</v>
      </c>
      <c r="Q93" s="2">
        <v>0</v>
      </c>
      <c r="R93" s="2">
        <v>-5929.5400443946128</v>
      </c>
      <c r="S93" t="s">
        <v>43</v>
      </c>
      <c r="T93" t="s">
        <v>70</v>
      </c>
      <c r="U93" t="s">
        <v>151</v>
      </c>
      <c r="V93" t="s">
        <v>36</v>
      </c>
      <c r="W93" t="s">
        <v>49</v>
      </c>
      <c r="X93" s="2">
        <v>162971.0099556054</v>
      </c>
      <c r="Y93" s="2">
        <v>168900.55</v>
      </c>
      <c r="Z93" s="2">
        <v>-5929.5400443946128</v>
      </c>
      <c r="AA93" s="3">
        <v>-1.5973546090877439E-2</v>
      </c>
      <c r="AB93" s="3">
        <v>0</v>
      </c>
      <c r="AC93" t="s">
        <v>38</v>
      </c>
    </row>
    <row r="94" spans="1:29" x14ac:dyDescent="0.3">
      <c r="A94" t="s">
        <v>247</v>
      </c>
      <c r="B94" t="s">
        <v>248</v>
      </c>
      <c r="C94" t="s">
        <v>41</v>
      </c>
      <c r="D94" s="2">
        <v>138600</v>
      </c>
      <c r="E94" s="3">
        <v>0.15</v>
      </c>
      <c r="F94" s="2">
        <v>20790</v>
      </c>
      <c r="G94" s="2">
        <v>117810</v>
      </c>
      <c r="H94" s="3">
        <v>0.14380000000000001</v>
      </c>
      <c r="I94">
        <v>24</v>
      </c>
      <c r="J94" s="3">
        <v>1.198333333333333E-2</v>
      </c>
      <c r="K94" s="2">
        <v>5677.5696975819537</v>
      </c>
      <c r="L94" s="2">
        <v>136261.6727419669</v>
      </c>
      <c r="M94" s="2">
        <v>18451.672741966901</v>
      </c>
      <c r="N94" s="2">
        <v>1178.0999999999999</v>
      </c>
      <c r="O94" s="2">
        <v>15315.3</v>
      </c>
      <c r="P94" t="s">
        <v>52</v>
      </c>
      <c r="Q94" s="2">
        <v>0</v>
      </c>
      <c r="R94" s="2">
        <v>4314.4727419669016</v>
      </c>
      <c r="S94" t="s">
        <v>33</v>
      </c>
      <c r="T94" t="s">
        <v>34</v>
      </c>
      <c r="U94" t="s">
        <v>48</v>
      </c>
      <c r="V94" t="s">
        <v>36</v>
      </c>
      <c r="W94" t="s">
        <v>37</v>
      </c>
      <c r="X94" s="2">
        <v>19629.772741966899</v>
      </c>
      <c r="Y94" s="2">
        <v>15315.3</v>
      </c>
      <c r="Z94" s="2">
        <v>4314.4727419669016</v>
      </c>
      <c r="AA94" s="3">
        <v>3.6622296426168419E-2</v>
      </c>
      <c r="AB94" s="3">
        <v>0</v>
      </c>
      <c r="AC94" t="s">
        <v>38</v>
      </c>
    </row>
    <row r="95" spans="1:29" x14ac:dyDescent="0.3">
      <c r="A95" t="s">
        <v>249</v>
      </c>
      <c r="B95" t="s">
        <v>250</v>
      </c>
      <c r="C95" t="s">
        <v>56</v>
      </c>
      <c r="D95" s="2">
        <v>509200</v>
      </c>
      <c r="E95" s="3">
        <v>0.2</v>
      </c>
      <c r="F95" s="2">
        <v>101840</v>
      </c>
      <c r="G95" s="2">
        <v>407360</v>
      </c>
      <c r="H95" s="3">
        <v>0.1079</v>
      </c>
      <c r="I95">
        <v>48</v>
      </c>
      <c r="J95" s="3">
        <v>8.9916666666666669E-3</v>
      </c>
      <c r="K95" s="2">
        <v>10486.936848251709</v>
      </c>
      <c r="L95" s="2">
        <v>503372.96871608187</v>
      </c>
      <c r="M95" s="2">
        <v>96012.968716081872</v>
      </c>
      <c r="N95" s="2">
        <v>4073.6</v>
      </c>
      <c r="O95" s="2">
        <v>105913.60000000001</v>
      </c>
      <c r="P95" t="s">
        <v>32</v>
      </c>
      <c r="Q95" s="2">
        <v>0</v>
      </c>
      <c r="R95" s="2">
        <v>-5827.0312839181279</v>
      </c>
      <c r="S95" t="s">
        <v>43</v>
      </c>
      <c r="T95" t="s">
        <v>74</v>
      </c>
      <c r="U95" t="s">
        <v>151</v>
      </c>
      <c r="V95" t="s">
        <v>36</v>
      </c>
      <c r="W95" t="s">
        <v>49</v>
      </c>
      <c r="X95" s="2">
        <v>100086.56871608191</v>
      </c>
      <c r="Y95" s="2">
        <v>105913.60000000001</v>
      </c>
      <c r="Z95" s="2">
        <v>-5827.0312839181279</v>
      </c>
      <c r="AA95" s="3">
        <v>-1.430437766083594E-2</v>
      </c>
      <c r="AB95" s="3">
        <v>0</v>
      </c>
      <c r="AC95" t="s">
        <v>38</v>
      </c>
    </row>
    <row r="96" spans="1:29" x14ac:dyDescent="0.3">
      <c r="A96" t="s">
        <v>251</v>
      </c>
      <c r="B96" t="s">
        <v>252</v>
      </c>
      <c r="C96" t="s">
        <v>86</v>
      </c>
      <c r="D96" s="2">
        <v>16400</v>
      </c>
      <c r="E96" s="3">
        <v>0.2</v>
      </c>
      <c r="F96" s="2">
        <v>3280</v>
      </c>
      <c r="G96" s="2">
        <v>13120</v>
      </c>
      <c r="H96" s="3">
        <v>0.14019999999999999</v>
      </c>
      <c r="I96">
        <v>12</v>
      </c>
      <c r="J96" s="3">
        <v>1.168333333333333E-2</v>
      </c>
      <c r="K96" s="2">
        <v>1178.130450707202</v>
      </c>
      <c r="L96" s="2">
        <v>14137.565408486431</v>
      </c>
      <c r="M96" s="2">
        <v>1017.565408486425</v>
      </c>
      <c r="N96" s="2">
        <v>499</v>
      </c>
      <c r="O96" s="2">
        <v>852.80000000000007</v>
      </c>
      <c r="P96" t="s">
        <v>32</v>
      </c>
      <c r="Q96" s="2">
        <v>0</v>
      </c>
      <c r="R96" s="2">
        <v>663.76540848642537</v>
      </c>
      <c r="S96" t="s">
        <v>77</v>
      </c>
      <c r="T96" t="s">
        <v>62</v>
      </c>
      <c r="U96" t="s">
        <v>35</v>
      </c>
      <c r="V96" t="s">
        <v>36</v>
      </c>
      <c r="W96" t="s">
        <v>64</v>
      </c>
      <c r="X96" s="2">
        <v>1516.565408486425</v>
      </c>
      <c r="Y96" s="2">
        <v>852.80000000000007</v>
      </c>
      <c r="Z96" s="2">
        <v>663.76540848642537</v>
      </c>
      <c r="AA96" s="3">
        <v>5.0591875646831201E-2</v>
      </c>
      <c r="AB96" s="3">
        <v>0</v>
      </c>
      <c r="AC96" t="s">
        <v>38</v>
      </c>
    </row>
    <row r="97" spans="1:29" x14ac:dyDescent="0.3">
      <c r="A97" t="s">
        <v>253</v>
      </c>
      <c r="B97" t="s">
        <v>254</v>
      </c>
      <c r="C97" t="s">
        <v>86</v>
      </c>
      <c r="D97" s="2">
        <v>87200</v>
      </c>
      <c r="E97" s="3">
        <v>0</v>
      </c>
      <c r="F97" s="2">
        <v>0</v>
      </c>
      <c r="G97" s="2">
        <v>87200</v>
      </c>
      <c r="H97" s="3">
        <v>0.19620000000000001</v>
      </c>
      <c r="I97">
        <v>12</v>
      </c>
      <c r="J97" s="3">
        <v>1.635E-2</v>
      </c>
      <c r="K97" s="2">
        <v>8061.8785259664828</v>
      </c>
      <c r="L97" s="2">
        <v>96742.54231159779</v>
      </c>
      <c r="M97" s="2">
        <v>9542.5423115977901</v>
      </c>
      <c r="N97" s="2">
        <v>872</v>
      </c>
      <c r="O97" s="2">
        <v>5668</v>
      </c>
      <c r="P97" t="s">
        <v>32</v>
      </c>
      <c r="Q97" s="2">
        <v>0</v>
      </c>
      <c r="R97" s="2">
        <v>4746.5423115977901</v>
      </c>
      <c r="S97" t="s">
        <v>77</v>
      </c>
      <c r="T97" t="s">
        <v>67</v>
      </c>
      <c r="U97" t="s">
        <v>35</v>
      </c>
      <c r="V97" t="s">
        <v>63</v>
      </c>
      <c r="W97" t="s">
        <v>64</v>
      </c>
      <c r="X97" s="2">
        <v>10414.54231159779</v>
      </c>
      <c r="Y97" s="2">
        <v>5668</v>
      </c>
      <c r="Z97" s="2">
        <v>4746.5423115977901</v>
      </c>
      <c r="AA97" s="3">
        <v>5.4432824674286583E-2</v>
      </c>
      <c r="AB97" s="3">
        <v>0</v>
      </c>
      <c r="AC97" t="s">
        <v>38</v>
      </c>
    </row>
    <row r="98" spans="1:29" x14ac:dyDescent="0.3">
      <c r="A98" t="s">
        <v>255</v>
      </c>
      <c r="B98" t="s">
        <v>256</v>
      </c>
      <c r="C98" t="s">
        <v>31</v>
      </c>
      <c r="D98" s="2">
        <v>252900</v>
      </c>
      <c r="E98" s="3">
        <v>0.25</v>
      </c>
      <c r="F98" s="2">
        <v>63225</v>
      </c>
      <c r="G98" s="2">
        <v>189675</v>
      </c>
      <c r="H98" s="3">
        <v>0.1158</v>
      </c>
      <c r="I98">
        <v>12</v>
      </c>
      <c r="J98" s="3">
        <v>9.6500000000000006E-3</v>
      </c>
      <c r="K98" s="2">
        <v>16815.149400355909</v>
      </c>
      <c r="L98" s="2">
        <v>201781.7928042709</v>
      </c>
      <c r="M98" s="2">
        <v>12106.792804270921</v>
      </c>
      <c r="N98" s="2">
        <v>1896.75</v>
      </c>
      <c r="O98" s="2">
        <v>12328.875</v>
      </c>
      <c r="P98" t="s">
        <v>52</v>
      </c>
      <c r="Q98" s="2">
        <v>0</v>
      </c>
      <c r="R98" s="2">
        <v>1674.667804270925</v>
      </c>
      <c r="S98" t="s">
        <v>43</v>
      </c>
      <c r="T98" t="s">
        <v>204</v>
      </c>
      <c r="U98" t="s">
        <v>48</v>
      </c>
      <c r="V98" t="s">
        <v>36</v>
      </c>
      <c r="W98" t="s">
        <v>64</v>
      </c>
      <c r="X98" s="2">
        <v>14003.542804270921</v>
      </c>
      <c r="Y98" s="2">
        <v>12328.875</v>
      </c>
      <c r="Z98" s="2">
        <v>1674.667804270925</v>
      </c>
      <c r="AA98" s="3">
        <v>8.8291435575111356E-3</v>
      </c>
      <c r="AB98" s="3">
        <v>0</v>
      </c>
      <c r="AC98" t="s">
        <v>38</v>
      </c>
    </row>
    <row r="99" spans="1:29" x14ac:dyDescent="0.3">
      <c r="A99" t="s">
        <v>257</v>
      </c>
      <c r="B99" t="s">
        <v>258</v>
      </c>
      <c r="C99" t="s">
        <v>56</v>
      </c>
      <c r="D99" s="2">
        <v>478600</v>
      </c>
      <c r="E99" s="3">
        <v>0.3</v>
      </c>
      <c r="F99" s="2">
        <v>143580</v>
      </c>
      <c r="G99" s="2">
        <v>335020</v>
      </c>
      <c r="H99" s="3">
        <v>0.09</v>
      </c>
      <c r="I99">
        <v>60</v>
      </c>
      <c r="J99" s="3">
        <v>7.4999999999999997E-3</v>
      </c>
      <c r="K99" s="2">
        <v>6954.4641679331198</v>
      </c>
      <c r="L99" s="2">
        <v>417267.85007598723</v>
      </c>
      <c r="M99" s="2">
        <v>82247.850075987168</v>
      </c>
      <c r="N99" s="2">
        <v>3350.2</v>
      </c>
      <c r="O99" s="2">
        <v>108881.5</v>
      </c>
      <c r="P99" t="s">
        <v>32</v>
      </c>
      <c r="Q99" s="2">
        <v>0</v>
      </c>
      <c r="R99" s="2">
        <v>-23283.449924012839</v>
      </c>
      <c r="S99" t="s">
        <v>77</v>
      </c>
      <c r="T99" t="s">
        <v>116</v>
      </c>
      <c r="U99" t="s">
        <v>151</v>
      </c>
      <c r="V99" t="s">
        <v>71</v>
      </c>
      <c r="W99" t="s">
        <v>49</v>
      </c>
      <c r="X99" s="2">
        <v>85598.050075987165</v>
      </c>
      <c r="Y99" s="2">
        <v>108881.5</v>
      </c>
      <c r="Z99" s="2">
        <v>-23283.449924012839</v>
      </c>
      <c r="AA99" s="3">
        <v>-6.9498686418759587E-2</v>
      </c>
      <c r="AB99" s="3">
        <v>0</v>
      </c>
      <c r="AC99" t="s">
        <v>38</v>
      </c>
    </row>
    <row r="100" spans="1:29" x14ac:dyDescent="0.3">
      <c r="A100" t="s">
        <v>259</v>
      </c>
      <c r="B100" t="s">
        <v>260</v>
      </c>
      <c r="C100" t="s">
        <v>86</v>
      </c>
      <c r="D100" s="2">
        <v>85100</v>
      </c>
      <c r="E100" s="3">
        <v>0.15</v>
      </c>
      <c r="F100" s="2">
        <v>12765</v>
      </c>
      <c r="G100" s="2">
        <v>72335</v>
      </c>
      <c r="H100" s="3">
        <v>0.19600000000000001</v>
      </c>
      <c r="I100">
        <v>9</v>
      </c>
      <c r="J100" s="3">
        <v>1.6333333333333339E-2</v>
      </c>
      <c r="K100" s="2">
        <v>8707.7691537194969</v>
      </c>
      <c r="L100" s="2">
        <v>78369.922383475467</v>
      </c>
      <c r="M100" s="2">
        <v>6034.9223834754666</v>
      </c>
      <c r="N100" s="2">
        <v>723.35</v>
      </c>
      <c r="O100" s="2">
        <v>3526.3312500000002</v>
      </c>
      <c r="P100" t="s">
        <v>32</v>
      </c>
      <c r="Q100" s="2">
        <v>0</v>
      </c>
      <c r="R100" s="2">
        <v>3231.9411334754668</v>
      </c>
      <c r="S100" t="s">
        <v>57</v>
      </c>
      <c r="T100" t="s">
        <v>58</v>
      </c>
      <c r="U100" t="s">
        <v>35</v>
      </c>
      <c r="V100" t="s">
        <v>63</v>
      </c>
      <c r="W100" t="s">
        <v>64</v>
      </c>
      <c r="X100" s="2">
        <v>6758.272383475467</v>
      </c>
      <c r="Y100" s="2">
        <v>3526.3312500000002</v>
      </c>
      <c r="Z100" s="2">
        <v>3231.9411334754668</v>
      </c>
      <c r="AA100" s="3">
        <v>4.4680184329514989E-2</v>
      </c>
      <c r="AB100" s="3">
        <v>0</v>
      </c>
      <c r="AC100" t="s">
        <v>38</v>
      </c>
    </row>
    <row r="101" spans="1:29" x14ac:dyDescent="0.3">
      <c r="A101" t="s">
        <v>261</v>
      </c>
      <c r="B101" t="s">
        <v>262</v>
      </c>
      <c r="C101" t="s">
        <v>31</v>
      </c>
      <c r="D101" s="2">
        <v>273500</v>
      </c>
      <c r="E101" s="3">
        <v>0.15</v>
      </c>
      <c r="F101" s="2">
        <v>41025</v>
      </c>
      <c r="G101" s="2">
        <v>232475</v>
      </c>
      <c r="H101" s="3">
        <v>0.1588</v>
      </c>
      <c r="I101">
        <v>60</v>
      </c>
      <c r="J101" s="3">
        <v>1.323333333333333E-2</v>
      </c>
      <c r="K101" s="2">
        <v>5638.5284505170193</v>
      </c>
      <c r="L101" s="2">
        <v>338311.70703102119</v>
      </c>
      <c r="M101" s="2">
        <v>105836.7070310212</v>
      </c>
      <c r="N101" s="2">
        <v>2324.75</v>
      </c>
      <c r="O101" s="2">
        <v>75554.375</v>
      </c>
      <c r="P101" t="s">
        <v>42</v>
      </c>
      <c r="Q101" s="2">
        <v>92990</v>
      </c>
      <c r="R101" s="2">
        <v>-60382.917968978807</v>
      </c>
      <c r="S101" t="s">
        <v>43</v>
      </c>
      <c r="T101" t="s">
        <v>67</v>
      </c>
      <c r="U101" t="s">
        <v>48</v>
      </c>
      <c r="V101" t="s">
        <v>63</v>
      </c>
      <c r="W101" t="s">
        <v>49</v>
      </c>
      <c r="X101" s="2">
        <v>108161.4570310212</v>
      </c>
      <c r="Y101" s="2">
        <v>168544.375</v>
      </c>
      <c r="Z101" s="2">
        <v>-60382.917968978807</v>
      </c>
      <c r="AA101" s="3">
        <v>-0.25973940410357588</v>
      </c>
      <c r="AB101" s="3">
        <v>0.4</v>
      </c>
      <c r="AC101" t="s">
        <v>38</v>
      </c>
    </row>
    <row r="102" spans="1:29" x14ac:dyDescent="0.3">
      <c r="A102" t="s">
        <v>263</v>
      </c>
      <c r="B102" t="s">
        <v>264</v>
      </c>
      <c r="C102" t="s">
        <v>56</v>
      </c>
      <c r="D102" s="2">
        <v>1032700</v>
      </c>
      <c r="E102" s="3">
        <v>0.3</v>
      </c>
      <c r="F102" s="2">
        <v>309810</v>
      </c>
      <c r="G102" s="2">
        <v>722890</v>
      </c>
      <c r="H102" s="3">
        <v>0.1135</v>
      </c>
      <c r="I102">
        <v>60</v>
      </c>
      <c r="J102" s="3">
        <v>9.4583333333333342E-3</v>
      </c>
      <c r="K102" s="2">
        <v>15843.85334275799</v>
      </c>
      <c r="L102" s="2">
        <v>950631.20056547958</v>
      </c>
      <c r="M102" s="2">
        <v>227741.20056547961</v>
      </c>
      <c r="N102" s="2">
        <v>7228.9000000000005</v>
      </c>
      <c r="O102" s="2">
        <v>234939.25</v>
      </c>
      <c r="P102" t="s">
        <v>52</v>
      </c>
      <c r="Q102" s="2">
        <v>0</v>
      </c>
      <c r="R102" s="2">
        <v>30.850565479573561</v>
      </c>
      <c r="S102" t="s">
        <v>43</v>
      </c>
      <c r="T102" t="s">
        <v>116</v>
      </c>
      <c r="U102" t="s">
        <v>59</v>
      </c>
      <c r="V102" t="s">
        <v>36</v>
      </c>
      <c r="W102" t="s">
        <v>49</v>
      </c>
      <c r="X102" s="2">
        <v>234970.1005654796</v>
      </c>
      <c r="Y102" s="2">
        <v>234939.25</v>
      </c>
      <c r="Z102" s="2">
        <v>30.850565479573561</v>
      </c>
      <c r="AA102" s="3">
        <v>4.2676708046277529E-5</v>
      </c>
      <c r="AB102" s="3">
        <v>0</v>
      </c>
      <c r="AC102" t="s">
        <v>38</v>
      </c>
    </row>
    <row r="103" spans="1:29" x14ac:dyDescent="0.3">
      <c r="A103" t="s">
        <v>265</v>
      </c>
      <c r="B103" t="s">
        <v>266</v>
      </c>
      <c r="C103" t="s">
        <v>41</v>
      </c>
      <c r="D103" s="2">
        <v>80300</v>
      </c>
      <c r="E103" s="3">
        <v>0.15</v>
      </c>
      <c r="F103" s="2">
        <v>12045</v>
      </c>
      <c r="G103" s="2">
        <v>68255</v>
      </c>
      <c r="H103" s="3">
        <v>0.14230000000000001</v>
      </c>
      <c r="I103">
        <v>24</v>
      </c>
      <c r="J103" s="3">
        <v>1.185833333333333E-2</v>
      </c>
      <c r="K103" s="2">
        <v>3284.5404870739312</v>
      </c>
      <c r="L103" s="2">
        <v>78828.971689774335</v>
      </c>
      <c r="M103" s="2">
        <v>10573.971689774329</v>
      </c>
      <c r="N103" s="2">
        <v>682.55000000000007</v>
      </c>
      <c r="O103" s="2">
        <v>8873.15</v>
      </c>
      <c r="P103" t="s">
        <v>32</v>
      </c>
      <c r="Q103" s="2">
        <v>0</v>
      </c>
      <c r="R103" s="2">
        <v>2383.3716897743338</v>
      </c>
      <c r="S103" t="s">
        <v>57</v>
      </c>
      <c r="T103" t="s">
        <v>58</v>
      </c>
      <c r="U103" t="s">
        <v>35</v>
      </c>
      <c r="V103" t="s">
        <v>36</v>
      </c>
      <c r="W103" t="s">
        <v>37</v>
      </c>
      <c r="X103" s="2">
        <v>11256.52168977433</v>
      </c>
      <c r="Y103" s="2">
        <v>8873.15</v>
      </c>
      <c r="Z103" s="2">
        <v>2383.3716897743338</v>
      </c>
      <c r="AA103" s="3">
        <v>3.4918638777735468E-2</v>
      </c>
      <c r="AB103" s="3">
        <v>0</v>
      </c>
      <c r="AC103" t="s">
        <v>38</v>
      </c>
    </row>
    <row r="104" spans="1:29" x14ac:dyDescent="0.3">
      <c r="A104" t="s">
        <v>267</v>
      </c>
      <c r="B104" t="s">
        <v>268</v>
      </c>
      <c r="C104" t="s">
        <v>41</v>
      </c>
      <c r="D104" s="2">
        <v>76000</v>
      </c>
      <c r="E104" s="3">
        <v>0.05</v>
      </c>
      <c r="F104" s="2">
        <v>3800</v>
      </c>
      <c r="G104" s="2">
        <v>72200</v>
      </c>
      <c r="H104" s="3">
        <v>0.1457</v>
      </c>
      <c r="I104">
        <v>6</v>
      </c>
      <c r="J104" s="3">
        <v>1.214166666666667E-2</v>
      </c>
      <c r="K104" s="2">
        <v>12549.84227544173</v>
      </c>
      <c r="L104" s="2">
        <v>75299.053652650386</v>
      </c>
      <c r="M104" s="2">
        <v>3099.0536526503861</v>
      </c>
      <c r="N104" s="2">
        <v>722</v>
      </c>
      <c r="O104" s="2">
        <v>2346.5</v>
      </c>
      <c r="P104" t="s">
        <v>32</v>
      </c>
      <c r="Q104" s="2">
        <v>0</v>
      </c>
      <c r="R104" s="2">
        <v>1474.5536526503861</v>
      </c>
      <c r="S104" t="s">
        <v>57</v>
      </c>
      <c r="T104" t="s">
        <v>204</v>
      </c>
      <c r="U104" t="s">
        <v>35</v>
      </c>
      <c r="V104" t="s">
        <v>36</v>
      </c>
      <c r="W104" t="s">
        <v>64</v>
      </c>
      <c r="X104" s="2">
        <v>3821.0536526503861</v>
      </c>
      <c r="Y104" s="2">
        <v>2346.5</v>
      </c>
      <c r="Z104" s="2">
        <v>1474.5536526503861</v>
      </c>
      <c r="AA104" s="3">
        <v>2.042318078463138E-2</v>
      </c>
      <c r="AB104" s="3">
        <v>0</v>
      </c>
      <c r="AC104" t="s">
        <v>38</v>
      </c>
    </row>
    <row r="105" spans="1:29" x14ac:dyDescent="0.3">
      <c r="A105" t="s">
        <v>269</v>
      </c>
      <c r="B105" t="s">
        <v>270</v>
      </c>
      <c r="C105" t="s">
        <v>31</v>
      </c>
      <c r="D105" s="2">
        <v>156100</v>
      </c>
      <c r="E105" s="3">
        <v>0.2</v>
      </c>
      <c r="F105" s="2">
        <v>31220</v>
      </c>
      <c r="G105" s="2">
        <v>124880</v>
      </c>
      <c r="H105" s="3">
        <v>0.1608</v>
      </c>
      <c r="I105">
        <v>12</v>
      </c>
      <c r="J105" s="3">
        <v>1.34E-2</v>
      </c>
      <c r="K105" s="2">
        <v>11335.197727628971</v>
      </c>
      <c r="L105" s="2">
        <v>136022.3727315476</v>
      </c>
      <c r="M105" s="2">
        <v>11142.372731547601</v>
      </c>
      <c r="N105" s="2">
        <v>1248.8</v>
      </c>
      <c r="O105" s="2">
        <v>8117.2000000000007</v>
      </c>
      <c r="P105" t="s">
        <v>42</v>
      </c>
      <c r="Q105" s="2">
        <v>49952</v>
      </c>
      <c r="R105" s="2">
        <v>-45678.027268452402</v>
      </c>
      <c r="S105" t="s">
        <v>77</v>
      </c>
      <c r="T105" t="s">
        <v>53</v>
      </c>
      <c r="U105" t="s">
        <v>48</v>
      </c>
      <c r="V105" t="s">
        <v>63</v>
      </c>
      <c r="W105" t="s">
        <v>64</v>
      </c>
      <c r="X105" s="2">
        <v>12391.1727315476</v>
      </c>
      <c r="Y105" s="2">
        <v>58069.2</v>
      </c>
      <c r="Z105" s="2">
        <v>-45678.027268452402</v>
      </c>
      <c r="AA105" s="3">
        <v>-0.36577536249561499</v>
      </c>
      <c r="AB105" s="3">
        <v>0.4</v>
      </c>
      <c r="AC105" t="s">
        <v>38</v>
      </c>
    </row>
    <row r="106" spans="1:29" x14ac:dyDescent="0.3">
      <c r="A106" t="s">
        <v>271</v>
      </c>
      <c r="B106" t="s">
        <v>272</v>
      </c>
      <c r="C106" t="s">
        <v>86</v>
      </c>
      <c r="D106" s="2">
        <v>94500</v>
      </c>
      <c r="E106" s="3">
        <v>0.2</v>
      </c>
      <c r="F106" s="2">
        <v>18900</v>
      </c>
      <c r="G106" s="2">
        <v>75600</v>
      </c>
      <c r="H106" s="3">
        <v>0.2092</v>
      </c>
      <c r="I106">
        <v>3</v>
      </c>
      <c r="J106" s="3">
        <v>1.7433333333333328E-2</v>
      </c>
      <c r="K106" s="2">
        <v>26083.701627063929</v>
      </c>
      <c r="L106" s="2">
        <v>78251.104881191772</v>
      </c>
      <c r="M106" s="2">
        <v>2651.1048811917722</v>
      </c>
      <c r="N106" s="2">
        <v>756</v>
      </c>
      <c r="O106" s="2">
        <v>1228.5</v>
      </c>
      <c r="P106" t="s">
        <v>32</v>
      </c>
      <c r="Q106" s="2">
        <v>0</v>
      </c>
      <c r="R106" s="2">
        <v>2178.6048811917722</v>
      </c>
      <c r="S106" t="s">
        <v>57</v>
      </c>
      <c r="T106" t="s">
        <v>107</v>
      </c>
      <c r="U106" t="s">
        <v>35</v>
      </c>
      <c r="V106" t="s">
        <v>63</v>
      </c>
      <c r="W106" t="s">
        <v>64</v>
      </c>
      <c r="X106" s="2">
        <v>3407.1048811917722</v>
      </c>
      <c r="Y106" s="2">
        <v>1228.5</v>
      </c>
      <c r="Z106" s="2">
        <v>2178.6048811917722</v>
      </c>
      <c r="AA106" s="3">
        <v>2.8817524883489039E-2</v>
      </c>
      <c r="AB106" s="3">
        <v>0</v>
      </c>
      <c r="AC106" t="s">
        <v>38</v>
      </c>
    </row>
    <row r="107" spans="1:29" x14ac:dyDescent="0.3">
      <c r="A107" t="s">
        <v>273</v>
      </c>
      <c r="B107" t="s">
        <v>274</v>
      </c>
      <c r="C107" t="s">
        <v>86</v>
      </c>
      <c r="D107" s="2">
        <v>66100</v>
      </c>
      <c r="E107" s="3">
        <v>0.2</v>
      </c>
      <c r="F107" s="2">
        <v>13220</v>
      </c>
      <c r="G107" s="2">
        <v>52880</v>
      </c>
      <c r="H107" s="3">
        <v>0.1898</v>
      </c>
      <c r="I107">
        <v>12</v>
      </c>
      <c r="J107" s="3">
        <v>1.581666666666667E-2</v>
      </c>
      <c r="K107" s="2">
        <v>4872.735123900422</v>
      </c>
      <c r="L107" s="2">
        <v>58472.821486805064</v>
      </c>
      <c r="M107" s="2">
        <v>5592.8214868050636</v>
      </c>
      <c r="N107" s="2">
        <v>528.79999999999995</v>
      </c>
      <c r="O107" s="2">
        <v>3437.2</v>
      </c>
      <c r="P107" t="s">
        <v>32</v>
      </c>
      <c r="Q107" s="2">
        <v>0</v>
      </c>
      <c r="R107" s="2">
        <v>2684.421486805064</v>
      </c>
      <c r="S107" t="s">
        <v>33</v>
      </c>
      <c r="T107" t="s">
        <v>74</v>
      </c>
      <c r="U107" t="s">
        <v>35</v>
      </c>
      <c r="V107" t="s">
        <v>63</v>
      </c>
      <c r="W107" t="s">
        <v>64</v>
      </c>
      <c r="X107" s="2">
        <v>6121.6214868050638</v>
      </c>
      <c r="Y107" s="2">
        <v>3437.2</v>
      </c>
      <c r="Z107" s="2">
        <v>2684.421486805064</v>
      </c>
      <c r="AA107" s="3">
        <v>5.0764400279974732E-2</v>
      </c>
      <c r="AB107" s="3">
        <v>0</v>
      </c>
      <c r="AC107" t="s">
        <v>38</v>
      </c>
    </row>
    <row r="108" spans="1:29" x14ac:dyDescent="0.3">
      <c r="A108" t="s">
        <v>275</v>
      </c>
      <c r="B108" t="s">
        <v>276</v>
      </c>
      <c r="C108" t="s">
        <v>86</v>
      </c>
      <c r="D108" s="2">
        <v>22700</v>
      </c>
      <c r="E108" s="3">
        <v>0.1</v>
      </c>
      <c r="F108" s="2">
        <v>2270</v>
      </c>
      <c r="G108" s="2">
        <v>20430</v>
      </c>
      <c r="H108" s="3">
        <v>0.16300000000000001</v>
      </c>
      <c r="I108">
        <v>24</v>
      </c>
      <c r="J108" s="3">
        <v>1.3583333333333329E-2</v>
      </c>
      <c r="K108" s="2">
        <v>1003.24731351542</v>
      </c>
      <c r="L108" s="2">
        <v>24077.935524370081</v>
      </c>
      <c r="M108" s="2">
        <v>3647.935524370077</v>
      </c>
      <c r="N108" s="2">
        <v>499</v>
      </c>
      <c r="O108" s="2">
        <v>2655.9</v>
      </c>
      <c r="P108" t="s">
        <v>52</v>
      </c>
      <c r="Q108" s="2">
        <v>0</v>
      </c>
      <c r="R108" s="2">
        <v>1491.0355243700769</v>
      </c>
      <c r="S108" t="s">
        <v>43</v>
      </c>
      <c r="T108" t="s">
        <v>44</v>
      </c>
      <c r="U108" t="s">
        <v>35</v>
      </c>
      <c r="V108" t="s">
        <v>63</v>
      </c>
      <c r="W108" t="s">
        <v>37</v>
      </c>
      <c r="X108" s="2">
        <v>4146.9355243700766</v>
      </c>
      <c r="Y108" s="2">
        <v>2655.9</v>
      </c>
      <c r="Z108" s="2">
        <v>1491.0355243700769</v>
      </c>
      <c r="AA108" s="3">
        <v>7.2982649259426199E-2</v>
      </c>
      <c r="AB108" s="3">
        <v>0</v>
      </c>
      <c r="AC108" t="s">
        <v>38</v>
      </c>
    </row>
    <row r="109" spans="1:29" x14ac:dyDescent="0.3">
      <c r="A109" t="s">
        <v>277</v>
      </c>
      <c r="B109" t="s">
        <v>278</v>
      </c>
      <c r="C109" t="s">
        <v>86</v>
      </c>
      <c r="D109" s="2">
        <v>69700</v>
      </c>
      <c r="E109" s="3">
        <v>0</v>
      </c>
      <c r="F109" s="2">
        <v>0</v>
      </c>
      <c r="G109" s="2">
        <v>69700</v>
      </c>
      <c r="H109" s="3">
        <v>0.1842</v>
      </c>
      <c r="I109">
        <v>3</v>
      </c>
      <c r="J109" s="3">
        <v>1.5350000000000001E-2</v>
      </c>
      <c r="K109" s="2">
        <v>23950.218330548101</v>
      </c>
      <c r="L109" s="2">
        <v>71850.654991644318</v>
      </c>
      <c r="M109" s="2">
        <v>2150.6549916443182</v>
      </c>
      <c r="N109" s="2">
        <v>697</v>
      </c>
      <c r="O109" s="2">
        <v>1132.625</v>
      </c>
      <c r="P109" t="s">
        <v>32</v>
      </c>
      <c r="Q109" s="2">
        <v>0</v>
      </c>
      <c r="R109" s="2">
        <v>1715.029991644318</v>
      </c>
      <c r="S109" t="s">
        <v>33</v>
      </c>
      <c r="T109" t="s">
        <v>116</v>
      </c>
      <c r="U109" t="s">
        <v>35</v>
      </c>
      <c r="V109" t="s">
        <v>63</v>
      </c>
      <c r="W109" t="s">
        <v>64</v>
      </c>
      <c r="X109" s="2">
        <v>2847.6549916443182</v>
      </c>
      <c r="Y109" s="2">
        <v>1132.625</v>
      </c>
      <c r="Z109" s="2">
        <v>1715.029991644318</v>
      </c>
      <c r="AA109" s="3">
        <v>2.4605882233060521E-2</v>
      </c>
      <c r="AB109" s="3">
        <v>0</v>
      </c>
      <c r="AC109" t="s">
        <v>38</v>
      </c>
    </row>
    <row r="110" spans="1:29" x14ac:dyDescent="0.3">
      <c r="A110" t="s">
        <v>279</v>
      </c>
      <c r="B110" t="s">
        <v>280</v>
      </c>
      <c r="C110" t="s">
        <v>56</v>
      </c>
      <c r="D110" s="2">
        <v>1112500</v>
      </c>
      <c r="E110" s="3">
        <v>0.3</v>
      </c>
      <c r="F110" s="2">
        <v>333750</v>
      </c>
      <c r="G110" s="2">
        <v>778750</v>
      </c>
      <c r="H110" s="3">
        <v>8.9599999999999999E-2</v>
      </c>
      <c r="I110">
        <v>60</v>
      </c>
      <c r="J110" s="3">
        <v>7.4666666666666666E-3</v>
      </c>
      <c r="K110" s="2">
        <v>16150.45524637611</v>
      </c>
      <c r="L110" s="2">
        <v>969027.31478256674</v>
      </c>
      <c r="M110" s="2">
        <v>190277.31478256671</v>
      </c>
      <c r="N110" s="2">
        <v>7787.5</v>
      </c>
      <c r="O110" s="2">
        <v>253093.75</v>
      </c>
      <c r="P110" t="s">
        <v>32</v>
      </c>
      <c r="Q110" s="2">
        <v>0</v>
      </c>
      <c r="R110" s="2">
        <v>-55028.93521743326</v>
      </c>
      <c r="S110" t="s">
        <v>57</v>
      </c>
      <c r="T110" t="s">
        <v>116</v>
      </c>
      <c r="U110" t="s">
        <v>59</v>
      </c>
      <c r="V110" t="s">
        <v>71</v>
      </c>
      <c r="W110" t="s">
        <v>49</v>
      </c>
      <c r="X110" s="2">
        <v>198064.81478256671</v>
      </c>
      <c r="Y110" s="2">
        <v>253093.75</v>
      </c>
      <c r="Z110" s="2">
        <v>-55028.93521743326</v>
      </c>
      <c r="AA110" s="3">
        <v>-7.0663159187715263E-2</v>
      </c>
      <c r="AB110" s="3">
        <v>0</v>
      </c>
      <c r="AC110" t="s">
        <v>38</v>
      </c>
    </row>
    <row r="111" spans="1:29" x14ac:dyDescent="0.3">
      <c r="A111" t="s">
        <v>281</v>
      </c>
      <c r="B111" t="s">
        <v>282</v>
      </c>
      <c r="C111" t="s">
        <v>56</v>
      </c>
      <c r="D111" s="2">
        <v>668100</v>
      </c>
      <c r="E111" s="3">
        <v>0.15</v>
      </c>
      <c r="F111" s="2">
        <v>100215</v>
      </c>
      <c r="G111" s="2">
        <v>567885</v>
      </c>
      <c r="H111" s="3">
        <v>0.10150000000000001</v>
      </c>
      <c r="I111">
        <v>72</v>
      </c>
      <c r="J111" s="3">
        <v>8.4583333333333333E-3</v>
      </c>
      <c r="K111" s="2">
        <v>10563.55221632929</v>
      </c>
      <c r="L111" s="2">
        <v>760575.759575709</v>
      </c>
      <c r="M111" s="2">
        <v>192690.759575709</v>
      </c>
      <c r="N111" s="2">
        <v>5678.85</v>
      </c>
      <c r="O111" s="2">
        <v>221475.15</v>
      </c>
      <c r="P111" t="s">
        <v>32</v>
      </c>
      <c r="Q111" s="2">
        <v>0</v>
      </c>
      <c r="R111" s="2">
        <v>-23105.540424291019</v>
      </c>
      <c r="S111" t="s">
        <v>43</v>
      </c>
      <c r="T111" t="s">
        <v>58</v>
      </c>
      <c r="U111" t="s">
        <v>59</v>
      </c>
      <c r="V111" t="s">
        <v>36</v>
      </c>
      <c r="W111" t="s">
        <v>49</v>
      </c>
      <c r="X111" s="2">
        <v>198369.60957570901</v>
      </c>
      <c r="Y111" s="2">
        <v>221475.15</v>
      </c>
      <c r="Z111" s="2">
        <v>-23105.540424291019</v>
      </c>
      <c r="AA111" s="3">
        <v>-4.0687006038706813E-2</v>
      </c>
      <c r="AB111" s="3">
        <v>0</v>
      </c>
      <c r="AC111" t="s">
        <v>38</v>
      </c>
    </row>
    <row r="112" spans="1:29" x14ac:dyDescent="0.3">
      <c r="A112" t="s">
        <v>283</v>
      </c>
      <c r="B112" t="s">
        <v>284</v>
      </c>
      <c r="C112" t="s">
        <v>86</v>
      </c>
      <c r="D112" s="2">
        <v>96500</v>
      </c>
      <c r="E112" s="3">
        <v>0.05</v>
      </c>
      <c r="F112" s="2">
        <v>4825</v>
      </c>
      <c r="G112" s="2">
        <v>91675</v>
      </c>
      <c r="H112" s="3">
        <v>0.17319999999999999</v>
      </c>
      <c r="I112">
        <v>18</v>
      </c>
      <c r="J112" s="3">
        <v>1.4433333333333329E-2</v>
      </c>
      <c r="K112" s="2">
        <v>5819.721073797894</v>
      </c>
      <c r="L112" s="2">
        <v>104754.9793283621</v>
      </c>
      <c r="M112" s="2">
        <v>13079.9793283621</v>
      </c>
      <c r="N112" s="2">
        <v>916.75</v>
      </c>
      <c r="O112" s="2">
        <v>8938.3125</v>
      </c>
      <c r="P112" t="s">
        <v>32</v>
      </c>
      <c r="Q112" s="2">
        <v>0</v>
      </c>
      <c r="R112" s="2">
        <v>5058.4168283620966</v>
      </c>
      <c r="S112" t="s">
        <v>77</v>
      </c>
      <c r="T112" t="s">
        <v>44</v>
      </c>
      <c r="U112" t="s">
        <v>35</v>
      </c>
      <c r="V112" t="s">
        <v>63</v>
      </c>
      <c r="W112" t="s">
        <v>37</v>
      </c>
      <c r="X112" s="2">
        <v>13996.7293283621</v>
      </c>
      <c r="Y112" s="2">
        <v>8938.3125</v>
      </c>
      <c r="Z112" s="2">
        <v>5058.4168283620966</v>
      </c>
      <c r="AA112" s="3">
        <v>5.5177712880960968E-2</v>
      </c>
      <c r="AB112" s="3">
        <v>0</v>
      </c>
      <c r="AC112" t="s">
        <v>38</v>
      </c>
    </row>
    <row r="113" spans="1:29" x14ac:dyDescent="0.3">
      <c r="A113" t="s">
        <v>285</v>
      </c>
      <c r="B113" t="s">
        <v>286</v>
      </c>
      <c r="C113" t="s">
        <v>86</v>
      </c>
      <c r="D113" s="2">
        <v>73700</v>
      </c>
      <c r="E113" s="3">
        <v>0</v>
      </c>
      <c r="F113" s="2">
        <v>0</v>
      </c>
      <c r="G113" s="2">
        <v>73700</v>
      </c>
      <c r="H113" s="3">
        <v>0.21990000000000001</v>
      </c>
      <c r="I113">
        <v>12</v>
      </c>
      <c r="J113" s="3">
        <v>1.8325000000000001E-2</v>
      </c>
      <c r="K113" s="2">
        <v>6897.551085492084</v>
      </c>
      <c r="L113" s="2">
        <v>82770.613025905011</v>
      </c>
      <c r="M113" s="2">
        <v>9070.6130259050115</v>
      </c>
      <c r="N113" s="2">
        <v>737</v>
      </c>
      <c r="O113" s="2">
        <v>4790.5</v>
      </c>
      <c r="P113" t="s">
        <v>32</v>
      </c>
      <c r="Q113" s="2">
        <v>0</v>
      </c>
      <c r="R113" s="2">
        <v>5017.1130259050115</v>
      </c>
      <c r="S113" t="s">
        <v>57</v>
      </c>
      <c r="T113" t="s">
        <v>53</v>
      </c>
      <c r="U113" t="s">
        <v>35</v>
      </c>
      <c r="V113" t="s">
        <v>63</v>
      </c>
      <c r="W113" t="s">
        <v>64</v>
      </c>
      <c r="X113" s="2">
        <v>9807.6130259050115</v>
      </c>
      <c r="Y113" s="2">
        <v>4790.5</v>
      </c>
      <c r="Z113" s="2">
        <v>5017.1130259050115</v>
      </c>
      <c r="AA113" s="3">
        <v>6.8074803607937745E-2</v>
      </c>
      <c r="AB113" s="3">
        <v>0</v>
      </c>
      <c r="AC113" t="s">
        <v>38</v>
      </c>
    </row>
    <row r="114" spans="1:29" x14ac:dyDescent="0.3">
      <c r="A114" t="s">
        <v>287</v>
      </c>
      <c r="B114" t="s">
        <v>288</v>
      </c>
      <c r="C114" t="s">
        <v>41</v>
      </c>
      <c r="D114" s="2">
        <v>120400</v>
      </c>
      <c r="E114" s="3">
        <v>0.05</v>
      </c>
      <c r="F114" s="2">
        <v>6020</v>
      </c>
      <c r="G114" s="2">
        <v>114380</v>
      </c>
      <c r="H114" s="3">
        <v>0.1502</v>
      </c>
      <c r="I114">
        <v>12</v>
      </c>
      <c r="J114" s="3">
        <v>1.2516666666666671E-2</v>
      </c>
      <c r="K114" s="2">
        <v>10324.82524782178</v>
      </c>
      <c r="L114" s="2">
        <v>123897.9029738614</v>
      </c>
      <c r="M114" s="2">
        <v>9517.9029738614045</v>
      </c>
      <c r="N114" s="2">
        <v>1143.8</v>
      </c>
      <c r="O114" s="2">
        <v>7434.7</v>
      </c>
      <c r="P114" t="s">
        <v>32</v>
      </c>
      <c r="Q114" s="2">
        <v>0</v>
      </c>
      <c r="R114" s="2">
        <v>3227.0029738614039</v>
      </c>
      <c r="S114" t="s">
        <v>43</v>
      </c>
      <c r="T114" t="s">
        <v>34</v>
      </c>
      <c r="U114" t="s">
        <v>48</v>
      </c>
      <c r="V114" t="s">
        <v>63</v>
      </c>
      <c r="W114" t="s">
        <v>64</v>
      </c>
      <c r="X114" s="2">
        <v>10661.7029738614</v>
      </c>
      <c r="Y114" s="2">
        <v>7434.7</v>
      </c>
      <c r="Z114" s="2">
        <v>3227.0029738614039</v>
      </c>
      <c r="AA114" s="3">
        <v>2.821300029604305E-2</v>
      </c>
      <c r="AB114" s="3">
        <v>0</v>
      </c>
      <c r="AC114" t="s">
        <v>38</v>
      </c>
    </row>
    <row r="115" spans="1:29" x14ac:dyDescent="0.3">
      <c r="A115" t="s">
        <v>289</v>
      </c>
      <c r="B115" t="s">
        <v>290</v>
      </c>
      <c r="C115" t="s">
        <v>41</v>
      </c>
      <c r="D115" s="2">
        <v>132000</v>
      </c>
      <c r="E115" s="3">
        <v>0.15</v>
      </c>
      <c r="F115" s="2">
        <v>19800</v>
      </c>
      <c r="G115" s="2">
        <v>112200</v>
      </c>
      <c r="H115" s="3">
        <v>0.15290000000000001</v>
      </c>
      <c r="I115">
        <v>12</v>
      </c>
      <c r="J115" s="3">
        <v>1.274166666666667E-2</v>
      </c>
      <c r="K115" s="2">
        <v>10142.342738474979</v>
      </c>
      <c r="L115" s="2">
        <v>121708.1128616997</v>
      </c>
      <c r="M115" s="2">
        <v>9508.1128616997448</v>
      </c>
      <c r="N115" s="2">
        <v>1122</v>
      </c>
      <c r="O115" s="2">
        <v>7293</v>
      </c>
      <c r="P115" t="s">
        <v>32</v>
      </c>
      <c r="Q115" s="2">
        <v>0</v>
      </c>
      <c r="R115" s="2">
        <v>3337.1128616997448</v>
      </c>
      <c r="S115" t="s">
        <v>57</v>
      </c>
      <c r="T115" t="s">
        <v>107</v>
      </c>
      <c r="U115" t="s">
        <v>48</v>
      </c>
      <c r="V115" t="s">
        <v>63</v>
      </c>
      <c r="W115" t="s">
        <v>64</v>
      </c>
      <c r="X115" s="2">
        <v>10630.112861699739</v>
      </c>
      <c r="Y115" s="2">
        <v>7293</v>
      </c>
      <c r="Z115" s="2">
        <v>3337.1128616997448</v>
      </c>
      <c r="AA115" s="3">
        <v>2.9742538874329282E-2</v>
      </c>
      <c r="AB115" s="3">
        <v>0</v>
      </c>
      <c r="AC115" t="s">
        <v>38</v>
      </c>
    </row>
    <row r="116" spans="1:29" x14ac:dyDescent="0.3">
      <c r="A116" t="s">
        <v>291</v>
      </c>
      <c r="B116" t="s">
        <v>292</v>
      </c>
      <c r="C116" t="s">
        <v>56</v>
      </c>
      <c r="D116" s="2">
        <v>1271600</v>
      </c>
      <c r="E116" s="3">
        <v>0.25</v>
      </c>
      <c r="F116" s="2">
        <v>317900</v>
      </c>
      <c r="G116" s="2">
        <v>953700</v>
      </c>
      <c r="H116" s="3">
        <v>0.1046</v>
      </c>
      <c r="I116">
        <v>48</v>
      </c>
      <c r="J116" s="3">
        <v>8.716666666666666E-3</v>
      </c>
      <c r="K116" s="2">
        <v>24399.52417647955</v>
      </c>
      <c r="L116" s="2">
        <v>1171177.1604710179</v>
      </c>
      <c r="M116" s="2">
        <v>217477.1604710182</v>
      </c>
      <c r="N116" s="2">
        <v>9537</v>
      </c>
      <c r="O116" s="2">
        <v>247962</v>
      </c>
      <c r="P116" t="s">
        <v>32</v>
      </c>
      <c r="Q116" s="2">
        <v>0</v>
      </c>
      <c r="R116" s="2">
        <v>-20947.839528981829</v>
      </c>
      <c r="S116" t="s">
        <v>43</v>
      </c>
      <c r="T116" t="s">
        <v>70</v>
      </c>
      <c r="U116" t="s">
        <v>59</v>
      </c>
      <c r="V116" t="s">
        <v>36</v>
      </c>
      <c r="W116" t="s">
        <v>49</v>
      </c>
      <c r="X116" s="2">
        <v>227014.1604710182</v>
      </c>
      <c r="Y116" s="2">
        <v>247962</v>
      </c>
      <c r="Z116" s="2">
        <v>-20947.839528981829</v>
      </c>
      <c r="AA116" s="3">
        <v>-2.196481024324403E-2</v>
      </c>
      <c r="AB116" s="3">
        <v>0</v>
      </c>
      <c r="AC116" t="s">
        <v>38</v>
      </c>
    </row>
    <row r="117" spans="1:29" x14ac:dyDescent="0.3">
      <c r="A117" t="s">
        <v>293</v>
      </c>
      <c r="B117" t="s">
        <v>294</v>
      </c>
      <c r="C117" t="s">
        <v>56</v>
      </c>
      <c r="D117" s="2">
        <v>765200</v>
      </c>
      <c r="E117" s="3">
        <v>0.1</v>
      </c>
      <c r="F117" s="2">
        <v>76520</v>
      </c>
      <c r="G117" s="2">
        <v>688680</v>
      </c>
      <c r="H117" s="3">
        <v>8.7999999999999995E-2</v>
      </c>
      <c r="I117">
        <v>72</v>
      </c>
      <c r="J117" s="3">
        <v>7.3333333333333332E-3</v>
      </c>
      <c r="K117" s="2">
        <v>12345.57766298167</v>
      </c>
      <c r="L117" s="2">
        <v>888881.59173468035</v>
      </c>
      <c r="M117" s="2">
        <v>200201.59173468029</v>
      </c>
      <c r="N117" s="2">
        <v>6886.8</v>
      </c>
      <c r="O117" s="2">
        <v>268585.2</v>
      </c>
      <c r="P117" t="s">
        <v>32</v>
      </c>
      <c r="Q117" s="2">
        <v>0</v>
      </c>
      <c r="R117" s="2">
        <v>-61496.808265319683</v>
      </c>
      <c r="S117" t="s">
        <v>57</v>
      </c>
      <c r="T117" t="s">
        <v>62</v>
      </c>
      <c r="U117" t="s">
        <v>59</v>
      </c>
      <c r="V117" t="s">
        <v>71</v>
      </c>
      <c r="W117" t="s">
        <v>49</v>
      </c>
      <c r="X117" s="2">
        <v>207088.39173468031</v>
      </c>
      <c r="Y117" s="2">
        <v>268585.2</v>
      </c>
      <c r="Z117" s="2">
        <v>-61496.808265319683</v>
      </c>
      <c r="AA117" s="3">
        <v>-8.9296637430039613E-2</v>
      </c>
      <c r="AB117" s="3">
        <v>0</v>
      </c>
      <c r="AC117" t="s">
        <v>38</v>
      </c>
    </row>
    <row r="118" spans="1:29" x14ac:dyDescent="0.3">
      <c r="A118" t="s">
        <v>295</v>
      </c>
      <c r="B118" t="s">
        <v>296</v>
      </c>
      <c r="C118" t="s">
        <v>31</v>
      </c>
      <c r="D118" s="2">
        <v>158400</v>
      </c>
      <c r="E118" s="3">
        <v>0.05</v>
      </c>
      <c r="F118" s="2">
        <v>7920</v>
      </c>
      <c r="G118" s="2">
        <v>150480</v>
      </c>
      <c r="H118" s="3">
        <v>0.15240000000000001</v>
      </c>
      <c r="I118">
        <v>24</v>
      </c>
      <c r="J118" s="3">
        <v>1.2699999999999999E-2</v>
      </c>
      <c r="K118" s="2">
        <v>7313.4413499451011</v>
      </c>
      <c r="L118" s="2">
        <v>175522.59239868241</v>
      </c>
      <c r="M118" s="2">
        <v>25042.592398682431</v>
      </c>
      <c r="N118" s="2">
        <v>1504.8</v>
      </c>
      <c r="O118" s="2">
        <v>19562.400000000001</v>
      </c>
      <c r="P118" t="s">
        <v>32</v>
      </c>
      <c r="Q118" s="2">
        <v>0</v>
      </c>
      <c r="R118" s="2">
        <v>6984.9923986824324</v>
      </c>
      <c r="S118" t="s">
        <v>77</v>
      </c>
      <c r="T118" t="s">
        <v>53</v>
      </c>
      <c r="U118" t="s">
        <v>48</v>
      </c>
      <c r="V118" t="s">
        <v>63</v>
      </c>
      <c r="W118" t="s">
        <v>37</v>
      </c>
      <c r="X118" s="2">
        <v>26547.39239868243</v>
      </c>
      <c r="Y118" s="2">
        <v>19562.400000000001</v>
      </c>
      <c r="Z118" s="2">
        <v>6984.9923986824324</v>
      </c>
      <c r="AA118" s="3">
        <v>4.6418078141164491E-2</v>
      </c>
      <c r="AB118" s="3">
        <v>0</v>
      </c>
      <c r="AC118" t="s">
        <v>38</v>
      </c>
    </row>
    <row r="119" spans="1:29" x14ac:dyDescent="0.3">
      <c r="A119" t="s">
        <v>297</v>
      </c>
      <c r="B119" t="s">
        <v>298</v>
      </c>
      <c r="C119" t="s">
        <v>31</v>
      </c>
      <c r="D119" s="2">
        <v>155400</v>
      </c>
      <c r="E119" s="3">
        <v>0.25</v>
      </c>
      <c r="F119" s="2">
        <v>38850</v>
      </c>
      <c r="G119" s="2">
        <v>116550</v>
      </c>
      <c r="H119" s="3">
        <v>0.10639999999999999</v>
      </c>
      <c r="I119">
        <v>36</v>
      </c>
      <c r="J119" s="3">
        <v>8.8666666666666668E-3</v>
      </c>
      <c r="K119" s="2">
        <v>3795.8583999542229</v>
      </c>
      <c r="L119" s="2">
        <v>136650.90239835199</v>
      </c>
      <c r="M119" s="2">
        <v>20100.90239835202</v>
      </c>
      <c r="N119" s="2">
        <v>1165.5</v>
      </c>
      <c r="O119" s="2">
        <v>22727.25</v>
      </c>
      <c r="P119" t="s">
        <v>32</v>
      </c>
      <c r="Q119" s="2">
        <v>0</v>
      </c>
      <c r="R119" s="2">
        <v>-1460.847601647984</v>
      </c>
      <c r="S119" t="s">
        <v>77</v>
      </c>
      <c r="T119" t="s">
        <v>67</v>
      </c>
      <c r="U119" t="s">
        <v>48</v>
      </c>
      <c r="V119" t="s">
        <v>36</v>
      </c>
      <c r="W119" t="s">
        <v>37</v>
      </c>
      <c r="X119" s="2">
        <v>21266.40239835202</v>
      </c>
      <c r="Y119" s="2">
        <v>22727.25</v>
      </c>
      <c r="Z119" s="2">
        <v>-1460.847601647984</v>
      </c>
      <c r="AA119" s="3">
        <v>-1.2534084956224651E-2</v>
      </c>
      <c r="AB119" s="3">
        <v>0</v>
      </c>
      <c r="AC119" t="s">
        <v>38</v>
      </c>
    </row>
    <row r="120" spans="1:29" x14ac:dyDescent="0.3">
      <c r="A120" t="s">
        <v>299</v>
      </c>
      <c r="B120" t="s">
        <v>300</v>
      </c>
      <c r="C120" t="s">
        <v>31</v>
      </c>
      <c r="D120" s="2">
        <v>242300</v>
      </c>
      <c r="E120" s="3">
        <v>0.25</v>
      </c>
      <c r="F120" s="2">
        <v>60575</v>
      </c>
      <c r="G120" s="2">
        <v>181725</v>
      </c>
      <c r="H120" s="3">
        <v>0.16980000000000001</v>
      </c>
      <c r="I120">
        <v>12</v>
      </c>
      <c r="J120" s="3">
        <v>1.4149999999999999E-2</v>
      </c>
      <c r="K120" s="2">
        <v>16572.458803445548</v>
      </c>
      <c r="L120" s="2">
        <v>198869.50564134659</v>
      </c>
      <c r="M120" s="2">
        <v>17144.505641346619</v>
      </c>
      <c r="N120" s="2">
        <v>1817.25</v>
      </c>
      <c r="O120" s="2">
        <v>11812.125</v>
      </c>
      <c r="P120" t="s">
        <v>42</v>
      </c>
      <c r="Q120" s="2">
        <v>72690</v>
      </c>
      <c r="R120" s="2">
        <v>-65540.369358653377</v>
      </c>
      <c r="S120" t="s">
        <v>77</v>
      </c>
      <c r="T120" t="s">
        <v>74</v>
      </c>
      <c r="U120" t="s">
        <v>48</v>
      </c>
      <c r="V120" t="s">
        <v>63</v>
      </c>
      <c r="W120" t="s">
        <v>64</v>
      </c>
      <c r="X120" s="2">
        <v>18961.755641346619</v>
      </c>
      <c r="Y120" s="2">
        <v>84502.125</v>
      </c>
      <c r="Z120" s="2">
        <v>-65540.369358653377</v>
      </c>
      <c r="AA120" s="3">
        <v>-0.3606568681175038</v>
      </c>
      <c r="AB120" s="3">
        <v>0.4</v>
      </c>
      <c r="AC120" t="s">
        <v>38</v>
      </c>
    </row>
    <row r="121" spans="1:29" x14ac:dyDescent="0.3">
      <c r="A121" t="s">
        <v>301</v>
      </c>
      <c r="B121" t="s">
        <v>302</v>
      </c>
      <c r="C121" t="s">
        <v>31</v>
      </c>
      <c r="D121" s="2">
        <v>164200</v>
      </c>
      <c r="E121" s="3">
        <v>0.2</v>
      </c>
      <c r="F121" s="2">
        <v>32840</v>
      </c>
      <c r="G121" s="2">
        <v>131360</v>
      </c>
      <c r="H121" s="3">
        <v>0.1079</v>
      </c>
      <c r="I121">
        <v>12</v>
      </c>
      <c r="J121" s="3">
        <v>8.9916666666666669E-3</v>
      </c>
      <c r="K121" s="2">
        <v>11596.951267552429</v>
      </c>
      <c r="L121" s="2">
        <v>139163.4152106292</v>
      </c>
      <c r="M121" s="2">
        <v>7803.4152106292313</v>
      </c>
      <c r="N121" s="2">
        <v>1313.6</v>
      </c>
      <c r="O121" s="2">
        <v>8538.4</v>
      </c>
      <c r="P121" t="s">
        <v>52</v>
      </c>
      <c r="Q121" s="2">
        <v>0</v>
      </c>
      <c r="R121" s="2">
        <v>578.61521062923202</v>
      </c>
      <c r="S121" t="s">
        <v>77</v>
      </c>
      <c r="T121" t="s">
        <v>62</v>
      </c>
      <c r="U121" t="s">
        <v>48</v>
      </c>
      <c r="V121" t="s">
        <v>36</v>
      </c>
      <c r="W121" t="s">
        <v>64</v>
      </c>
      <c r="X121" s="2">
        <v>9117.0152106292317</v>
      </c>
      <c r="Y121" s="2">
        <v>8538.4</v>
      </c>
      <c r="Z121" s="2">
        <v>578.61521062923202</v>
      </c>
      <c r="AA121" s="3">
        <v>4.4048051966293546E-3</v>
      </c>
      <c r="AB121" s="3">
        <v>0</v>
      </c>
      <c r="AC121" t="s">
        <v>38</v>
      </c>
    </row>
    <row r="122" spans="1:29" x14ac:dyDescent="0.3">
      <c r="A122" t="s">
        <v>303</v>
      </c>
      <c r="B122" t="s">
        <v>304</v>
      </c>
      <c r="C122" t="s">
        <v>86</v>
      </c>
      <c r="D122" s="2">
        <v>97200</v>
      </c>
      <c r="E122" s="3">
        <v>0.1</v>
      </c>
      <c r="F122" s="2">
        <v>9720</v>
      </c>
      <c r="G122" s="2">
        <v>87480</v>
      </c>
      <c r="H122" s="3">
        <v>0.16350000000000001</v>
      </c>
      <c r="I122">
        <v>9</v>
      </c>
      <c r="J122" s="3">
        <v>1.3625E-2</v>
      </c>
      <c r="K122" s="2">
        <v>10394.120308770211</v>
      </c>
      <c r="L122" s="2">
        <v>93547.082778931901</v>
      </c>
      <c r="M122" s="2">
        <v>6067.082778931901</v>
      </c>
      <c r="N122" s="2">
        <v>874.80000000000007</v>
      </c>
      <c r="O122" s="2">
        <v>4264.6499999999996</v>
      </c>
      <c r="P122" t="s">
        <v>52</v>
      </c>
      <c r="Q122" s="2">
        <v>0</v>
      </c>
      <c r="R122" s="2">
        <v>2677.232778931902</v>
      </c>
      <c r="S122" t="s">
        <v>57</v>
      </c>
      <c r="T122" t="s">
        <v>34</v>
      </c>
      <c r="U122" t="s">
        <v>35</v>
      </c>
      <c r="V122" t="s">
        <v>63</v>
      </c>
      <c r="W122" t="s">
        <v>64</v>
      </c>
      <c r="X122" s="2">
        <v>6941.8827789319012</v>
      </c>
      <c r="Y122" s="2">
        <v>4264.6499999999996</v>
      </c>
      <c r="Z122" s="2">
        <v>2677.232778931902</v>
      </c>
      <c r="AA122" s="3">
        <v>3.0603941231503218E-2</v>
      </c>
      <c r="AB122" s="3">
        <v>0</v>
      </c>
      <c r="AC122" t="s">
        <v>38</v>
      </c>
    </row>
    <row r="123" spans="1:29" x14ac:dyDescent="0.3">
      <c r="A123" t="s">
        <v>305</v>
      </c>
      <c r="B123" t="s">
        <v>306</v>
      </c>
      <c r="C123" t="s">
        <v>31</v>
      </c>
      <c r="D123" s="2">
        <v>103200</v>
      </c>
      <c r="E123" s="3">
        <v>0.2</v>
      </c>
      <c r="F123" s="2">
        <v>20640</v>
      </c>
      <c r="G123" s="2">
        <v>82560</v>
      </c>
      <c r="H123" s="3">
        <v>0.114</v>
      </c>
      <c r="I123">
        <v>60</v>
      </c>
      <c r="J123" s="3">
        <v>9.4999999999999998E-3</v>
      </c>
      <c r="K123" s="2">
        <v>1811.5676690638461</v>
      </c>
      <c r="L123" s="2">
        <v>108694.06014383079</v>
      </c>
      <c r="M123" s="2">
        <v>26134.060143830779</v>
      </c>
      <c r="N123" s="2">
        <v>825.6</v>
      </c>
      <c r="O123" s="2">
        <v>26832</v>
      </c>
      <c r="P123" t="s">
        <v>32</v>
      </c>
      <c r="Q123" s="2">
        <v>0</v>
      </c>
      <c r="R123" s="2">
        <v>127.66014383077341</v>
      </c>
      <c r="S123" t="s">
        <v>43</v>
      </c>
      <c r="T123" t="s">
        <v>116</v>
      </c>
      <c r="U123" t="s">
        <v>35</v>
      </c>
      <c r="V123" t="s">
        <v>36</v>
      </c>
      <c r="W123" t="s">
        <v>49</v>
      </c>
      <c r="X123" s="2">
        <v>26959.660143830781</v>
      </c>
      <c r="Y123" s="2">
        <v>26832</v>
      </c>
      <c r="Z123" s="2">
        <v>127.66014383077341</v>
      </c>
      <c r="AA123" s="3">
        <v>1.5462711219812681E-3</v>
      </c>
      <c r="AB123" s="3">
        <v>0</v>
      </c>
      <c r="AC123" t="s">
        <v>38</v>
      </c>
    </row>
    <row r="124" spans="1:29" x14ac:dyDescent="0.3">
      <c r="A124" t="s">
        <v>307</v>
      </c>
      <c r="B124" t="s">
        <v>308</v>
      </c>
      <c r="C124" t="s">
        <v>56</v>
      </c>
      <c r="D124" s="2">
        <v>557400</v>
      </c>
      <c r="E124" s="3">
        <v>0.25</v>
      </c>
      <c r="F124" s="2">
        <v>139350</v>
      </c>
      <c r="G124" s="2">
        <v>418050</v>
      </c>
      <c r="H124" s="3">
        <v>9.8799999999999999E-2</v>
      </c>
      <c r="I124">
        <v>60</v>
      </c>
      <c r="J124" s="3">
        <v>8.2333333333333338E-3</v>
      </c>
      <c r="K124" s="2">
        <v>8857.6634625311235</v>
      </c>
      <c r="L124" s="2">
        <v>531459.80775186745</v>
      </c>
      <c r="M124" s="2">
        <v>113409.8077518675</v>
      </c>
      <c r="N124" s="2">
        <v>4180.5</v>
      </c>
      <c r="O124" s="2">
        <v>135866.25</v>
      </c>
      <c r="P124" t="s">
        <v>52</v>
      </c>
      <c r="Q124" s="2">
        <v>0</v>
      </c>
      <c r="R124" s="2">
        <v>-18275.942248132549</v>
      </c>
      <c r="S124" t="s">
        <v>33</v>
      </c>
      <c r="T124" t="s">
        <v>116</v>
      </c>
      <c r="U124" t="s">
        <v>151</v>
      </c>
      <c r="V124" t="s">
        <v>71</v>
      </c>
      <c r="W124" t="s">
        <v>49</v>
      </c>
      <c r="X124" s="2">
        <v>117590.3077518675</v>
      </c>
      <c r="Y124" s="2">
        <v>135866.25</v>
      </c>
      <c r="Z124" s="2">
        <v>-18275.942248132549</v>
      </c>
      <c r="AA124" s="3">
        <v>-4.3717120555274602E-2</v>
      </c>
      <c r="AB124" s="3">
        <v>0</v>
      </c>
      <c r="AC124" t="s">
        <v>38</v>
      </c>
    </row>
    <row r="125" spans="1:29" x14ac:dyDescent="0.3">
      <c r="A125" t="s">
        <v>309</v>
      </c>
      <c r="B125" t="s">
        <v>310</v>
      </c>
      <c r="C125" t="s">
        <v>56</v>
      </c>
      <c r="D125" s="2">
        <v>1145400</v>
      </c>
      <c r="E125" s="3">
        <v>0.2</v>
      </c>
      <c r="F125" s="2">
        <v>229080</v>
      </c>
      <c r="G125" s="2">
        <v>916320</v>
      </c>
      <c r="H125" s="3">
        <v>8.9700000000000002E-2</v>
      </c>
      <c r="I125">
        <v>72</v>
      </c>
      <c r="J125" s="3">
        <v>7.4749999999999999E-3</v>
      </c>
      <c r="K125" s="2">
        <v>16503.520190220781</v>
      </c>
      <c r="L125" s="2">
        <v>1188253.4536958961</v>
      </c>
      <c r="M125" s="2">
        <v>271933.45369589631</v>
      </c>
      <c r="N125" s="2">
        <v>9163.2000000000007</v>
      </c>
      <c r="O125" s="2">
        <v>357364.8</v>
      </c>
      <c r="P125" t="s">
        <v>32</v>
      </c>
      <c r="Q125" s="2">
        <v>0</v>
      </c>
      <c r="R125" s="2">
        <v>-76268.14630410372</v>
      </c>
      <c r="S125" t="s">
        <v>77</v>
      </c>
      <c r="T125" t="s">
        <v>67</v>
      </c>
      <c r="U125" t="s">
        <v>59</v>
      </c>
      <c r="V125" t="s">
        <v>71</v>
      </c>
      <c r="W125" t="s">
        <v>49</v>
      </c>
      <c r="X125" s="2">
        <v>281096.65369589633</v>
      </c>
      <c r="Y125" s="2">
        <v>357364.8</v>
      </c>
      <c r="Z125" s="2">
        <v>-76268.14630410372</v>
      </c>
      <c r="AA125" s="3">
        <v>-8.3233091391766767E-2</v>
      </c>
      <c r="AB125" s="3">
        <v>0</v>
      </c>
      <c r="AC125" t="s">
        <v>38</v>
      </c>
    </row>
    <row r="126" spans="1:29" x14ac:dyDescent="0.3">
      <c r="A126" t="s">
        <v>311</v>
      </c>
      <c r="B126" t="s">
        <v>312</v>
      </c>
      <c r="C126" t="s">
        <v>56</v>
      </c>
      <c r="D126" s="2">
        <v>1159300</v>
      </c>
      <c r="E126" s="3">
        <v>0.15</v>
      </c>
      <c r="F126" s="2">
        <v>173895</v>
      </c>
      <c r="G126" s="2">
        <v>985405</v>
      </c>
      <c r="H126" s="3">
        <v>9.8699999999999996E-2</v>
      </c>
      <c r="I126">
        <v>60</v>
      </c>
      <c r="J126" s="3">
        <v>8.2249999999999997E-3</v>
      </c>
      <c r="K126" s="2">
        <v>20873.96807836659</v>
      </c>
      <c r="L126" s="2">
        <v>1252438.0847019961</v>
      </c>
      <c r="M126" s="2">
        <v>267033.0847019956</v>
      </c>
      <c r="N126" s="2">
        <v>9854.0500000000011</v>
      </c>
      <c r="O126" s="2">
        <v>320256.625</v>
      </c>
      <c r="P126" t="s">
        <v>32</v>
      </c>
      <c r="Q126" s="2">
        <v>0</v>
      </c>
      <c r="R126" s="2">
        <v>-43369.490298004413</v>
      </c>
      <c r="S126" t="s">
        <v>57</v>
      </c>
      <c r="T126" t="s">
        <v>58</v>
      </c>
      <c r="U126" t="s">
        <v>59</v>
      </c>
      <c r="V126" t="s">
        <v>71</v>
      </c>
      <c r="W126" t="s">
        <v>49</v>
      </c>
      <c r="X126" s="2">
        <v>276887.13470199559</v>
      </c>
      <c r="Y126" s="2">
        <v>320256.625</v>
      </c>
      <c r="Z126" s="2">
        <v>-43369.490298004413</v>
      </c>
      <c r="AA126" s="3">
        <v>-4.4011843148760582E-2</v>
      </c>
      <c r="AB126" s="3">
        <v>0</v>
      </c>
      <c r="AC126" t="s">
        <v>38</v>
      </c>
    </row>
    <row r="127" spans="1:29" x14ac:dyDescent="0.3">
      <c r="A127" t="s">
        <v>313</v>
      </c>
      <c r="B127" t="s">
        <v>314</v>
      </c>
      <c r="C127" t="s">
        <v>86</v>
      </c>
      <c r="D127" s="2">
        <v>72100</v>
      </c>
      <c r="E127" s="3">
        <v>0.05</v>
      </c>
      <c r="F127" s="2">
        <v>3605</v>
      </c>
      <c r="G127" s="2">
        <v>68495</v>
      </c>
      <c r="H127" s="3">
        <v>0.186</v>
      </c>
      <c r="I127">
        <v>24</v>
      </c>
      <c r="J127" s="3">
        <v>1.55E-2</v>
      </c>
      <c r="K127" s="2">
        <v>3439.4415118470838</v>
      </c>
      <c r="L127" s="2">
        <v>82546.596284330022</v>
      </c>
      <c r="M127" s="2">
        <v>14051.59628433002</v>
      </c>
      <c r="N127" s="2">
        <v>684.95</v>
      </c>
      <c r="O127" s="2">
        <v>8904.35</v>
      </c>
      <c r="P127" t="s">
        <v>42</v>
      </c>
      <c r="Q127" s="2">
        <v>27398</v>
      </c>
      <c r="R127" s="2">
        <v>-21565.803715669979</v>
      </c>
      <c r="S127" t="s">
        <v>57</v>
      </c>
      <c r="T127" t="s">
        <v>204</v>
      </c>
      <c r="U127" t="s">
        <v>35</v>
      </c>
      <c r="V127" t="s">
        <v>63</v>
      </c>
      <c r="W127" t="s">
        <v>37</v>
      </c>
      <c r="X127" s="2">
        <v>14736.546284330019</v>
      </c>
      <c r="Y127" s="2">
        <v>36302.35</v>
      </c>
      <c r="Z127" s="2">
        <v>-21565.803715669979</v>
      </c>
      <c r="AA127" s="3">
        <v>-0.31485223323848432</v>
      </c>
      <c r="AB127" s="3">
        <v>0.4</v>
      </c>
      <c r="AC127" t="s">
        <v>38</v>
      </c>
    </row>
    <row r="128" spans="1:29" x14ac:dyDescent="0.3">
      <c r="A128" t="s">
        <v>315</v>
      </c>
      <c r="B128" t="s">
        <v>316</v>
      </c>
      <c r="C128" t="s">
        <v>86</v>
      </c>
      <c r="D128" s="2">
        <v>104900</v>
      </c>
      <c r="E128" s="3">
        <v>0.15</v>
      </c>
      <c r="F128" s="2">
        <v>15735</v>
      </c>
      <c r="G128" s="2">
        <v>89165</v>
      </c>
      <c r="H128" s="3">
        <v>0.20230000000000001</v>
      </c>
      <c r="I128">
        <v>3</v>
      </c>
      <c r="J128" s="3">
        <v>1.6858333333333329E-2</v>
      </c>
      <c r="K128" s="2">
        <v>30729.366326255011</v>
      </c>
      <c r="L128" s="2">
        <v>92188.098978765047</v>
      </c>
      <c r="M128" s="2">
        <v>3023.0989787650469</v>
      </c>
      <c r="N128" s="2">
        <v>891.65</v>
      </c>
      <c r="O128" s="2">
        <v>1448.9312500000001</v>
      </c>
      <c r="P128" t="s">
        <v>32</v>
      </c>
      <c r="Q128" s="2">
        <v>0</v>
      </c>
      <c r="R128" s="2">
        <v>2465.8177287650469</v>
      </c>
      <c r="S128" t="s">
        <v>77</v>
      </c>
      <c r="T128" t="s">
        <v>74</v>
      </c>
      <c r="U128" t="s">
        <v>35</v>
      </c>
      <c r="V128" t="s">
        <v>63</v>
      </c>
      <c r="W128" t="s">
        <v>64</v>
      </c>
      <c r="X128" s="2">
        <v>3914.748978765047</v>
      </c>
      <c r="Y128" s="2">
        <v>1448.9312500000001</v>
      </c>
      <c r="Z128" s="2">
        <v>2465.8177287650469</v>
      </c>
      <c r="AA128" s="3">
        <v>2.765454751040259E-2</v>
      </c>
      <c r="AB128" s="3">
        <v>0</v>
      </c>
      <c r="AC128" t="s">
        <v>38</v>
      </c>
    </row>
    <row r="129" spans="1:29" x14ac:dyDescent="0.3">
      <c r="A129" t="s">
        <v>317</v>
      </c>
      <c r="B129" t="s">
        <v>318</v>
      </c>
      <c r="C129" t="s">
        <v>31</v>
      </c>
      <c r="D129" s="2">
        <v>144600</v>
      </c>
      <c r="E129" s="3">
        <v>0.15</v>
      </c>
      <c r="F129" s="2">
        <v>21690</v>
      </c>
      <c r="G129" s="2">
        <v>122910</v>
      </c>
      <c r="H129" s="3">
        <v>0.15090000000000001</v>
      </c>
      <c r="I129">
        <v>60</v>
      </c>
      <c r="J129" s="3">
        <v>1.2574999999999999E-2</v>
      </c>
      <c r="K129" s="2">
        <v>2929.8300430492809</v>
      </c>
      <c r="L129" s="2">
        <v>175789.80258295691</v>
      </c>
      <c r="M129" s="2">
        <v>52879.80258295688</v>
      </c>
      <c r="N129" s="2">
        <v>1229.0999999999999</v>
      </c>
      <c r="O129" s="2">
        <v>39945.75</v>
      </c>
      <c r="P129" t="s">
        <v>32</v>
      </c>
      <c r="Q129" s="2">
        <v>0</v>
      </c>
      <c r="R129" s="2">
        <v>14163.15258295688</v>
      </c>
      <c r="S129" t="s">
        <v>43</v>
      </c>
      <c r="T129" t="s">
        <v>67</v>
      </c>
      <c r="U129" t="s">
        <v>48</v>
      </c>
      <c r="V129" t="s">
        <v>63</v>
      </c>
      <c r="W129" t="s">
        <v>49</v>
      </c>
      <c r="X129" s="2">
        <v>54108.902582956878</v>
      </c>
      <c r="Y129" s="2">
        <v>39945.75</v>
      </c>
      <c r="Z129" s="2">
        <v>14163.15258295688</v>
      </c>
      <c r="AA129" s="3">
        <v>0.1152318979981847</v>
      </c>
      <c r="AB129" s="3">
        <v>0</v>
      </c>
      <c r="AC129" t="s">
        <v>38</v>
      </c>
    </row>
    <row r="130" spans="1:29" x14ac:dyDescent="0.3">
      <c r="A130" t="s">
        <v>319</v>
      </c>
      <c r="B130" t="s">
        <v>320</v>
      </c>
      <c r="C130" t="s">
        <v>86</v>
      </c>
      <c r="D130" s="2">
        <v>78300</v>
      </c>
      <c r="E130" s="3">
        <v>0</v>
      </c>
      <c r="F130" s="2">
        <v>0</v>
      </c>
      <c r="G130" s="2">
        <v>78300</v>
      </c>
      <c r="H130" s="3">
        <v>0.14319999999999999</v>
      </c>
      <c r="I130">
        <v>12</v>
      </c>
      <c r="J130" s="3">
        <v>1.1933333333333331E-2</v>
      </c>
      <c r="K130" s="2">
        <v>7042.1260470391653</v>
      </c>
      <c r="L130" s="2">
        <v>84505.512564469987</v>
      </c>
      <c r="M130" s="2">
        <v>6205.5125644699874</v>
      </c>
      <c r="N130" s="2">
        <v>783</v>
      </c>
      <c r="O130" s="2">
        <v>5089.5</v>
      </c>
      <c r="P130" t="s">
        <v>32</v>
      </c>
      <c r="Q130" s="2">
        <v>0</v>
      </c>
      <c r="R130" s="2">
        <v>1899.012564469987</v>
      </c>
      <c r="S130" t="s">
        <v>43</v>
      </c>
      <c r="T130" t="s">
        <v>58</v>
      </c>
      <c r="U130" t="s">
        <v>35</v>
      </c>
      <c r="V130" t="s">
        <v>36</v>
      </c>
      <c r="W130" t="s">
        <v>64</v>
      </c>
      <c r="X130" s="2">
        <v>6988.5125644699874</v>
      </c>
      <c r="Y130" s="2">
        <v>5089.5</v>
      </c>
      <c r="Z130" s="2">
        <v>1899.012564469987</v>
      </c>
      <c r="AA130" s="3">
        <v>2.42530340289909E-2</v>
      </c>
      <c r="AB130" s="3">
        <v>0</v>
      </c>
      <c r="AC130" t="s">
        <v>38</v>
      </c>
    </row>
    <row r="131" spans="1:29" x14ac:dyDescent="0.3">
      <c r="A131" t="s">
        <v>321</v>
      </c>
      <c r="B131" t="s">
        <v>322</v>
      </c>
      <c r="C131" t="s">
        <v>56</v>
      </c>
      <c r="D131" s="2">
        <v>759400</v>
      </c>
      <c r="E131" s="3">
        <v>0.15</v>
      </c>
      <c r="F131" s="2">
        <v>113910</v>
      </c>
      <c r="G131" s="2">
        <v>645490</v>
      </c>
      <c r="H131" s="3">
        <v>9.7500000000000003E-2</v>
      </c>
      <c r="I131">
        <v>48</v>
      </c>
      <c r="J131" s="3">
        <v>8.1250000000000003E-3</v>
      </c>
      <c r="K131" s="2">
        <v>16293.904726090121</v>
      </c>
      <c r="L131" s="2">
        <v>782107.42685232591</v>
      </c>
      <c r="M131" s="2">
        <v>136617.42685232591</v>
      </c>
      <c r="N131" s="2">
        <v>6454.9000000000005</v>
      </c>
      <c r="O131" s="2">
        <v>167827.4</v>
      </c>
      <c r="P131" t="s">
        <v>32</v>
      </c>
      <c r="Q131" s="2">
        <v>0</v>
      </c>
      <c r="R131" s="2">
        <v>-24755.073147674091</v>
      </c>
      <c r="S131" t="s">
        <v>77</v>
      </c>
      <c r="T131" t="s">
        <v>70</v>
      </c>
      <c r="U131" t="s">
        <v>59</v>
      </c>
      <c r="V131" t="s">
        <v>71</v>
      </c>
      <c r="W131" t="s">
        <v>49</v>
      </c>
      <c r="X131" s="2">
        <v>143072.3268523259</v>
      </c>
      <c r="Y131" s="2">
        <v>167827.4</v>
      </c>
      <c r="Z131" s="2">
        <v>-24755.073147674091</v>
      </c>
      <c r="AA131" s="3">
        <v>-3.8350823634253191E-2</v>
      </c>
      <c r="AB131" s="3">
        <v>0</v>
      </c>
      <c r="AC131" t="s">
        <v>38</v>
      </c>
    </row>
    <row r="132" spans="1:29" x14ac:dyDescent="0.3">
      <c r="A132" t="s">
        <v>323</v>
      </c>
      <c r="B132" t="s">
        <v>324</v>
      </c>
      <c r="C132" t="s">
        <v>41</v>
      </c>
      <c r="D132" s="2">
        <v>59100</v>
      </c>
      <c r="E132" s="3">
        <v>0.1</v>
      </c>
      <c r="F132" s="2">
        <v>5910</v>
      </c>
      <c r="G132" s="2">
        <v>53190</v>
      </c>
      <c r="H132" s="3">
        <v>0.13320000000000001</v>
      </c>
      <c r="I132">
        <v>18</v>
      </c>
      <c r="J132" s="3">
        <v>1.11E-2</v>
      </c>
      <c r="K132" s="2">
        <v>3276.3443018887169</v>
      </c>
      <c r="L132" s="2">
        <v>58974.197433996917</v>
      </c>
      <c r="M132" s="2">
        <v>5784.1974339969174</v>
      </c>
      <c r="N132" s="2">
        <v>531.9</v>
      </c>
      <c r="O132" s="2">
        <v>5186.0249999999996</v>
      </c>
      <c r="P132" t="s">
        <v>32</v>
      </c>
      <c r="Q132" s="2">
        <v>0</v>
      </c>
      <c r="R132" s="2">
        <v>1130.072433996917</v>
      </c>
      <c r="S132" t="s">
        <v>77</v>
      </c>
      <c r="T132" t="s">
        <v>58</v>
      </c>
      <c r="U132" t="s">
        <v>35</v>
      </c>
      <c r="V132" t="s">
        <v>36</v>
      </c>
      <c r="W132" t="s">
        <v>37</v>
      </c>
      <c r="X132" s="2">
        <v>6316.0974339969162</v>
      </c>
      <c r="Y132" s="2">
        <v>5186.0249999999996</v>
      </c>
      <c r="Z132" s="2">
        <v>1130.072433996917</v>
      </c>
      <c r="AA132" s="3">
        <v>2.124595664592812E-2</v>
      </c>
      <c r="AB132" s="3">
        <v>0</v>
      </c>
      <c r="AC132" t="s">
        <v>38</v>
      </c>
    </row>
    <row r="133" spans="1:29" x14ac:dyDescent="0.3">
      <c r="A133" t="s">
        <v>325</v>
      </c>
      <c r="B133" t="s">
        <v>326</v>
      </c>
      <c r="C133" t="s">
        <v>41</v>
      </c>
      <c r="D133" s="2">
        <v>34400</v>
      </c>
      <c r="E133" s="3">
        <v>0.15</v>
      </c>
      <c r="F133" s="2">
        <v>5160</v>
      </c>
      <c r="G133" s="2">
        <v>29240</v>
      </c>
      <c r="H133" s="3">
        <v>0.18029999999999999</v>
      </c>
      <c r="I133">
        <v>9</v>
      </c>
      <c r="J133" s="3">
        <v>1.5025E-2</v>
      </c>
      <c r="K133" s="2">
        <v>3497.8134142524209</v>
      </c>
      <c r="L133" s="2">
        <v>31480.320728271789</v>
      </c>
      <c r="M133" s="2">
        <v>2240.3207282717922</v>
      </c>
      <c r="N133" s="2">
        <v>499</v>
      </c>
      <c r="O133" s="2">
        <v>1425.45</v>
      </c>
      <c r="P133" t="s">
        <v>32</v>
      </c>
      <c r="Q133" s="2">
        <v>0</v>
      </c>
      <c r="R133" s="2">
        <v>1313.8707282717919</v>
      </c>
      <c r="S133" t="s">
        <v>77</v>
      </c>
      <c r="T133" t="s">
        <v>58</v>
      </c>
      <c r="U133" t="s">
        <v>35</v>
      </c>
      <c r="V133" t="s">
        <v>63</v>
      </c>
      <c r="W133" t="s">
        <v>64</v>
      </c>
      <c r="X133" s="2">
        <v>2739.3207282717922</v>
      </c>
      <c r="Y133" s="2">
        <v>1425.45</v>
      </c>
      <c r="Z133" s="2">
        <v>1313.8707282717919</v>
      </c>
      <c r="AA133" s="3">
        <v>4.4934019434739812E-2</v>
      </c>
      <c r="AB133" s="3">
        <v>0</v>
      </c>
      <c r="AC133" t="s">
        <v>38</v>
      </c>
    </row>
    <row r="134" spans="1:29" x14ac:dyDescent="0.3">
      <c r="A134" t="s">
        <v>327</v>
      </c>
      <c r="B134" t="s">
        <v>328</v>
      </c>
      <c r="C134" t="s">
        <v>56</v>
      </c>
      <c r="D134" s="2">
        <v>415300</v>
      </c>
      <c r="E134" s="3">
        <v>0.2</v>
      </c>
      <c r="F134" s="2">
        <v>83060</v>
      </c>
      <c r="G134" s="2">
        <v>332240</v>
      </c>
      <c r="H134" s="3">
        <v>0.1011</v>
      </c>
      <c r="I134">
        <v>72</v>
      </c>
      <c r="J134" s="3">
        <v>8.4250000000000002E-3</v>
      </c>
      <c r="K134" s="2">
        <v>6173.4699877673766</v>
      </c>
      <c r="L134" s="2">
        <v>444489.83911925118</v>
      </c>
      <c r="M134" s="2">
        <v>112249.83911925121</v>
      </c>
      <c r="N134" s="2">
        <v>3322.4</v>
      </c>
      <c r="O134" s="2">
        <v>129573.6</v>
      </c>
      <c r="P134" t="s">
        <v>32</v>
      </c>
      <c r="Q134" s="2">
        <v>0</v>
      </c>
      <c r="R134" s="2">
        <v>-14001.360880748831</v>
      </c>
      <c r="S134" t="s">
        <v>77</v>
      </c>
      <c r="T134" t="s">
        <v>34</v>
      </c>
      <c r="U134" t="s">
        <v>151</v>
      </c>
      <c r="V134" t="s">
        <v>36</v>
      </c>
      <c r="W134" t="s">
        <v>49</v>
      </c>
      <c r="X134" s="2">
        <v>115572.2391192512</v>
      </c>
      <c r="Y134" s="2">
        <v>129573.6</v>
      </c>
      <c r="Z134" s="2">
        <v>-14001.360880748831</v>
      </c>
      <c r="AA134" s="3">
        <v>-4.2142309417134698E-2</v>
      </c>
      <c r="AB134" s="3">
        <v>0</v>
      </c>
      <c r="AC134" t="s">
        <v>38</v>
      </c>
    </row>
    <row r="135" spans="1:29" x14ac:dyDescent="0.3">
      <c r="A135" t="s">
        <v>329</v>
      </c>
      <c r="B135" t="s">
        <v>330</v>
      </c>
      <c r="C135" t="s">
        <v>41</v>
      </c>
      <c r="D135" s="2">
        <v>104800</v>
      </c>
      <c r="E135" s="3">
        <v>0.05</v>
      </c>
      <c r="F135" s="2">
        <v>5240</v>
      </c>
      <c r="G135" s="2">
        <v>99560</v>
      </c>
      <c r="H135" s="3">
        <v>0.1497</v>
      </c>
      <c r="I135">
        <v>36</v>
      </c>
      <c r="J135" s="3">
        <v>1.2475E-2</v>
      </c>
      <c r="K135" s="2">
        <v>3449.8176367730139</v>
      </c>
      <c r="L135" s="2">
        <v>124193.43492382851</v>
      </c>
      <c r="M135" s="2">
        <v>24633.434923828489</v>
      </c>
      <c r="N135" s="2">
        <v>995.6</v>
      </c>
      <c r="O135" s="2">
        <v>19414.2</v>
      </c>
      <c r="P135" t="s">
        <v>32</v>
      </c>
      <c r="Q135" s="2">
        <v>0</v>
      </c>
      <c r="R135" s="2">
        <v>6214.83492382849</v>
      </c>
      <c r="S135" t="s">
        <v>77</v>
      </c>
      <c r="T135" t="s">
        <v>34</v>
      </c>
      <c r="U135" t="s">
        <v>35</v>
      </c>
      <c r="V135" t="s">
        <v>36</v>
      </c>
      <c r="W135" t="s">
        <v>37</v>
      </c>
      <c r="X135" s="2">
        <v>25629.034923828491</v>
      </c>
      <c r="Y135" s="2">
        <v>19414.2</v>
      </c>
      <c r="Z135" s="2">
        <v>6214.83492382849</v>
      </c>
      <c r="AA135" s="3">
        <v>6.2423010484416327E-2</v>
      </c>
      <c r="AB135" s="3">
        <v>0</v>
      </c>
      <c r="AC135" t="s">
        <v>38</v>
      </c>
    </row>
    <row r="136" spans="1:29" x14ac:dyDescent="0.3">
      <c r="A136" t="s">
        <v>331</v>
      </c>
      <c r="B136" t="s">
        <v>332</v>
      </c>
      <c r="C136" t="s">
        <v>86</v>
      </c>
      <c r="D136" s="2">
        <v>15100</v>
      </c>
      <c r="E136" s="3">
        <v>0.05</v>
      </c>
      <c r="F136" s="2">
        <v>755</v>
      </c>
      <c r="G136" s="2">
        <v>14345</v>
      </c>
      <c r="H136" s="3">
        <v>0.2059</v>
      </c>
      <c r="I136">
        <v>24</v>
      </c>
      <c r="J136" s="3">
        <v>1.7158333333333331E-2</v>
      </c>
      <c r="K136" s="2">
        <v>734.24153130864397</v>
      </c>
      <c r="L136" s="2">
        <v>17621.796751407459</v>
      </c>
      <c r="M136" s="2">
        <v>3276.7967514074548</v>
      </c>
      <c r="N136" s="2">
        <v>499</v>
      </c>
      <c r="O136" s="2">
        <v>1864.85</v>
      </c>
      <c r="P136" t="s">
        <v>32</v>
      </c>
      <c r="Q136" s="2">
        <v>0</v>
      </c>
      <c r="R136" s="2">
        <v>1910.9467514074549</v>
      </c>
      <c r="S136" t="s">
        <v>33</v>
      </c>
      <c r="T136" t="s">
        <v>47</v>
      </c>
      <c r="U136" t="s">
        <v>35</v>
      </c>
      <c r="V136" t="s">
        <v>63</v>
      </c>
      <c r="W136" t="s">
        <v>37</v>
      </c>
      <c r="X136" s="2">
        <v>3775.7967514074548</v>
      </c>
      <c r="Y136" s="2">
        <v>1864.85</v>
      </c>
      <c r="Z136" s="2">
        <v>1910.9467514074549</v>
      </c>
      <c r="AA136" s="3">
        <v>0.1332134368356539</v>
      </c>
      <c r="AB136" s="3">
        <v>0</v>
      </c>
      <c r="AC136" t="s">
        <v>38</v>
      </c>
    </row>
    <row r="137" spans="1:29" x14ac:dyDescent="0.3">
      <c r="A137" t="s">
        <v>333</v>
      </c>
      <c r="B137" t="s">
        <v>334</v>
      </c>
      <c r="C137" t="s">
        <v>86</v>
      </c>
      <c r="D137" s="2">
        <v>12200</v>
      </c>
      <c r="E137" s="3">
        <v>0</v>
      </c>
      <c r="F137" s="2">
        <v>0</v>
      </c>
      <c r="G137" s="2">
        <v>12200</v>
      </c>
      <c r="H137" s="3">
        <v>0.21970000000000001</v>
      </c>
      <c r="I137">
        <v>3</v>
      </c>
      <c r="J137" s="3">
        <v>1.8308333333333329E-2</v>
      </c>
      <c r="K137" s="2">
        <v>4216.4749274253627</v>
      </c>
      <c r="L137" s="2">
        <v>12649.42478227609</v>
      </c>
      <c r="M137" s="2">
        <v>449.42478227608808</v>
      </c>
      <c r="N137" s="2">
        <v>499</v>
      </c>
      <c r="O137" s="2">
        <v>198.25</v>
      </c>
      <c r="P137" t="s">
        <v>52</v>
      </c>
      <c r="Q137" s="2">
        <v>0</v>
      </c>
      <c r="R137" s="2">
        <v>750.17478227608808</v>
      </c>
      <c r="S137" t="s">
        <v>43</v>
      </c>
      <c r="T137" t="s">
        <v>107</v>
      </c>
      <c r="U137" t="s">
        <v>35</v>
      </c>
      <c r="V137" t="s">
        <v>63</v>
      </c>
      <c r="W137" t="s">
        <v>64</v>
      </c>
      <c r="X137" s="2">
        <v>948.42478227608808</v>
      </c>
      <c r="Y137" s="2">
        <v>198.25</v>
      </c>
      <c r="Z137" s="2">
        <v>750.17478227608808</v>
      </c>
      <c r="AA137" s="3">
        <v>6.1489736252138369E-2</v>
      </c>
      <c r="AB137" s="3">
        <v>0</v>
      </c>
      <c r="AC137" t="s">
        <v>38</v>
      </c>
    </row>
    <row r="138" spans="1:29" x14ac:dyDescent="0.3">
      <c r="A138" t="s">
        <v>335</v>
      </c>
      <c r="B138" t="s">
        <v>336</v>
      </c>
      <c r="C138" t="s">
        <v>41</v>
      </c>
      <c r="D138" s="2">
        <v>108800</v>
      </c>
      <c r="E138" s="3">
        <v>0.15</v>
      </c>
      <c r="F138" s="2">
        <v>16320</v>
      </c>
      <c r="G138" s="2">
        <v>92480</v>
      </c>
      <c r="H138" s="3">
        <v>0.17949999999999999</v>
      </c>
      <c r="I138">
        <v>24</v>
      </c>
      <c r="J138" s="3">
        <v>1.495833333333333E-2</v>
      </c>
      <c r="K138" s="2">
        <v>4614.7470458079706</v>
      </c>
      <c r="L138" s="2">
        <v>110753.9290993913</v>
      </c>
      <c r="M138" s="2">
        <v>18273.929099391298</v>
      </c>
      <c r="N138" s="2">
        <v>924.80000000000007</v>
      </c>
      <c r="O138" s="2">
        <v>12022.4</v>
      </c>
      <c r="P138" t="s">
        <v>32</v>
      </c>
      <c r="Q138" s="2">
        <v>0</v>
      </c>
      <c r="R138" s="2">
        <v>7176.3290993913006</v>
      </c>
      <c r="S138" t="s">
        <v>43</v>
      </c>
      <c r="T138" t="s">
        <v>107</v>
      </c>
      <c r="U138" t="s">
        <v>35</v>
      </c>
      <c r="V138" t="s">
        <v>63</v>
      </c>
      <c r="W138" t="s">
        <v>37</v>
      </c>
      <c r="X138" s="2">
        <v>19198.729099391301</v>
      </c>
      <c r="Y138" s="2">
        <v>12022.4</v>
      </c>
      <c r="Z138" s="2">
        <v>7176.3290993913006</v>
      </c>
      <c r="AA138" s="3">
        <v>7.7598714310027045E-2</v>
      </c>
      <c r="AB138" s="3">
        <v>0</v>
      </c>
      <c r="AC138" t="s">
        <v>38</v>
      </c>
    </row>
    <row r="139" spans="1:29" x14ac:dyDescent="0.3">
      <c r="A139" t="s">
        <v>337</v>
      </c>
      <c r="B139" t="s">
        <v>338</v>
      </c>
      <c r="C139" t="s">
        <v>31</v>
      </c>
      <c r="D139" s="2">
        <v>260100</v>
      </c>
      <c r="E139" s="3">
        <v>0.05</v>
      </c>
      <c r="F139" s="2">
        <v>13005</v>
      </c>
      <c r="G139" s="2">
        <v>247095</v>
      </c>
      <c r="H139" s="3">
        <v>0.14929999999999999</v>
      </c>
      <c r="I139">
        <v>36</v>
      </c>
      <c r="J139" s="3">
        <v>1.244166666666667E-2</v>
      </c>
      <c r="K139" s="2">
        <v>8557.1615294341482</v>
      </c>
      <c r="L139" s="2">
        <v>308057.81505962933</v>
      </c>
      <c r="M139" s="2">
        <v>60962.815059629327</v>
      </c>
      <c r="N139" s="2">
        <v>2470.9499999999998</v>
      </c>
      <c r="O139" s="2">
        <v>48183.525000000001</v>
      </c>
      <c r="P139" t="s">
        <v>32</v>
      </c>
      <c r="Q139" s="2">
        <v>0</v>
      </c>
      <c r="R139" s="2">
        <v>15250.240059629319</v>
      </c>
      <c r="S139" t="s">
        <v>43</v>
      </c>
      <c r="T139" t="s">
        <v>116</v>
      </c>
      <c r="U139" t="s">
        <v>48</v>
      </c>
      <c r="V139" t="s">
        <v>36</v>
      </c>
      <c r="W139" t="s">
        <v>37</v>
      </c>
      <c r="X139" s="2">
        <v>63433.765059629317</v>
      </c>
      <c r="Y139" s="2">
        <v>48183.525000000001</v>
      </c>
      <c r="Z139" s="2">
        <v>15250.240059629319</v>
      </c>
      <c r="AA139" s="3">
        <v>6.1718124849265761E-2</v>
      </c>
      <c r="AB139" s="3">
        <v>0</v>
      </c>
      <c r="AC139" t="s">
        <v>38</v>
      </c>
    </row>
    <row r="140" spans="1:29" x14ac:dyDescent="0.3">
      <c r="A140" t="s">
        <v>339</v>
      </c>
      <c r="B140" t="s">
        <v>340</v>
      </c>
      <c r="C140" t="s">
        <v>41</v>
      </c>
      <c r="D140" s="2">
        <v>54500</v>
      </c>
      <c r="E140" s="3">
        <v>0.1</v>
      </c>
      <c r="F140" s="2">
        <v>5450</v>
      </c>
      <c r="G140" s="2">
        <v>49050</v>
      </c>
      <c r="H140" s="3">
        <v>0.14899999999999999</v>
      </c>
      <c r="I140">
        <v>36</v>
      </c>
      <c r="J140" s="3">
        <v>1.241666666666667E-2</v>
      </c>
      <c r="K140" s="2">
        <v>1697.9333464625799</v>
      </c>
      <c r="L140" s="2">
        <v>61125.600472652877</v>
      </c>
      <c r="M140" s="2">
        <v>12075.600472652881</v>
      </c>
      <c r="N140" s="2">
        <v>499</v>
      </c>
      <c r="O140" s="2">
        <v>9564.75</v>
      </c>
      <c r="P140" t="s">
        <v>32</v>
      </c>
      <c r="Q140" s="2">
        <v>0</v>
      </c>
      <c r="R140" s="2">
        <v>3009.8504726528772</v>
      </c>
      <c r="S140" t="s">
        <v>77</v>
      </c>
      <c r="T140" t="s">
        <v>62</v>
      </c>
      <c r="U140" t="s">
        <v>35</v>
      </c>
      <c r="V140" t="s">
        <v>36</v>
      </c>
      <c r="W140" t="s">
        <v>37</v>
      </c>
      <c r="X140" s="2">
        <v>12574.600472652881</v>
      </c>
      <c r="Y140" s="2">
        <v>9564.75</v>
      </c>
      <c r="Z140" s="2">
        <v>3009.8504726528772</v>
      </c>
      <c r="AA140" s="3">
        <v>6.1362904641241132E-2</v>
      </c>
      <c r="AB140" s="3">
        <v>0</v>
      </c>
      <c r="AC140" t="s">
        <v>38</v>
      </c>
    </row>
    <row r="141" spans="1:29" x14ac:dyDescent="0.3">
      <c r="A141" t="s">
        <v>341</v>
      </c>
      <c r="B141" t="s">
        <v>342</v>
      </c>
      <c r="C141" t="s">
        <v>41</v>
      </c>
      <c r="D141" s="2">
        <v>48700</v>
      </c>
      <c r="E141" s="3">
        <v>0</v>
      </c>
      <c r="F141" s="2">
        <v>0</v>
      </c>
      <c r="G141" s="2">
        <v>48700</v>
      </c>
      <c r="H141" s="3">
        <v>0.1298</v>
      </c>
      <c r="I141">
        <v>18</v>
      </c>
      <c r="J141" s="3">
        <v>1.0816666666666671E-2</v>
      </c>
      <c r="K141" s="2">
        <v>2992.043365604904</v>
      </c>
      <c r="L141" s="2">
        <v>53856.780580888269</v>
      </c>
      <c r="M141" s="2">
        <v>5156.7805808882686</v>
      </c>
      <c r="N141" s="2">
        <v>499</v>
      </c>
      <c r="O141" s="2">
        <v>4748.25</v>
      </c>
      <c r="P141" t="s">
        <v>32</v>
      </c>
      <c r="Q141" s="2">
        <v>0</v>
      </c>
      <c r="R141" s="2">
        <v>907.53058088826947</v>
      </c>
      <c r="S141" t="s">
        <v>33</v>
      </c>
      <c r="T141" t="s">
        <v>62</v>
      </c>
      <c r="U141" t="s">
        <v>35</v>
      </c>
      <c r="V141" t="s">
        <v>36</v>
      </c>
      <c r="W141" t="s">
        <v>37</v>
      </c>
      <c r="X141" s="2">
        <v>5655.7805808882686</v>
      </c>
      <c r="Y141" s="2">
        <v>4748.25</v>
      </c>
      <c r="Z141" s="2">
        <v>907.53058088826947</v>
      </c>
      <c r="AA141" s="3">
        <v>1.8635124864235509E-2</v>
      </c>
      <c r="AB141" s="3">
        <v>0</v>
      </c>
      <c r="AC141" t="s">
        <v>38</v>
      </c>
    </row>
    <row r="142" spans="1:29" x14ac:dyDescent="0.3">
      <c r="A142" t="s">
        <v>343</v>
      </c>
      <c r="B142" t="s">
        <v>344</v>
      </c>
      <c r="C142" t="s">
        <v>56</v>
      </c>
      <c r="D142" s="2">
        <v>667900</v>
      </c>
      <c r="E142" s="3">
        <v>0.15</v>
      </c>
      <c r="F142" s="2">
        <v>100185</v>
      </c>
      <c r="G142" s="2">
        <v>567715</v>
      </c>
      <c r="H142" s="3">
        <v>8.8800000000000004E-2</v>
      </c>
      <c r="I142">
        <v>84</v>
      </c>
      <c r="J142" s="3">
        <v>7.4000000000000003E-3</v>
      </c>
      <c r="K142" s="2">
        <v>9099.4750114221661</v>
      </c>
      <c r="L142" s="2">
        <v>764355.90095946193</v>
      </c>
      <c r="M142" s="2">
        <v>196640.9009594619</v>
      </c>
      <c r="N142" s="2">
        <v>5677.1500000000005</v>
      </c>
      <c r="O142" s="2">
        <v>258310.32500000001</v>
      </c>
      <c r="P142" t="s">
        <v>52</v>
      </c>
      <c r="Q142" s="2">
        <v>0</v>
      </c>
      <c r="R142" s="2">
        <v>-55992.274040538061</v>
      </c>
      <c r="S142" t="s">
        <v>43</v>
      </c>
      <c r="T142" t="s">
        <v>34</v>
      </c>
      <c r="U142" t="s">
        <v>59</v>
      </c>
      <c r="V142" t="s">
        <v>71</v>
      </c>
      <c r="W142" t="s">
        <v>49</v>
      </c>
      <c r="X142" s="2">
        <v>202318.05095946189</v>
      </c>
      <c r="Y142" s="2">
        <v>258310.32500000001</v>
      </c>
      <c r="Z142" s="2">
        <v>-55992.274040538061</v>
      </c>
      <c r="AA142" s="3">
        <v>-9.8627434611623904E-2</v>
      </c>
      <c r="AB142" s="3">
        <v>0</v>
      </c>
      <c r="AC142" t="s">
        <v>38</v>
      </c>
    </row>
    <row r="143" spans="1:29" x14ac:dyDescent="0.3">
      <c r="A143" t="s">
        <v>345</v>
      </c>
      <c r="B143" t="s">
        <v>346</v>
      </c>
      <c r="C143" t="s">
        <v>86</v>
      </c>
      <c r="D143" s="2">
        <v>105400</v>
      </c>
      <c r="E143" s="3">
        <v>0.15</v>
      </c>
      <c r="F143" s="2">
        <v>15810</v>
      </c>
      <c r="G143" s="2">
        <v>89590</v>
      </c>
      <c r="H143" s="3">
        <v>0.1663</v>
      </c>
      <c r="I143">
        <v>6</v>
      </c>
      <c r="J143" s="3">
        <v>1.385833333333333E-2</v>
      </c>
      <c r="K143" s="2">
        <v>15664.220378165501</v>
      </c>
      <c r="L143" s="2">
        <v>93985.322268992968</v>
      </c>
      <c r="M143" s="2">
        <v>4395.322268992968</v>
      </c>
      <c r="N143" s="2">
        <v>895.9</v>
      </c>
      <c r="O143" s="2">
        <v>2911.6750000000002</v>
      </c>
      <c r="P143" t="s">
        <v>42</v>
      </c>
      <c r="Q143" s="2">
        <v>35836</v>
      </c>
      <c r="R143" s="2">
        <v>-33456.452731007033</v>
      </c>
      <c r="S143" t="s">
        <v>43</v>
      </c>
      <c r="T143" t="s">
        <v>47</v>
      </c>
      <c r="U143" t="s">
        <v>35</v>
      </c>
      <c r="V143" t="s">
        <v>63</v>
      </c>
      <c r="W143" t="s">
        <v>64</v>
      </c>
      <c r="X143" s="2">
        <v>5291.2222689929677</v>
      </c>
      <c r="Y143" s="2">
        <v>38747.675000000003</v>
      </c>
      <c r="Z143" s="2">
        <v>-33456.452731007033</v>
      </c>
      <c r="AA143" s="3">
        <v>-0.37343958846977382</v>
      </c>
      <c r="AB143" s="3">
        <v>0.4</v>
      </c>
      <c r="AC143" t="s">
        <v>38</v>
      </c>
    </row>
    <row r="144" spans="1:29" x14ac:dyDescent="0.3">
      <c r="A144" t="s">
        <v>347</v>
      </c>
      <c r="B144" t="s">
        <v>348</v>
      </c>
      <c r="C144" t="s">
        <v>41</v>
      </c>
      <c r="D144" s="2">
        <v>124800</v>
      </c>
      <c r="E144" s="3">
        <v>0.05</v>
      </c>
      <c r="F144" s="2">
        <v>6240</v>
      </c>
      <c r="G144" s="2">
        <v>118560</v>
      </c>
      <c r="H144" s="3">
        <v>0.1288</v>
      </c>
      <c r="I144">
        <v>6</v>
      </c>
      <c r="J144" s="3">
        <v>1.0733333333333331E-2</v>
      </c>
      <c r="K144" s="2">
        <v>20508.921105660022</v>
      </c>
      <c r="L144" s="2">
        <v>123053.52663396009</v>
      </c>
      <c r="M144" s="2">
        <v>4493.5266339601076</v>
      </c>
      <c r="N144" s="2">
        <v>1185.5999999999999</v>
      </c>
      <c r="O144" s="2">
        <v>3853.2</v>
      </c>
      <c r="P144" t="s">
        <v>42</v>
      </c>
      <c r="Q144" s="2">
        <v>47424</v>
      </c>
      <c r="R144" s="2">
        <v>-45598.073366039891</v>
      </c>
      <c r="S144" t="s">
        <v>43</v>
      </c>
      <c r="T144" t="s">
        <v>34</v>
      </c>
      <c r="U144" t="s">
        <v>48</v>
      </c>
      <c r="V144" t="s">
        <v>36</v>
      </c>
      <c r="W144" t="s">
        <v>64</v>
      </c>
      <c r="X144" s="2">
        <v>5679.1266339601079</v>
      </c>
      <c r="Y144" s="2">
        <v>51277.2</v>
      </c>
      <c r="Z144" s="2">
        <v>-45598.073366039891</v>
      </c>
      <c r="AA144" s="3">
        <v>-0.38459913432894638</v>
      </c>
      <c r="AB144" s="3">
        <v>0.4</v>
      </c>
      <c r="AC144" t="s">
        <v>38</v>
      </c>
    </row>
    <row r="145" spans="1:29" x14ac:dyDescent="0.3">
      <c r="A145" t="s">
        <v>349</v>
      </c>
      <c r="B145" t="s">
        <v>350</v>
      </c>
      <c r="C145" t="s">
        <v>41</v>
      </c>
      <c r="D145" s="2">
        <v>46800</v>
      </c>
      <c r="E145" s="3">
        <v>0.15</v>
      </c>
      <c r="F145" s="2">
        <v>7020</v>
      </c>
      <c r="G145" s="2">
        <v>39780</v>
      </c>
      <c r="H145" s="3">
        <v>0.1242</v>
      </c>
      <c r="I145">
        <v>36</v>
      </c>
      <c r="J145" s="3">
        <v>1.035E-2</v>
      </c>
      <c r="K145" s="2">
        <v>1329.25932494987</v>
      </c>
      <c r="L145" s="2">
        <v>47853.335698195311</v>
      </c>
      <c r="M145" s="2">
        <v>8073.3356981953111</v>
      </c>
      <c r="N145" s="2">
        <v>499</v>
      </c>
      <c r="O145" s="2">
        <v>7757.1</v>
      </c>
      <c r="P145" t="s">
        <v>32</v>
      </c>
      <c r="Q145" s="2">
        <v>0</v>
      </c>
      <c r="R145" s="2">
        <v>815.23569819531076</v>
      </c>
      <c r="S145" t="s">
        <v>33</v>
      </c>
      <c r="T145" t="s">
        <v>116</v>
      </c>
      <c r="U145" t="s">
        <v>35</v>
      </c>
      <c r="V145" t="s">
        <v>36</v>
      </c>
      <c r="W145" t="s">
        <v>37</v>
      </c>
      <c r="X145" s="2">
        <v>8572.3356981953111</v>
      </c>
      <c r="Y145" s="2">
        <v>7757.1</v>
      </c>
      <c r="Z145" s="2">
        <v>815.23569819531076</v>
      </c>
      <c r="AA145" s="3">
        <v>2.0493607295005298E-2</v>
      </c>
      <c r="AB145" s="3">
        <v>0</v>
      </c>
      <c r="AC145" t="s">
        <v>38</v>
      </c>
    </row>
    <row r="146" spans="1:29" x14ac:dyDescent="0.3">
      <c r="A146" t="s">
        <v>351</v>
      </c>
      <c r="B146" t="s">
        <v>352</v>
      </c>
      <c r="C146" t="s">
        <v>41</v>
      </c>
      <c r="D146" s="2">
        <v>70300</v>
      </c>
      <c r="E146" s="3">
        <v>0.2</v>
      </c>
      <c r="F146" s="2">
        <v>14060</v>
      </c>
      <c r="G146" s="2">
        <v>56240</v>
      </c>
      <c r="H146" s="3">
        <v>0.16750000000000001</v>
      </c>
      <c r="I146">
        <v>18</v>
      </c>
      <c r="J146" s="3">
        <v>1.395833333333333E-2</v>
      </c>
      <c r="K146" s="2">
        <v>3555.0141377982709</v>
      </c>
      <c r="L146" s="2">
        <v>63990.254480368887</v>
      </c>
      <c r="M146" s="2">
        <v>7750.254480368887</v>
      </c>
      <c r="N146" s="2">
        <v>562.4</v>
      </c>
      <c r="O146" s="2">
        <v>5483.4</v>
      </c>
      <c r="P146" t="s">
        <v>52</v>
      </c>
      <c r="Q146" s="2">
        <v>0</v>
      </c>
      <c r="R146" s="2">
        <v>2829.254480368887</v>
      </c>
      <c r="S146" t="s">
        <v>33</v>
      </c>
      <c r="T146" t="s">
        <v>44</v>
      </c>
      <c r="U146" t="s">
        <v>35</v>
      </c>
      <c r="V146" t="s">
        <v>63</v>
      </c>
      <c r="W146" t="s">
        <v>37</v>
      </c>
      <c r="X146" s="2">
        <v>8312.6544803688867</v>
      </c>
      <c r="Y146" s="2">
        <v>5483.4</v>
      </c>
      <c r="Z146" s="2">
        <v>2829.254480368887</v>
      </c>
      <c r="AA146" s="3">
        <v>5.0306800860044222E-2</v>
      </c>
      <c r="AB146" s="3">
        <v>0</v>
      </c>
      <c r="AC146" t="s">
        <v>38</v>
      </c>
    </row>
    <row r="147" spans="1:29" x14ac:dyDescent="0.3">
      <c r="A147" t="s">
        <v>353</v>
      </c>
      <c r="B147" t="s">
        <v>354</v>
      </c>
      <c r="C147" t="s">
        <v>56</v>
      </c>
      <c r="D147" s="2">
        <v>1353700</v>
      </c>
      <c r="E147" s="3">
        <v>0.1</v>
      </c>
      <c r="F147" s="2">
        <v>135370</v>
      </c>
      <c r="G147" s="2">
        <v>1218330</v>
      </c>
      <c r="H147" s="3">
        <v>0.10059999999999999</v>
      </c>
      <c r="I147">
        <v>72</v>
      </c>
      <c r="J147" s="3">
        <v>8.3833333333333329E-3</v>
      </c>
      <c r="K147" s="2">
        <v>22607.46425533294</v>
      </c>
      <c r="L147" s="2">
        <v>1627737.4263839719</v>
      </c>
      <c r="M147" s="2">
        <v>409407.4263839717</v>
      </c>
      <c r="N147" s="2">
        <v>12183.3</v>
      </c>
      <c r="O147" s="2">
        <v>475148.7</v>
      </c>
      <c r="P147" t="s">
        <v>52</v>
      </c>
      <c r="Q147" s="2">
        <v>0</v>
      </c>
      <c r="R147" s="2">
        <v>-53557.973616028263</v>
      </c>
      <c r="S147" t="s">
        <v>57</v>
      </c>
      <c r="T147" t="s">
        <v>107</v>
      </c>
      <c r="U147" t="s">
        <v>59</v>
      </c>
      <c r="V147" t="s">
        <v>36</v>
      </c>
      <c r="W147" t="s">
        <v>49</v>
      </c>
      <c r="X147" s="2">
        <v>421590.72638397169</v>
      </c>
      <c r="Y147" s="2">
        <v>475148.7</v>
      </c>
      <c r="Z147" s="2">
        <v>-53557.973616028263</v>
      </c>
      <c r="AA147" s="3">
        <v>-4.3960153337788833E-2</v>
      </c>
      <c r="AB147" s="3">
        <v>0</v>
      </c>
      <c r="AC147" t="s">
        <v>38</v>
      </c>
    </row>
    <row r="148" spans="1:29" x14ac:dyDescent="0.3">
      <c r="A148" t="s">
        <v>355</v>
      </c>
      <c r="B148" t="s">
        <v>356</v>
      </c>
      <c r="C148" t="s">
        <v>41</v>
      </c>
      <c r="D148" s="2">
        <v>38500</v>
      </c>
      <c r="E148" s="3">
        <v>0</v>
      </c>
      <c r="F148" s="2">
        <v>0</v>
      </c>
      <c r="G148" s="2">
        <v>38500</v>
      </c>
      <c r="H148" s="3">
        <v>0.17699999999999999</v>
      </c>
      <c r="I148">
        <v>18</v>
      </c>
      <c r="J148" s="3">
        <v>1.4749999999999999E-2</v>
      </c>
      <c r="K148" s="2">
        <v>2451.0202576040751</v>
      </c>
      <c r="L148" s="2">
        <v>44118.364636873353</v>
      </c>
      <c r="M148" s="2">
        <v>5618.3646368733534</v>
      </c>
      <c r="N148" s="2">
        <v>499</v>
      </c>
      <c r="O148" s="2">
        <v>3753.75</v>
      </c>
      <c r="P148" t="s">
        <v>32</v>
      </c>
      <c r="Q148" s="2">
        <v>0</v>
      </c>
      <c r="R148" s="2">
        <v>2363.614636873353</v>
      </c>
      <c r="S148" t="s">
        <v>77</v>
      </c>
      <c r="T148" t="s">
        <v>34</v>
      </c>
      <c r="U148" t="s">
        <v>35</v>
      </c>
      <c r="V148" t="s">
        <v>63</v>
      </c>
      <c r="W148" t="s">
        <v>37</v>
      </c>
      <c r="X148" s="2">
        <v>6117.3646368733534</v>
      </c>
      <c r="Y148" s="2">
        <v>3753.75</v>
      </c>
      <c r="Z148" s="2">
        <v>2363.614636873353</v>
      </c>
      <c r="AA148" s="3">
        <v>6.1392587970736448E-2</v>
      </c>
      <c r="AB148" s="3">
        <v>0</v>
      </c>
      <c r="AC148" t="s">
        <v>38</v>
      </c>
    </row>
    <row r="149" spans="1:29" x14ac:dyDescent="0.3">
      <c r="A149" t="s">
        <v>357</v>
      </c>
      <c r="B149" t="s">
        <v>358</v>
      </c>
      <c r="C149" t="s">
        <v>86</v>
      </c>
      <c r="D149" s="2">
        <v>22100</v>
      </c>
      <c r="E149" s="3">
        <v>0.15</v>
      </c>
      <c r="F149" s="2">
        <v>3315</v>
      </c>
      <c r="G149" s="2">
        <v>18785</v>
      </c>
      <c r="H149" s="3">
        <v>0.18990000000000001</v>
      </c>
      <c r="I149">
        <v>18</v>
      </c>
      <c r="J149" s="3">
        <v>1.5824999999999999E-2</v>
      </c>
      <c r="K149" s="2">
        <v>1207.4753416615511</v>
      </c>
      <c r="L149" s="2">
        <v>21734.556149907919</v>
      </c>
      <c r="M149" s="2">
        <v>2949.556149907919</v>
      </c>
      <c r="N149" s="2">
        <v>499</v>
      </c>
      <c r="O149" s="2">
        <v>1831.5374999999999</v>
      </c>
      <c r="P149" t="s">
        <v>32</v>
      </c>
      <c r="Q149" s="2">
        <v>0</v>
      </c>
      <c r="R149" s="2">
        <v>1617.0186499079191</v>
      </c>
      <c r="S149" t="s">
        <v>57</v>
      </c>
      <c r="T149" t="s">
        <v>34</v>
      </c>
      <c r="U149" t="s">
        <v>35</v>
      </c>
      <c r="V149" t="s">
        <v>63</v>
      </c>
      <c r="W149" t="s">
        <v>37</v>
      </c>
      <c r="X149" s="2">
        <v>3448.556149907919</v>
      </c>
      <c r="Y149" s="2">
        <v>1831.5374999999999</v>
      </c>
      <c r="Z149" s="2">
        <v>1617.0186499079191</v>
      </c>
      <c r="AA149" s="3">
        <v>8.6080311413783306E-2</v>
      </c>
      <c r="AB149" s="3">
        <v>0</v>
      </c>
      <c r="AC149" t="s">
        <v>38</v>
      </c>
    </row>
    <row r="150" spans="1:29" x14ac:dyDescent="0.3">
      <c r="A150" t="s">
        <v>359</v>
      </c>
      <c r="B150" t="s">
        <v>360</v>
      </c>
      <c r="C150" t="s">
        <v>41</v>
      </c>
      <c r="D150" s="2">
        <v>81700</v>
      </c>
      <c r="E150" s="3">
        <v>0</v>
      </c>
      <c r="F150" s="2">
        <v>0</v>
      </c>
      <c r="G150" s="2">
        <v>81700</v>
      </c>
      <c r="H150" s="3">
        <v>0.16839999999999999</v>
      </c>
      <c r="I150">
        <v>6</v>
      </c>
      <c r="J150" s="3">
        <v>1.403333333333333E-2</v>
      </c>
      <c r="K150" s="2">
        <v>14293.237949180089</v>
      </c>
      <c r="L150" s="2">
        <v>85759.427695080522</v>
      </c>
      <c r="M150" s="2">
        <v>4059.427695080522</v>
      </c>
      <c r="N150" s="2">
        <v>817</v>
      </c>
      <c r="O150" s="2">
        <v>2655.25</v>
      </c>
      <c r="P150" t="s">
        <v>32</v>
      </c>
      <c r="Q150" s="2">
        <v>0</v>
      </c>
      <c r="R150" s="2">
        <v>2221.177695080522</v>
      </c>
      <c r="S150" t="s">
        <v>43</v>
      </c>
      <c r="T150" t="s">
        <v>107</v>
      </c>
      <c r="U150" t="s">
        <v>35</v>
      </c>
      <c r="V150" t="s">
        <v>63</v>
      </c>
      <c r="W150" t="s">
        <v>64</v>
      </c>
      <c r="X150" s="2">
        <v>4876.4276950805224</v>
      </c>
      <c r="Y150" s="2">
        <v>2655.25</v>
      </c>
      <c r="Z150" s="2">
        <v>2221.177695080522</v>
      </c>
      <c r="AA150" s="3">
        <v>2.7186997491805649E-2</v>
      </c>
      <c r="AB150" s="3">
        <v>0</v>
      </c>
      <c r="AC150" t="s">
        <v>38</v>
      </c>
    </row>
    <row r="151" spans="1:29" x14ac:dyDescent="0.3">
      <c r="A151" t="s">
        <v>361</v>
      </c>
      <c r="B151" t="s">
        <v>362</v>
      </c>
      <c r="C151" t="s">
        <v>41</v>
      </c>
      <c r="D151" s="2">
        <v>53600</v>
      </c>
      <c r="E151" s="3">
        <v>0.15</v>
      </c>
      <c r="F151" s="2">
        <v>8040</v>
      </c>
      <c r="G151" s="2">
        <v>45560</v>
      </c>
      <c r="H151" s="3">
        <v>0.14710000000000001</v>
      </c>
      <c r="I151">
        <v>18</v>
      </c>
      <c r="J151" s="3">
        <v>1.2258333333333329E-2</v>
      </c>
      <c r="K151" s="2">
        <v>2836.0366680872598</v>
      </c>
      <c r="L151" s="2">
        <v>51048.660025570687</v>
      </c>
      <c r="M151" s="2">
        <v>5488.6600255706871</v>
      </c>
      <c r="N151" s="2">
        <v>499</v>
      </c>
      <c r="O151" s="2">
        <v>4442.1000000000004</v>
      </c>
      <c r="P151" t="s">
        <v>32</v>
      </c>
      <c r="Q151" s="2">
        <v>0</v>
      </c>
      <c r="R151" s="2">
        <v>1545.560025570687</v>
      </c>
      <c r="S151" t="s">
        <v>33</v>
      </c>
      <c r="T151" t="s">
        <v>53</v>
      </c>
      <c r="U151" t="s">
        <v>35</v>
      </c>
      <c r="V151" t="s">
        <v>36</v>
      </c>
      <c r="W151" t="s">
        <v>37</v>
      </c>
      <c r="X151" s="2">
        <v>5987.6600255706871</v>
      </c>
      <c r="Y151" s="2">
        <v>4442.1000000000004</v>
      </c>
      <c r="Z151" s="2">
        <v>1545.560025570687</v>
      </c>
      <c r="AA151" s="3">
        <v>3.3923617769330262E-2</v>
      </c>
      <c r="AB151" s="3">
        <v>0</v>
      </c>
      <c r="AC151" t="s">
        <v>38</v>
      </c>
    </row>
    <row r="152" spans="1:29" x14ac:dyDescent="0.3">
      <c r="A152" t="s">
        <v>363</v>
      </c>
      <c r="B152" t="s">
        <v>364</v>
      </c>
      <c r="C152" t="s">
        <v>41</v>
      </c>
      <c r="D152" s="2">
        <v>108100</v>
      </c>
      <c r="E152" s="3">
        <v>0.15</v>
      </c>
      <c r="F152" s="2">
        <v>16215</v>
      </c>
      <c r="G152" s="2">
        <v>91885</v>
      </c>
      <c r="H152" s="3">
        <v>0.14990000000000001</v>
      </c>
      <c r="I152">
        <v>9</v>
      </c>
      <c r="J152" s="3">
        <v>1.249166666666667E-2</v>
      </c>
      <c r="K152" s="2">
        <v>10857.661981575169</v>
      </c>
      <c r="L152" s="2">
        <v>97718.957834176501</v>
      </c>
      <c r="M152" s="2">
        <v>5833.9578341765009</v>
      </c>
      <c r="N152" s="2">
        <v>918.85</v>
      </c>
      <c r="O152" s="2">
        <v>4479.3937500000002</v>
      </c>
      <c r="P152" t="s">
        <v>52</v>
      </c>
      <c r="Q152" s="2">
        <v>0</v>
      </c>
      <c r="R152" s="2">
        <v>2273.4140841765011</v>
      </c>
      <c r="S152" t="s">
        <v>33</v>
      </c>
      <c r="T152" t="s">
        <v>58</v>
      </c>
      <c r="U152" t="s">
        <v>35</v>
      </c>
      <c r="V152" t="s">
        <v>36</v>
      </c>
      <c r="W152" t="s">
        <v>64</v>
      </c>
      <c r="X152" s="2">
        <v>6752.8078341765013</v>
      </c>
      <c r="Y152" s="2">
        <v>4479.3937500000002</v>
      </c>
      <c r="Z152" s="2">
        <v>2273.4140841765011</v>
      </c>
      <c r="AA152" s="3">
        <v>2.474195009170704E-2</v>
      </c>
      <c r="AB152" s="3">
        <v>0</v>
      </c>
      <c r="AC152" t="s">
        <v>38</v>
      </c>
    </row>
    <row r="153" spans="1:29" x14ac:dyDescent="0.3">
      <c r="A153" t="s">
        <v>365</v>
      </c>
      <c r="B153" t="s">
        <v>366</v>
      </c>
      <c r="C153" t="s">
        <v>41</v>
      </c>
      <c r="D153" s="2">
        <v>118100</v>
      </c>
      <c r="E153" s="3">
        <v>0.2</v>
      </c>
      <c r="F153" s="2">
        <v>23620</v>
      </c>
      <c r="G153" s="2">
        <v>94480</v>
      </c>
      <c r="H153" s="3">
        <v>0.14979999999999999</v>
      </c>
      <c r="I153">
        <v>9</v>
      </c>
      <c r="J153" s="3">
        <v>1.2483333333333331E-2</v>
      </c>
      <c r="K153" s="2">
        <v>11163.85032842683</v>
      </c>
      <c r="L153" s="2">
        <v>100474.65295584151</v>
      </c>
      <c r="M153" s="2">
        <v>5994.6529558414768</v>
      </c>
      <c r="N153" s="2">
        <v>944.80000000000007</v>
      </c>
      <c r="O153" s="2">
        <v>4605.8999999999996</v>
      </c>
      <c r="P153" t="s">
        <v>42</v>
      </c>
      <c r="Q153" s="2">
        <v>37792</v>
      </c>
      <c r="R153" s="2">
        <v>-35458.447044158522</v>
      </c>
      <c r="S153" t="s">
        <v>77</v>
      </c>
      <c r="T153" t="s">
        <v>67</v>
      </c>
      <c r="U153" t="s">
        <v>35</v>
      </c>
      <c r="V153" t="s">
        <v>36</v>
      </c>
      <c r="W153" t="s">
        <v>64</v>
      </c>
      <c r="X153" s="2">
        <v>6939.452955841477</v>
      </c>
      <c r="Y153" s="2">
        <v>42397.9</v>
      </c>
      <c r="Z153" s="2">
        <v>-35458.447044158522</v>
      </c>
      <c r="AA153" s="3">
        <v>-0.37530109064520029</v>
      </c>
      <c r="AB153" s="3">
        <v>0.4</v>
      </c>
      <c r="AC153" t="s">
        <v>38</v>
      </c>
    </row>
    <row r="154" spans="1:29" x14ac:dyDescent="0.3">
      <c r="A154" t="s">
        <v>367</v>
      </c>
      <c r="B154" t="s">
        <v>368</v>
      </c>
      <c r="C154" t="s">
        <v>86</v>
      </c>
      <c r="D154" s="2">
        <v>47600</v>
      </c>
      <c r="E154" s="3">
        <v>0.2</v>
      </c>
      <c r="F154" s="2">
        <v>9520</v>
      </c>
      <c r="G154" s="2">
        <v>38080</v>
      </c>
      <c r="H154" s="3">
        <v>0.19320000000000001</v>
      </c>
      <c r="I154">
        <v>12</v>
      </c>
      <c r="J154" s="3">
        <v>1.61E-2</v>
      </c>
      <c r="K154" s="2">
        <v>3515.1407766686762</v>
      </c>
      <c r="L154" s="2">
        <v>42181.68932002411</v>
      </c>
      <c r="M154" s="2">
        <v>4101.6893200241102</v>
      </c>
      <c r="N154" s="2">
        <v>499</v>
      </c>
      <c r="O154" s="2">
        <v>2475.1999999999998</v>
      </c>
      <c r="P154" t="s">
        <v>42</v>
      </c>
      <c r="Q154" s="2">
        <v>15232</v>
      </c>
      <c r="R154" s="2">
        <v>-13106.510679975891</v>
      </c>
      <c r="S154" t="s">
        <v>77</v>
      </c>
      <c r="T154" t="s">
        <v>34</v>
      </c>
      <c r="U154" t="s">
        <v>35</v>
      </c>
      <c r="V154" t="s">
        <v>63</v>
      </c>
      <c r="W154" t="s">
        <v>64</v>
      </c>
      <c r="X154" s="2">
        <v>4600.6893200241102</v>
      </c>
      <c r="Y154" s="2">
        <v>17707.2</v>
      </c>
      <c r="Z154" s="2">
        <v>-13106.510679975891</v>
      </c>
      <c r="AA154" s="3">
        <v>-0.34418357878087952</v>
      </c>
      <c r="AB154" s="3">
        <v>0.4</v>
      </c>
      <c r="AC154" t="s">
        <v>38</v>
      </c>
    </row>
    <row r="155" spans="1:29" x14ac:dyDescent="0.3">
      <c r="A155" t="s">
        <v>369</v>
      </c>
      <c r="B155" t="s">
        <v>370</v>
      </c>
      <c r="C155" t="s">
        <v>86</v>
      </c>
      <c r="D155" s="2">
        <v>19600</v>
      </c>
      <c r="E155" s="3">
        <v>0.2</v>
      </c>
      <c r="F155" s="2">
        <v>3920</v>
      </c>
      <c r="G155" s="2">
        <v>15680</v>
      </c>
      <c r="H155" s="3">
        <v>0.18060000000000001</v>
      </c>
      <c r="I155">
        <v>6</v>
      </c>
      <c r="J155" s="3">
        <v>1.5049999999999999E-2</v>
      </c>
      <c r="K155" s="2">
        <v>2752.704020646112</v>
      </c>
      <c r="L155" s="2">
        <v>16516.224123876669</v>
      </c>
      <c r="M155" s="2">
        <v>836.22412387667282</v>
      </c>
      <c r="N155" s="2">
        <v>499</v>
      </c>
      <c r="O155" s="2">
        <v>509.6</v>
      </c>
      <c r="P155" t="s">
        <v>32</v>
      </c>
      <c r="Q155" s="2">
        <v>0</v>
      </c>
      <c r="R155" s="2">
        <v>825.6241238766728</v>
      </c>
      <c r="S155" t="s">
        <v>33</v>
      </c>
      <c r="T155" t="s">
        <v>53</v>
      </c>
      <c r="U155" t="s">
        <v>35</v>
      </c>
      <c r="V155" t="s">
        <v>63</v>
      </c>
      <c r="W155" t="s">
        <v>64</v>
      </c>
      <c r="X155" s="2">
        <v>1335.224123876673</v>
      </c>
      <c r="Y155" s="2">
        <v>509.6</v>
      </c>
      <c r="Z155" s="2">
        <v>825.6241238766728</v>
      </c>
      <c r="AA155" s="3">
        <v>5.2654599737032702E-2</v>
      </c>
      <c r="AB155" s="3">
        <v>0</v>
      </c>
      <c r="AC155" t="s">
        <v>38</v>
      </c>
    </row>
    <row r="156" spans="1:29" x14ac:dyDescent="0.3">
      <c r="A156" t="s">
        <v>371</v>
      </c>
      <c r="B156" t="s">
        <v>372</v>
      </c>
      <c r="C156" t="s">
        <v>56</v>
      </c>
      <c r="D156" s="2">
        <v>804300</v>
      </c>
      <c r="E156" s="3">
        <v>0.15</v>
      </c>
      <c r="F156" s="2">
        <v>120645</v>
      </c>
      <c r="G156" s="2">
        <v>683655</v>
      </c>
      <c r="H156" s="3">
        <v>0.1079</v>
      </c>
      <c r="I156">
        <v>84</v>
      </c>
      <c r="J156" s="3">
        <v>8.9916666666666669E-3</v>
      </c>
      <c r="K156" s="2">
        <v>11630.489051752869</v>
      </c>
      <c r="L156" s="2">
        <v>976961.08034724137</v>
      </c>
      <c r="M156" s="2">
        <v>293306.08034724143</v>
      </c>
      <c r="N156" s="2">
        <v>6836.55</v>
      </c>
      <c r="O156" s="2">
        <v>311063.02500000002</v>
      </c>
      <c r="P156" t="s">
        <v>32</v>
      </c>
      <c r="Q156" s="2">
        <v>0</v>
      </c>
      <c r="R156" s="2">
        <v>-10920.39465275867</v>
      </c>
      <c r="S156" t="s">
        <v>33</v>
      </c>
      <c r="T156" t="s">
        <v>34</v>
      </c>
      <c r="U156" t="s">
        <v>59</v>
      </c>
      <c r="V156" t="s">
        <v>36</v>
      </c>
      <c r="W156" t="s">
        <v>49</v>
      </c>
      <c r="X156" s="2">
        <v>300142.63034724141</v>
      </c>
      <c r="Y156" s="2">
        <v>311063.02500000002</v>
      </c>
      <c r="Z156" s="2">
        <v>-10920.39465275867</v>
      </c>
      <c r="AA156" s="3">
        <v>-1.5973546090877221E-2</v>
      </c>
      <c r="AB156" s="3">
        <v>0</v>
      </c>
      <c r="AC156" t="s">
        <v>38</v>
      </c>
    </row>
    <row r="157" spans="1:29" x14ac:dyDescent="0.3">
      <c r="A157" t="s">
        <v>373</v>
      </c>
      <c r="B157" t="s">
        <v>374</v>
      </c>
      <c r="C157" t="s">
        <v>56</v>
      </c>
      <c r="D157" s="2">
        <v>1312400</v>
      </c>
      <c r="E157" s="3">
        <v>0.2</v>
      </c>
      <c r="F157" s="2">
        <v>262480</v>
      </c>
      <c r="G157" s="2">
        <v>1049920</v>
      </c>
      <c r="H157" s="3">
        <v>9.2999999999999999E-2</v>
      </c>
      <c r="I157">
        <v>48</v>
      </c>
      <c r="J157" s="3">
        <v>7.7499999999999999E-3</v>
      </c>
      <c r="K157" s="2">
        <v>26277.12110215312</v>
      </c>
      <c r="L157" s="2">
        <v>1261301.81290335</v>
      </c>
      <c r="M157" s="2">
        <v>211381.81290334949</v>
      </c>
      <c r="N157" s="2">
        <v>10499.2</v>
      </c>
      <c r="O157" s="2">
        <v>272979.20000000001</v>
      </c>
      <c r="P157" t="s">
        <v>32</v>
      </c>
      <c r="Q157" s="2">
        <v>0</v>
      </c>
      <c r="R157" s="2">
        <v>-51098.187096650479</v>
      </c>
      <c r="S157" t="s">
        <v>77</v>
      </c>
      <c r="T157" t="s">
        <v>53</v>
      </c>
      <c r="U157" t="s">
        <v>59</v>
      </c>
      <c r="V157" t="s">
        <v>71</v>
      </c>
      <c r="W157" t="s">
        <v>49</v>
      </c>
      <c r="X157" s="2">
        <v>221881.0129033495</v>
      </c>
      <c r="Y157" s="2">
        <v>272979.20000000001</v>
      </c>
      <c r="Z157" s="2">
        <v>-51098.187096650479</v>
      </c>
      <c r="AA157" s="3">
        <v>-4.8668648179528422E-2</v>
      </c>
      <c r="AB157" s="3">
        <v>0</v>
      </c>
      <c r="AC157" t="s">
        <v>38</v>
      </c>
    </row>
    <row r="158" spans="1:29" x14ac:dyDescent="0.3">
      <c r="A158" t="s">
        <v>375</v>
      </c>
      <c r="B158" t="s">
        <v>376</v>
      </c>
      <c r="C158" t="s">
        <v>41</v>
      </c>
      <c r="D158" s="2">
        <v>47700</v>
      </c>
      <c r="E158" s="3">
        <v>0.15</v>
      </c>
      <c r="F158" s="2">
        <v>7155</v>
      </c>
      <c r="G158" s="2">
        <v>40545</v>
      </c>
      <c r="H158" s="3">
        <v>0.13150000000000001</v>
      </c>
      <c r="I158">
        <v>36</v>
      </c>
      <c r="J158" s="3">
        <v>1.095833333333333E-2</v>
      </c>
      <c r="K158" s="2">
        <v>1369.0524744052691</v>
      </c>
      <c r="L158" s="2">
        <v>49285.88907858968</v>
      </c>
      <c r="M158" s="2">
        <v>8740.8890785896801</v>
      </c>
      <c r="N158" s="2">
        <v>499</v>
      </c>
      <c r="O158" s="2">
        <v>7906.2750000000005</v>
      </c>
      <c r="P158" t="s">
        <v>52</v>
      </c>
      <c r="Q158" s="2">
        <v>0</v>
      </c>
      <c r="R158" s="2">
        <v>1333.61407858968</v>
      </c>
      <c r="S158" t="s">
        <v>33</v>
      </c>
      <c r="T158" t="s">
        <v>58</v>
      </c>
      <c r="U158" t="s">
        <v>35</v>
      </c>
      <c r="V158" t="s">
        <v>36</v>
      </c>
      <c r="W158" t="s">
        <v>37</v>
      </c>
      <c r="X158" s="2">
        <v>9239.8890785896801</v>
      </c>
      <c r="Y158" s="2">
        <v>7906.2750000000005</v>
      </c>
      <c r="Z158" s="2">
        <v>1333.61407858968</v>
      </c>
      <c r="AA158" s="3">
        <v>3.2892195797007757E-2</v>
      </c>
      <c r="AB158" s="3">
        <v>0</v>
      </c>
      <c r="AC158" t="s">
        <v>38</v>
      </c>
    </row>
    <row r="159" spans="1:29" x14ac:dyDescent="0.3">
      <c r="A159" t="s">
        <v>377</v>
      </c>
      <c r="B159" t="s">
        <v>378</v>
      </c>
      <c r="C159" t="s">
        <v>31</v>
      </c>
      <c r="D159" s="2">
        <v>111600</v>
      </c>
      <c r="E159" s="3">
        <v>0.1</v>
      </c>
      <c r="F159" s="2">
        <v>11160</v>
      </c>
      <c r="G159" s="2">
        <v>100440</v>
      </c>
      <c r="H159" s="3">
        <v>0.1336</v>
      </c>
      <c r="I159">
        <v>36</v>
      </c>
      <c r="J159" s="3">
        <v>1.113333333333333E-2</v>
      </c>
      <c r="K159" s="2">
        <v>3401.6629337502968</v>
      </c>
      <c r="L159" s="2">
        <v>122459.8656150107</v>
      </c>
      <c r="M159" s="2">
        <v>22019.865615010702</v>
      </c>
      <c r="N159" s="2">
        <v>1004.4</v>
      </c>
      <c r="O159" s="2">
        <v>19585.8</v>
      </c>
      <c r="P159" t="s">
        <v>32</v>
      </c>
      <c r="Q159" s="2">
        <v>0</v>
      </c>
      <c r="R159" s="2">
        <v>3438.4656150106971</v>
      </c>
      <c r="S159" t="s">
        <v>77</v>
      </c>
      <c r="T159" t="s">
        <v>34</v>
      </c>
      <c r="U159" t="s">
        <v>48</v>
      </c>
      <c r="V159" t="s">
        <v>36</v>
      </c>
      <c r="W159" t="s">
        <v>37</v>
      </c>
      <c r="X159" s="2">
        <v>23024.2656150107</v>
      </c>
      <c r="Y159" s="2">
        <v>19585.8</v>
      </c>
      <c r="Z159" s="2">
        <v>3438.4656150106971</v>
      </c>
      <c r="AA159" s="3">
        <v>3.4234026433798248E-2</v>
      </c>
      <c r="AB159" s="3">
        <v>0</v>
      </c>
      <c r="AC159" t="s">
        <v>38</v>
      </c>
    </row>
    <row r="160" spans="1:29" x14ac:dyDescent="0.3">
      <c r="A160" t="s">
        <v>379</v>
      </c>
      <c r="B160" t="s">
        <v>380</v>
      </c>
      <c r="C160" t="s">
        <v>31</v>
      </c>
      <c r="D160" s="2">
        <v>272000</v>
      </c>
      <c r="E160" s="3">
        <v>0.05</v>
      </c>
      <c r="F160" s="2">
        <v>13600</v>
      </c>
      <c r="G160" s="2">
        <v>258400</v>
      </c>
      <c r="H160" s="3">
        <v>0.1124</v>
      </c>
      <c r="I160">
        <v>60</v>
      </c>
      <c r="J160" s="3">
        <v>9.3666666666666672E-3</v>
      </c>
      <c r="K160" s="2">
        <v>5649.2194852974144</v>
      </c>
      <c r="L160" s="2">
        <v>338953.16911784478</v>
      </c>
      <c r="M160" s="2">
        <v>80553.169117844838</v>
      </c>
      <c r="N160" s="2">
        <v>2584</v>
      </c>
      <c r="O160" s="2">
        <v>83980</v>
      </c>
      <c r="P160" t="s">
        <v>32</v>
      </c>
      <c r="Q160" s="2">
        <v>0</v>
      </c>
      <c r="R160" s="2">
        <v>-842.83088215516182</v>
      </c>
      <c r="S160" t="s">
        <v>77</v>
      </c>
      <c r="T160" t="s">
        <v>116</v>
      </c>
      <c r="U160" t="s">
        <v>151</v>
      </c>
      <c r="V160" t="s">
        <v>36</v>
      </c>
      <c r="W160" t="s">
        <v>49</v>
      </c>
      <c r="X160" s="2">
        <v>83137.169117844838</v>
      </c>
      <c r="Y160" s="2">
        <v>83980</v>
      </c>
      <c r="Z160" s="2">
        <v>-842.83088215516182</v>
      </c>
      <c r="AA160" s="3">
        <v>-3.2617294201051149E-3</v>
      </c>
      <c r="AB160" s="3">
        <v>0</v>
      </c>
      <c r="AC160" t="s">
        <v>38</v>
      </c>
    </row>
    <row r="161" spans="1:29" x14ac:dyDescent="0.3">
      <c r="A161" t="s">
        <v>381</v>
      </c>
      <c r="B161" t="s">
        <v>382</v>
      </c>
      <c r="C161" t="s">
        <v>31</v>
      </c>
      <c r="D161" s="2">
        <v>176600</v>
      </c>
      <c r="E161" s="3">
        <v>0.1</v>
      </c>
      <c r="F161" s="2">
        <v>17660</v>
      </c>
      <c r="G161" s="2">
        <v>158940</v>
      </c>
      <c r="H161" s="3">
        <v>0.13539999999999999</v>
      </c>
      <c r="I161">
        <v>36</v>
      </c>
      <c r="J161" s="3">
        <v>1.1283333333333329E-2</v>
      </c>
      <c r="K161" s="2">
        <v>5396.750114136019</v>
      </c>
      <c r="L161" s="2">
        <v>194283.00410889671</v>
      </c>
      <c r="M161" s="2">
        <v>35343.004108896683</v>
      </c>
      <c r="N161" s="2">
        <v>1589.4</v>
      </c>
      <c r="O161" s="2">
        <v>30993.3</v>
      </c>
      <c r="P161" t="s">
        <v>32</v>
      </c>
      <c r="Q161" s="2">
        <v>0</v>
      </c>
      <c r="R161" s="2">
        <v>5939.1041088966813</v>
      </c>
      <c r="S161" t="s">
        <v>33</v>
      </c>
      <c r="T161" t="s">
        <v>53</v>
      </c>
      <c r="U161" t="s">
        <v>48</v>
      </c>
      <c r="V161" t="s">
        <v>36</v>
      </c>
      <c r="W161" t="s">
        <v>37</v>
      </c>
      <c r="X161" s="2">
        <v>36932.404108896677</v>
      </c>
      <c r="Y161" s="2">
        <v>30993.3</v>
      </c>
      <c r="Z161" s="2">
        <v>5939.1041088966813</v>
      </c>
      <c r="AA161" s="3">
        <v>3.736695676920021E-2</v>
      </c>
      <c r="AB161" s="3">
        <v>0</v>
      </c>
      <c r="AC161" t="s">
        <v>38</v>
      </c>
    </row>
    <row r="162" spans="1:29" x14ac:dyDescent="0.3">
      <c r="A162" t="s">
        <v>383</v>
      </c>
      <c r="B162" t="s">
        <v>384</v>
      </c>
      <c r="C162" t="s">
        <v>41</v>
      </c>
      <c r="D162" s="2">
        <v>60400</v>
      </c>
      <c r="E162" s="3">
        <v>0.2</v>
      </c>
      <c r="F162" s="2">
        <v>12080</v>
      </c>
      <c r="G162" s="2">
        <v>48320</v>
      </c>
      <c r="H162" s="3">
        <v>0.17430000000000001</v>
      </c>
      <c r="I162">
        <v>18</v>
      </c>
      <c r="J162" s="3">
        <v>1.4525E-2</v>
      </c>
      <c r="K162" s="2">
        <v>3069.9818677112048</v>
      </c>
      <c r="L162" s="2">
        <v>55259.673618801688</v>
      </c>
      <c r="M162" s="2">
        <v>6939.6736188016948</v>
      </c>
      <c r="N162" s="2">
        <v>499</v>
      </c>
      <c r="O162" s="2">
        <v>4711.2000000000007</v>
      </c>
      <c r="P162" t="s">
        <v>32</v>
      </c>
      <c r="Q162" s="2">
        <v>0</v>
      </c>
      <c r="R162" s="2">
        <v>2727.4736188016941</v>
      </c>
      <c r="S162" t="s">
        <v>33</v>
      </c>
      <c r="T162" t="s">
        <v>74</v>
      </c>
      <c r="U162" t="s">
        <v>35</v>
      </c>
      <c r="V162" t="s">
        <v>63</v>
      </c>
      <c r="W162" t="s">
        <v>37</v>
      </c>
      <c r="X162" s="2">
        <v>7438.6736188016948</v>
      </c>
      <c r="Y162" s="2">
        <v>4711.2000000000007</v>
      </c>
      <c r="Z162" s="2">
        <v>2727.4736188016941</v>
      </c>
      <c r="AA162" s="3">
        <v>5.6446059991756913E-2</v>
      </c>
      <c r="AB162" s="3">
        <v>0</v>
      </c>
      <c r="AC162" t="s">
        <v>38</v>
      </c>
    </row>
    <row r="163" spans="1:29" x14ac:dyDescent="0.3">
      <c r="A163" t="s">
        <v>385</v>
      </c>
      <c r="B163" t="s">
        <v>386</v>
      </c>
      <c r="C163" t="s">
        <v>41</v>
      </c>
      <c r="D163" s="2">
        <v>99900</v>
      </c>
      <c r="E163" s="3">
        <v>0.05</v>
      </c>
      <c r="F163" s="2">
        <v>4995</v>
      </c>
      <c r="G163" s="2">
        <v>94905</v>
      </c>
      <c r="H163" s="3">
        <v>0.1206</v>
      </c>
      <c r="I163">
        <v>12</v>
      </c>
      <c r="J163" s="3">
        <v>1.005E-2</v>
      </c>
      <c r="K163" s="2">
        <v>8434.85836568591</v>
      </c>
      <c r="L163" s="2">
        <v>101218.3003882309</v>
      </c>
      <c r="M163" s="2">
        <v>6313.3003882309131</v>
      </c>
      <c r="N163" s="2">
        <v>949.05000000000007</v>
      </c>
      <c r="O163" s="2">
        <v>6168.8249999999998</v>
      </c>
      <c r="P163" t="s">
        <v>32</v>
      </c>
      <c r="Q163" s="2">
        <v>0</v>
      </c>
      <c r="R163" s="2">
        <v>1093.525388230913</v>
      </c>
      <c r="S163" t="s">
        <v>77</v>
      </c>
      <c r="T163" t="s">
        <v>204</v>
      </c>
      <c r="U163" t="s">
        <v>35</v>
      </c>
      <c r="V163" t="s">
        <v>36</v>
      </c>
      <c r="W163" t="s">
        <v>64</v>
      </c>
      <c r="X163" s="2">
        <v>7262.3503882309133</v>
      </c>
      <c r="Y163" s="2">
        <v>6168.8249999999998</v>
      </c>
      <c r="Z163" s="2">
        <v>1093.525388230913</v>
      </c>
      <c r="AA163" s="3">
        <v>1.152231587620161E-2</v>
      </c>
      <c r="AB163" s="3">
        <v>0</v>
      </c>
      <c r="AC163" t="s">
        <v>38</v>
      </c>
    </row>
    <row r="164" spans="1:29" x14ac:dyDescent="0.3">
      <c r="A164" t="s">
        <v>387</v>
      </c>
      <c r="B164" t="s">
        <v>388</v>
      </c>
      <c r="C164" t="s">
        <v>41</v>
      </c>
      <c r="D164" s="2">
        <v>26000</v>
      </c>
      <c r="E164" s="3">
        <v>0.05</v>
      </c>
      <c r="F164" s="2">
        <v>1300</v>
      </c>
      <c r="G164" s="2">
        <v>24700</v>
      </c>
      <c r="H164" s="3">
        <v>0.17979999999999999</v>
      </c>
      <c r="I164">
        <v>9</v>
      </c>
      <c r="J164" s="3">
        <v>1.4983333333333329E-2</v>
      </c>
      <c r="K164" s="2">
        <v>2954.1248975483281</v>
      </c>
      <c r="L164" s="2">
        <v>26587.12407793495</v>
      </c>
      <c r="M164" s="2">
        <v>1887.1240779349539</v>
      </c>
      <c r="N164" s="2">
        <v>499</v>
      </c>
      <c r="O164" s="2">
        <v>1204.125</v>
      </c>
      <c r="P164" t="s">
        <v>32</v>
      </c>
      <c r="Q164" s="2">
        <v>0</v>
      </c>
      <c r="R164" s="2">
        <v>1181.9990779349539</v>
      </c>
      <c r="S164" t="s">
        <v>43</v>
      </c>
      <c r="T164" t="s">
        <v>70</v>
      </c>
      <c r="U164" t="s">
        <v>35</v>
      </c>
      <c r="V164" t="s">
        <v>63</v>
      </c>
      <c r="W164" t="s">
        <v>64</v>
      </c>
      <c r="X164" s="2">
        <v>2386.1240779349541</v>
      </c>
      <c r="Y164" s="2">
        <v>1204.125</v>
      </c>
      <c r="Z164" s="2">
        <v>1181.9990779349539</v>
      </c>
      <c r="AA164" s="3">
        <v>4.7854213681577072E-2</v>
      </c>
      <c r="AB164" s="3">
        <v>0</v>
      </c>
      <c r="AC164" t="s">
        <v>38</v>
      </c>
    </row>
    <row r="165" spans="1:29" x14ac:dyDescent="0.3">
      <c r="A165" t="s">
        <v>389</v>
      </c>
      <c r="B165" t="s">
        <v>390</v>
      </c>
      <c r="C165" t="s">
        <v>41</v>
      </c>
      <c r="D165" s="2">
        <v>108500</v>
      </c>
      <c r="E165" s="3">
        <v>0</v>
      </c>
      <c r="F165" s="2">
        <v>0</v>
      </c>
      <c r="G165" s="2">
        <v>108500</v>
      </c>
      <c r="H165" s="3">
        <v>0.14829999999999999</v>
      </c>
      <c r="I165">
        <v>18</v>
      </c>
      <c r="J165" s="3">
        <v>1.2358333333333331E-2</v>
      </c>
      <c r="K165" s="2">
        <v>6760.0718638658427</v>
      </c>
      <c r="L165" s="2">
        <v>121681.2935495852</v>
      </c>
      <c r="M165" s="2">
        <v>13181.293549585171</v>
      </c>
      <c r="N165" s="2">
        <v>1085</v>
      </c>
      <c r="O165" s="2">
        <v>10578.75</v>
      </c>
      <c r="P165" t="s">
        <v>32</v>
      </c>
      <c r="Q165" s="2">
        <v>0</v>
      </c>
      <c r="R165" s="2">
        <v>3687.5435495851711</v>
      </c>
      <c r="S165" t="s">
        <v>57</v>
      </c>
      <c r="T165" t="s">
        <v>58</v>
      </c>
      <c r="U165" t="s">
        <v>48</v>
      </c>
      <c r="V165" t="s">
        <v>36</v>
      </c>
      <c r="W165" t="s">
        <v>37</v>
      </c>
      <c r="X165" s="2">
        <v>14266.293549585171</v>
      </c>
      <c r="Y165" s="2">
        <v>10578.75</v>
      </c>
      <c r="Z165" s="2">
        <v>3687.5435495851711</v>
      </c>
      <c r="AA165" s="3">
        <v>3.3986576493872538E-2</v>
      </c>
      <c r="AB165" s="3">
        <v>0</v>
      </c>
      <c r="AC165" t="s">
        <v>38</v>
      </c>
    </row>
    <row r="166" spans="1:29" x14ac:dyDescent="0.3">
      <c r="A166" t="s">
        <v>391</v>
      </c>
      <c r="B166" t="s">
        <v>392</v>
      </c>
      <c r="C166" t="s">
        <v>56</v>
      </c>
      <c r="D166" s="2">
        <v>1033300</v>
      </c>
      <c r="E166" s="3">
        <v>0.2</v>
      </c>
      <c r="F166" s="2">
        <v>206660</v>
      </c>
      <c r="G166" s="2">
        <v>826640</v>
      </c>
      <c r="H166" s="3">
        <v>0.1022</v>
      </c>
      <c r="I166">
        <v>72</v>
      </c>
      <c r="J166" s="3">
        <v>8.5166666666666672E-3</v>
      </c>
      <c r="K166" s="2">
        <v>15406.06640990328</v>
      </c>
      <c r="L166" s="2">
        <v>1109236.781513036</v>
      </c>
      <c r="M166" s="2">
        <v>282596.78151303652</v>
      </c>
      <c r="N166" s="2">
        <v>8266.4</v>
      </c>
      <c r="O166" s="2">
        <v>322389.59999999998</v>
      </c>
      <c r="P166" t="s">
        <v>52</v>
      </c>
      <c r="Q166" s="2">
        <v>0</v>
      </c>
      <c r="R166" s="2">
        <v>-31526.418486963488</v>
      </c>
      <c r="S166" t="s">
        <v>33</v>
      </c>
      <c r="T166" t="s">
        <v>53</v>
      </c>
      <c r="U166" t="s">
        <v>59</v>
      </c>
      <c r="V166" t="s">
        <v>36</v>
      </c>
      <c r="W166" t="s">
        <v>49</v>
      </c>
      <c r="X166" s="2">
        <v>290863.18151303648</v>
      </c>
      <c r="Y166" s="2">
        <v>322389.59999999998</v>
      </c>
      <c r="Z166" s="2">
        <v>-31526.418486963488</v>
      </c>
      <c r="AA166" s="3">
        <v>-3.8138026815740217E-2</v>
      </c>
      <c r="AB166" s="3">
        <v>0</v>
      </c>
      <c r="AC166" t="s">
        <v>38</v>
      </c>
    </row>
    <row r="167" spans="1:29" x14ac:dyDescent="0.3">
      <c r="A167" t="s">
        <v>393</v>
      </c>
      <c r="B167" t="s">
        <v>394</v>
      </c>
      <c r="C167" t="s">
        <v>86</v>
      </c>
      <c r="D167" s="2">
        <v>114100</v>
      </c>
      <c r="E167" s="3">
        <v>0.05</v>
      </c>
      <c r="F167" s="2">
        <v>5705</v>
      </c>
      <c r="G167" s="2">
        <v>108395</v>
      </c>
      <c r="H167" s="3">
        <v>0.17680000000000001</v>
      </c>
      <c r="I167">
        <v>24</v>
      </c>
      <c r="J167" s="3">
        <v>1.4733333333333329E-2</v>
      </c>
      <c r="K167" s="2">
        <v>5394.7781998569999</v>
      </c>
      <c r="L167" s="2">
        <v>129474.676796568</v>
      </c>
      <c r="M167" s="2">
        <v>21079.676796568001</v>
      </c>
      <c r="N167" s="2">
        <v>1083.95</v>
      </c>
      <c r="O167" s="2">
        <v>14091.35</v>
      </c>
      <c r="P167" t="s">
        <v>42</v>
      </c>
      <c r="Q167" s="2">
        <v>43358</v>
      </c>
      <c r="R167" s="2">
        <v>-35285.723203431997</v>
      </c>
      <c r="S167" t="s">
        <v>33</v>
      </c>
      <c r="T167" t="s">
        <v>74</v>
      </c>
      <c r="U167" t="s">
        <v>48</v>
      </c>
      <c r="V167" t="s">
        <v>63</v>
      </c>
      <c r="W167" t="s">
        <v>37</v>
      </c>
      <c r="X167" s="2">
        <v>22163.626796568009</v>
      </c>
      <c r="Y167" s="2">
        <v>57449.35</v>
      </c>
      <c r="Z167" s="2">
        <v>-35285.72320343199</v>
      </c>
      <c r="AA167" s="3">
        <v>-0.32552906687053829</v>
      </c>
      <c r="AB167" s="3">
        <v>0.4</v>
      </c>
      <c r="AC167" t="s">
        <v>38</v>
      </c>
    </row>
    <row r="168" spans="1:29" x14ac:dyDescent="0.3">
      <c r="A168" t="s">
        <v>395</v>
      </c>
      <c r="B168" t="s">
        <v>396</v>
      </c>
      <c r="C168" t="s">
        <v>41</v>
      </c>
      <c r="D168" s="2">
        <v>75100</v>
      </c>
      <c r="E168" s="3">
        <v>0.1</v>
      </c>
      <c r="F168" s="2">
        <v>7510</v>
      </c>
      <c r="G168" s="2">
        <v>67590</v>
      </c>
      <c r="H168" s="3">
        <v>0.1263</v>
      </c>
      <c r="I168">
        <v>12</v>
      </c>
      <c r="J168" s="3">
        <v>1.0525E-2</v>
      </c>
      <c r="K168" s="2">
        <v>6025.2279207011052</v>
      </c>
      <c r="L168" s="2">
        <v>72302.735048413262</v>
      </c>
      <c r="M168" s="2">
        <v>4712.7350484132621</v>
      </c>
      <c r="N168" s="2">
        <v>675.9</v>
      </c>
      <c r="O168" s="2">
        <v>4393.3500000000004</v>
      </c>
      <c r="P168" t="s">
        <v>52</v>
      </c>
      <c r="Q168" s="2">
        <v>0</v>
      </c>
      <c r="R168" s="2">
        <v>995.28504841326139</v>
      </c>
      <c r="S168" t="s">
        <v>43</v>
      </c>
      <c r="T168" t="s">
        <v>58</v>
      </c>
      <c r="U168" t="s">
        <v>35</v>
      </c>
      <c r="V168" t="s">
        <v>36</v>
      </c>
      <c r="W168" t="s">
        <v>64</v>
      </c>
      <c r="X168" s="2">
        <v>5388.6350484132618</v>
      </c>
      <c r="Y168" s="2">
        <v>4393.3500000000004</v>
      </c>
      <c r="Z168" s="2">
        <v>995.28504841326139</v>
      </c>
      <c r="AA168" s="3">
        <v>1.4725329906987151E-2</v>
      </c>
      <c r="AB168" s="3">
        <v>0</v>
      </c>
      <c r="AC168" t="s">
        <v>38</v>
      </c>
    </row>
    <row r="169" spans="1:29" x14ac:dyDescent="0.3">
      <c r="A169" t="s">
        <v>397</v>
      </c>
      <c r="B169" t="s">
        <v>398</v>
      </c>
      <c r="C169" t="s">
        <v>41</v>
      </c>
      <c r="D169" s="2">
        <v>39300</v>
      </c>
      <c r="E169" s="3">
        <v>0.1</v>
      </c>
      <c r="F169" s="2">
        <v>3930</v>
      </c>
      <c r="G169" s="2">
        <v>35370</v>
      </c>
      <c r="H169" s="3">
        <v>0.1608</v>
      </c>
      <c r="I169">
        <v>12</v>
      </c>
      <c r="J169" s="3">
        <v>1.34E-2</v>
      </c>
      <c r="K169" s="2">
        <v>3210.489619044175</v>
      </c>
      <c r="L169" s="2">
        <v>38525.875428530097</v>
      </c>
      <c r="M169" s="2">
        <v>3155.875428530097</v>
      </c>
      <c r="N169" s="2">
        <v>499</v>
      </c>
      <c r="O169" s="2">
        <v>2299.0500000000002</v>
      </c>
      <c r="P169" t="s">
        <v>32</v>
      </c>
      <c r="Q169" s="2">
        <v>0</v>
      </c>
      <c r="R169" s="2">
        <v>1355.8254285300959</v>
      </c>
      <c r="S169" t="s">
        <v>43</v>
      </c>
      <c r="T169" t="s">
        <v>74</v>
      </c>
      <c r="U169" t="s">
        <v>35</v>
      </c>
      <c r="V169" t="s">
        <v>63</v>
      </c>
      <c r="W169" t="s">
        <v>64</v>
      </c>
      <c r="X169" s="2">
        <v>3654.875428530097</v>
      </c>
      <c r="Y169" s="2">
        <v>2299.0500000000002</v>
      </c>
      <c r="Z169" s="2">
        <v>1355.8254285300959</v>
      </c>
      <c r="AA169" s="3">
        <v>3.833263863528686E-2</v>
      </c>
      <c r="AB169" s="3">
        <v>0</v>
      </c>
      <c r="AC169" t="s">
        <v>38</v>
      </c>
    </row>
    <row r="170" spans="1:29" x14ac:dyDescent="0.3">
      <c r="A170" t="s">
        <v>399</v>
      </c>
      <c r="B170" t="s">
        <v>400</v>
      </c>
      <c r="C170" t="s">
        <v>86</v>
      </c>
      <c r="D170" s="2">
        <v>36700</v>
      </c>
      <c r="E170" s="3">
        <v>0.2</v>
      </c>
      <c r="F170" s="2">
        <v>7340</v>
      </c>
      <c r="G170" s="2">
        <v>29360</v>
      </c>
      <c r="H170" s="3">
        <v>0.15390000000000001</v>
      </c>
      <c r="I170">
        <v>6</v>
      </c>
      <c r="J170" s="3">
        <v>1.2825E-2</v>
      </c>
      <c r="K170" s="2">
        <v>5115.3151779146974</v>
      </c>
      <c r="L170" s="2">
        <v>30691.891067488181</v>
      </c>
      <c r="M170" s="2">
        <v>1331.891067488184</v>
      </c>
      <c r="N170" s="2">
        <v>499</v>
      </c>
      <c r="O170" s="2">
        <v>954.2</v>
      </c>
      <c r="P170" t="s">
        <v>42</v>
      </c>
      <c r="Q170" s="2">
        <v>11744</v>
      </c>
      <c r="R170" s="2">
        <v>-10867.30893251182</v>
      </c>
      <c r="S170" t="s">
        <v>57</v>
      </c>
      <c r="T170" t="s">
        <v>116</v>
      </c>
      <c r="U170" t="s">
        <v>35</v>
      </c>
      <c r="V170" t="s">
        <v>63</v>
      </c>
      <c r="W170" t="s">
        <v>64</v>
      </c>
      <c r="X170" s="2">
        <v>1830.891067488184</v>
      </c>
      <c r="Y170" s="2">
        <v>12698.2</v>
      </c>
      <c r="Z170" s="2">
        <v>-10867.30893251182</v>
      </c>
      <c r="AA170" s="3">
        <v>-0.37013995001743238</v>
      </c>
      <c r="AB170" s="3">
        <v>0.4</v>
      </c>
      <c r="AC170" t="s">
        <v>38</v>
      </c>
    </row>
    <row r="171" spans="1:29" x14ac:dyDescent="0.3">
      <c r="A171" t="s">
        <v>401</v>
      </c>
      <c r="B171" t="s">
        <v>402</v>
      </c>
      <c r="C171" t="s">
        <v>31</v>
      </c>
      <c r="D171" s="2">
        <v>242400</v>
      </c>
      <c r="E171" s="3">
        <v>0.25</v>
      </c>
      <c r="F171" s="2">
        <v>60600</v>
      </c>
      <c r="G171" s="2">
        <v>181800</v>
      </c>
      <c r="H171" s="3">
        <v>0.13589999999999999</v>
      </c>
      <c r="I171">
        <v>60</v>
      </c>
      <c r="J171" s="3">
        <v>1.1325E-2</v>
      </c>
      <c r="K171" s="2">
        <v>4191.6241849045937</v>
      </c>
      <c r="L171" s="2">
        <v>251497.4510942756</v>
      </c>
      <c r="M171" s="2">
        <v>69697.451094275631</v>
      </c>
      <c r="N171" s="2">
        <v>1818</v>
      </c>
      <c r="O171" s="2">
        <v>59085</v>
      </c>
      <c r="P171" t="s">
        <v>52</v>
      </c>
      <c r="Q171" s="2">
        <v>0</v>
      </c>
      <c r="R171" s="2">
        <v>12430.45109427563</v>
      </c>
      <c r="S171" t="s">
        <v>77</v>
      </c>
      <c r="T171" t="s">
        <v>47</v>
      </c>
      <c r="U171" t="s">
        <v>48</v>
      </c>
      <c r="V171" t="s">
        <v>36</v>
      </c>
      <c r="W171" t="s">
        <v>49</v>
      </c>
      <c r="X171" s="2">
        <v>71515.451094275631</v>
      </c>
      <c r="Y171" s="2">
        <v>59085</v>
      </c>
      <c r="Z171" s="2">
        <v>12430.45109427563</v>
      </c>
      <c r="AA171" s="3">
        <v>6.8374318450361016E-2</v>
      </c>
      <c r="AB171" s="3">
        <v>0</v>
      </c>
      <c r="AC171" t="s">
        <v>38</v>
      </c>
    </row>
    <row r="172" spans="1:29" x14ac:dyDescent="0.3">
      <c r="A172" t="s">
        <v>403</v>
      </c>
      <c r="B172" t="s">
        <v>404</v>
      </c>
      <c r="C172" t="s">
        <v>41</v>
      </c>
      <c r="D172" s="2">
        <v>83600</v>
      </c>
      <c r="E172" s="3">
        <v>0.2</v>
      </c>
      <c r="F172" s="2">
        <v>16720</v>
      </c>
      <c r="G172" s="2">
        <v>66880</v>
      </c>
      <c r="H172" s="3">
        <v>0.17050000000000001</v>
      </c>
      <c r="I172">
        <v>12</v>
      </c>
      <c r="J172" s="3">
        <v>1.420833333333333E-2</v>
      </c>
      <c r="K172" s="2">
        <v>6101.3608865484521</v>
      </c>
      <c r="L172" s="2">
        <v>73216.330638581421</v>
      </c>
      <c r="M172" s="2">
        <v>6336.3306385814212</v>
      </c>
      <c r="N172" s="2">
        <v>668.80000000000007</v>
      </c>
      <c r="O172" s="2">
        <v>4347.2</v>
      </c>
      <c r="P172" t="s">
        <v>42</v>
      </c>
      <c r="Q172" s="2">
        <v>26752</v>
      </c>
      <c r="R172" s="2">
        <v>-24094.06936141858</v>
      </c>
      <c r="S172" t="s">
        <v>33</v>
      </c>
      <c r="T172" t="s">
        <v>204</v>
      </c>
      <c r="U172" t="s">
        <v>35</v>
      </c>
      <c r="V172" t="s">
        <v>63</v>
      </c>
      <c r="W172" t="s">
        <v>64</v>
      </c>
      <c r="X172" s="2">
        <v>7005.1306385814214</v>
      </c>
      <c r="Y172" s="2">
        <v>31099.200000000001</v>
      </c>
      <c r="Z172" s="2">
        <v>-24094.06936141858</v>
      </c>
      <c r="AA172" s="3">
        <v>-0.36025821413604342</v>
      </c>
      <c r="AB172" s="3">
        <v>0.4</v>
      </c>
      <c r="AC172" t="s">
        <v>38</v>
      </c>
    </row>
    <row r="173" spans="1:29" x14ac:dyDescent="0.3">
      <c r="A173" t="s">
        <v>405</v>
      </c>
      <c r="B173" t="s">
        <v>406</v>
      </c>
      <c r="C173" t="s">
        <v>41</v>
      </c>
      <c r="D173" s="2">
        <v>29700</v>
      </c>
      <c r="E173" s="3">
        <v>0</v>
      </c>
      <c r="F173" s="2">
        <v>0</v>
      </c>
      <c r="G173" s="2">
        <v>29700</v>
      </c>
      <c r="H173" s="3">
        <v>0.14949999999999999</v>
      </c>
      <c r="I173">
        <v>12</v>
      </c>
      <c r="J173" s="3">
        <v>1.245833333333333E-2</v>
      </c>
      <c r="K173" s="2">
        <v>2679.971199155269</v>
      </c>
      <c r="L173" s="2">
        <v>32159.65438986323</v>
      </c>
      <c r="M173" s="2">
        <v>2459.6543898632299</v>
      </c>
      <c r="N173" s="2">
        <v>499</v>
      </c>
      <c r="O173" s="2">
        <v>1930.5</v>
      </c>
      <c r="P173" t="s">
        <v>32</v>
      </c>
      <c r="Q173" s="2">
        <v>0</v>
      </c>
      <c r="R173" s="2">
        <v>1028.1543898632301</v>
      </c>
      <c r="S173" t="s">
        <v>33</v>
      </c>
      <c r="T173" t="s">
        <v>34</v>
      </c>
      <c r="U173" t="s">
        <v>35</v>
      </c>
      <c r="V173" t="s">
        <v>36</v>
      </c>
      <c r="W173" t="s">
        <v>64</v>
      </c>
      <c r="X173" s="2">
        <v>2958.6543898632299</v>
      </c>
      <c r="Y173" s="2">
        <v>1930.5</v>
      </c>
      <c r="Z173" s="2">
        <v>1028.1543898632301</v>
      </c>
      <c r="AA173" s="3">
        <v>3.4617992924687882E-2</v>
      </c>
      <c r="AB173" s="3">
        <v>0</v>
      </c>
      <c r="AC173" t="s">
        <v>38</v>
      </c>
    </row>
    <row r="174" spans="1:29" x14ac:dyDescent="0.3">
      <c r="A174" t="s">
        <v>407</v>
      </c>
      <c r="B174" t="s">
        <v>408</v>
      </c>
      <c r="C174" t="s">
        <v>31</v>
      </c>
      <c r="D174" s="2">
        <v>152300</v>
      </c>
      <c r="E174" s="3">
        <v>0.2</v>
      </c>
      <c r="F174" s="2">
        <v>30460</v>
      </c>
      <c r="G174" s="2">
        <v>121840</v>
      </c>
      <c r="H174" s="3">
        <v>0.1464</v>
      </c>
      <c r="I174">
        <v>12</v>
      </c>
      <c r="J174" s="3">
        <v>1.2200000000000001E-2</v>
      </c>
      <c r="K174" s="2">
        <v>10976.386071611219</v>
      </c>
      <c r="L174" s="2">
        <v>131716.63285933461</v>
      </c>
      <c r="M174" s="2">
        <v>9876.6328593346407</v>
      </c>
      <c r="N174" s="2">
        <v>1218.4000000000001</v>
      </c>
      <c r="O174" s="2">
        <v>7919.6</v>
      </c>
      <c r="P174" t="s">
        <v>32</v>
      </c>
      <c r="Q174" s="2">
        <v>0</v>
      </c>
      <c r="R174" s="2">
        <v>3175.4328593346399</v>
      </c>
      <c r="S174" t="s">
        <v>43</v>
      </c>
      <c r="T174" t="s">
        <v>53</v>
      </c>
      <c r="U174" t="s">
        <v>48</v>
      </c>
      <c r="V174" t="s">
        <v>36</v>
      </c>
      <c r="W174" t="s">
        <v>64</v>
      </c>
      <c r="X174" s="2">
        <v>11095.03285933464</v>
      </c>
      <c r="Y174" s="2">
        <v>7919.6</v>
      </c>
      <c r="Z174" s="2">
        <v>3175.4328593346399</v>
      </c>
      <c r="AA174" s="3">
        <v>2.6062318280816149E-2</v>
      </c>
      <c r="AB174" s="3">
        <v>0</v>
      </c>
      <c r="AC174" t="s">
        <v>38</v>
      </c>
    </row>
    <row r="175" spans="1:29" x14ac:dyDescent="0.3">
      <c r="A175" t="s">
        <v>409</v>
      </c>
      <c r="B175" t="s">
        <v>410</v>
      </c>
      <c r="C175" t="s">
        <v>31</v>
      </c>
      <c r="D175" s="2">
        <v>180300</v>
      </c>
      <c r="E175" s="3">
        <v>0.05</v>
      </c>
      <c r="F175" s="2">
        <v>9015</v>
      </c>
      <c r="G175" s="2">
        <v>171285</v>
      </c>
      <c r="H175" s="3">
        <v>0.17660000000000001</v>
      </c>
      <c r="I175">
        <v>48</v>
      </c>
      <c r="J175" s="3">
        <v>1.471666666666667E-2</v>
      </c>
      <c r="K175" s="2">
        <v>5001.1166149306691</v>
      </c>
      <c r="L175" s="2">
        <v>240053.5975166721</v>
      </c>
      <c r="M175" s="2">
        <v>68768.597516672104</v>
      </c>
      <c r="N175" s="2">
        <v>1712.85</v>
      </c>
      <c r="O175" s="2">
        <v>44534.1</v>
      </c>
      <c r="P175" t="s">
        <v>32</v>
      </c>
      <c r="Q175" s="2">
        <v>0</v>
      </c>
      <c r="R175" s="2">
        <v>25947.347516672111</v>
      </c>
      <c r="S175" t="s">
        <v>77</v>
      </c>
      <c r="T175" t="s">
        <v>44</v>
      </c>
      <c r="U175" t="s">
        <v>48</v>
      </c>
      <c r="V175" t="s">
        <v>63</v>
      </c>
      <c r="W175" t="s">
        <v>49</v>
      </c>
      <c r="X175" s="2">
        <v>70481.447516672109</v>
      </c>
      <c r="Y175" s="2">
        <v>44534.1</v>
      </c>
      <c r="Z175" s="2">
        <v>25947.347516672111</v>
      </c>
      <c r="AA175" s="3">
        <v>0.15148639703810671</v>
      </c>
      <c r="AB175" s="3">
        <v>0</v>
      </c>
      <c r="AC175" t="s">
        <v>38</v>
      </c>
    </row>
    <row r="176" spans="1:29" x14ac:dyDescent="0.3">
      <c r="A176" t="s">
        <v>411</v>
      </c>
      <c r="B176" t="s">
        <v>412</v>
      </c>
      <c r="C176" t="s">
        <v>86</v>
      </c>
      <c r="D176" s="2">
        <v>80400</v>
      </c>
      <c r="E176" s="3">
        <v>0.1</v>
      </c>
      <c r="F176" s="2">
        <v>8040</v>
      </c>
      <c r="G176" s="2">
        <v>72360</v>
      </c>
      <c r="H176" s="3">
        <v>0.1431</v>
      </c>
      <c r="I176">
        <v>24</v>
      </c>
      <c r="J176" s="3">
        <v>1.1925E-2</v>
      </c>
      <c r="K176" s="2">
        <v>3484.818629932327</v>
      </c>
      <c r="L176" s="2">
        <v>83635.64711837584</v>
      </c>
      <c r="M176" s="2">
        <v>11275.64711837584</v>
      </c>
      <c r="N176" s="2">
        <v>723.6</v>
      </c>
      <c r="O176" s="2">
        <v>9406.8000000000011</v>
      </c>
      <c r="P176" t="s">
        <v>32</v>
      </c>
      <c r="Q176" s="2">
        <v>0</v>
      </c>
      <c r="R176" s="2">
        <v>2592.4471183758401</v>
      </c>
      <c r="S176" t="s">
        <v>43</v>
      </c>
      <c r="T176" t="s">
        <v>53</v>
      </c>
      <c r="U176" t="s">
        <v>35</v>
      </c>
      <c r="V176" t="s">
        <v>36</v>
      </c>
      <c r="W176" t="s">
        <v>37</v>
      </c>
      <c r="X176" s="2">
        <v>11999.247118375841</v>
      </c>
      <c r="Y176" s="2">
        <v>9406.8000000000011</v>
      </c>
      <c r="Z176" s="2">
        <v>2592.4471183758401</v>
      </c>
      <c r="AA176" s="3">
        <v>3.5827074604420119E-2</v>
      </c>
      <c r="AB176" s="3">
        <v>0</v>
      </c>
      <c r="AC176" t="s">
        <v>38</v>
      </c>
    </row>
    <row r="177" spans="1:29" x14ac:dyDescent="0.3">
      <c r="A177" t="s">
        <v>413</v>
      </c>
      <c r="B177" t="s">
        <v>414</v>
      </c>
      <c r="C177" t="s">
        <v>41</v>
      </c>
      <c r="D177" s="2">
        <v>60400</v>
      </c>
      <c r="E177" s="3">
        <v>0.2</v>
      </c>
      <c r="F177" s="2">
        <v>12080</v>
      </c>
      <c r="G177" s="2">
        <v>48320</v>
      </c>
      <c r="H177" s="3">
        <v>0.1527</v>
      </c>
      <c r="I177">
        <v>12</v>
      </c>
      <c r="J177" s="3">
        <v>1.2725E-2</v>
      </c>
      <c r="K177" s="2">
        <v>4367.4402421478653</v>
      </c>
      <c r="L177" s="2">
        <v>52409.28290577438</v>
      </c>
      <c r="M177" s="2">
        <v>4089.2829057743802</v>
      </c>
      <c r="N177" s="2">
        <v>499</v>
      </c>
      <c r="O177" s="2">
        <v>3140.8</v>
      </c>
      <c r="P177" t="s">
        <v>42</v>
      </c>
      <c r="Q177" s="2">
        <v>19328</v>
      </c>
      <c r="R177" s="2">
        <v>-17880.517094225619</v>
      </c>
      <c r="S177" t="s">
        <v>77</v>
      </c>
      <c r="T177" t="s">
        <v>58</v>
      </c>
      <c r="U177" t="s">
        <v>35</v>
      </c>
      <c r="V177" t="s">
        <v>63</v>
      </c>
      <c r="W177" t="s">
        <v>64</v>
      </c>
      <c r="X177" s="2">
        <v>4588.2829057743802</v>
      </c>
      <c r="Y177" s="2">
        <v>22468.799999999999</v>
      </c>
      <c r="Z177" s="2">
        <v>-17880.517094225619</v>
      </c>
      <c r="AA177" s="3">
        <v>-0.37004381403612618</v>
      </c>
      <c r="AB177" s="3">
        <v>0.4</v>
      </c>
      <c r="AC177" t="s">
        <v>38</v>
      </c>
    </row>
    <row r="178" spans="1:29" x14ac:dyDescent="0.3">
      <c r="A178" t="s">
        <v>415</v>
      </c>
      <c r="B178" t="s">
        <v>416</v>
      </c>
      <c r="C178" t="s">
        <v>41</v>
      </c>
      <c r="D178" s="2">
        <v>94700</v>
      </c>
      <c r="E178" s="3">
        <v>0.2</v>
      </c>
      <c r="F178" s="2">
        <v>18940</v>
      </c>
      <c r="G178" s="2">
        <v>75760</v>
      </c>
      <c r="H178" s="3">
        <v>0.15090000000000001</v>
      </c>
      <c r="I178">
        <v>12</v>
      </c>
      <c r="J178" s="3">
        <v>1.2574999999999999E-2</v>
      </c>
      <c r="K178" s="2">
        <v>6841.1875593067434</v>
      </c>
      <c r="L178" s="2">
        <v>82094.250711680914</v>
      </c>
      <c r="M178" s="2">
        <v>6334.2507116809138</v>
      </c>
      <c r="N178" s="2">
        <v>757.6</v>
      </c>
      <c r="O178" s="2">
        <v>4924.4000000000005</v>
      </c>
      <c r="P178" t="s">
        <v>32</v>
      </c>
      <c r="Q178" s="2">
        <v>0</v>
      </c>
      <c r="R178" s="2">
        <v>2167.4507116809141</v>
      </c>
      <c r="S178" t="s">
        <v>77</v>
      </c>
      <c r="T178" t="s">
        <v>58</v>
      </c>
      <c r="U178" t="s">
        <v>35</v>
      </c>
      <c r="V178" t="s">
        <v>63</v>
      </c>
      <c r="W178" t="s">
        <v>64</v>
      </c>
      <c r="X178" s="2">
        <v>7091.8507116809142</v>
      </c>
      <c r="Y178" s="2">
        <v>4924.4000000000005</v>
      </c>
      <c r="Z178" s="2">
        <v>2167.4507116809141</v>
      </c>
      <c r="AA178" s="3">
        <v>2.8609433892303509E-2</v>
      </c>
      <c r="AB178" s="3">
        <v>0</v>
      </c>
      <c r="AC178" t="s">
        <v>38</v>
      </c>
    </row>
    <row r="179" spans="1:29" x14ac:dyDescent="0.3">
      <c r="A179" t="s">
        <v>417</v>
      </c>
      <c r="B179" t="s">
        <v>418</v>
      </c>
      <c r="C179" t="s">
        <v>31</v>
      </c>
      <c r="D179" s="2">
        <v>93900</v>
      </c>
      <c r="E179" s="3">
        <v>0.1</v>
      </c>
      <c r="F179" s="2">
        <v>9390</v>
      </c>
      <c r="G179" s="2">
        <v>84510</v>
      </c>
      <c r="H179" s="3">
        <v>0.128</v>
      </c>
      <c r="I179">
        <v>48</v>
      </c>
      <c r="J179" s="3">
        <v>1.066666666666667E-2</v>
      </c>
      <c r="K179" s="2">
        <v>2258.811784280103</v>
      </c>
      <c r="L179" s="2">
        <v>108422.9656454449</v>
      </c>
      <c r="M179" s="2">
        <v>23912.96564544494</v>
      </c>
      <c r="N179" s="2">
        <v>845.1</v>
      </c>
      <c r="O179" s="2">
        <v>21972.6</v>
      </c>
      <c r="P179" t="s">
        <v>32</v>
      </c>
      <c r="Q179" s="2">
        <v>0</v>
      </c>
      <c r="R179" s="2">
        <v>2785.46564544494</v>
      </c>
      <c r="S179" t="s">
        <v>33</v>
      </c>
      <c r="T179" t="s">
        <v>204</v>
      </c>
      <c r="U179" t="s">
        <v>35</v>
      </c>
      <c r="V179" t="s">
        <v>36</v>
      </c>
      <c r="W179" t="s">
        <v>49</v>
      </c>
      <c r="X179" s="2">
        <v>24758.065645444942</v>
      </c>
      <c r="Y179" s="2">
        <v>21972.6</v>
      </c>
      <c r="Z179" s="2">
        <v>2785.46564544494</v>
      </c>
      <c r="AA179" s="3">
        <v>3.2960189864453197E-2</v>
      </c>
      <c r="AB179" s="3">
        <v>0</v>
      </c>
      <c r="AC179" t="s">
        <v>38</v>
      </c>
    </row>
    <row r="180" spans="1:29" x14ac:dyDescent="0.3">
      <c r="A180" t="s">
        <v>419</v>
      </c>
      <c r="B180" t="s">
        <v>420</v>
      </c>
      <c r="C180" t="s">
        <v>41</v>
      </c>
      <c r="D180" s="2">
        <v>105400</v>
      </c>
      <c r="E180" s="3">
        <v>0.2</v>
      </c>
      <c r="F180" s="2">
        <v>21080</v>
      </c>
      <c r="G180" s="2">
        <v>84320</v>
      </c>
      <c r="H180" s="3">
        <v>0.14630000000000001</v>
      </c>
      <c r="I180">
        <v>9</v>
      </c>
      <c r="J180" s="3">
        <v>1.219166666666667E-2</v>
      </c>
      <c r="K180" s="2">
        <v>9949.2264935036183</v>
      </c>
      <c r="L180" s="2">
        <v>89543.038441532568</v>
      </c>
      <c r="M180" s="2">
        <v>5223.038441532568</v>
      </c>
      <c r="N180" s="2">
        <v>843.2</v>
      </c>
      <c r="O180" s="2">
        <v>4110.6000000000004</v>
      </c>
      <c r="P180" t="s">
        <v>52</v>
      </c>
      <c r="Q180" s="2">
        <v>0</v>
      </c>
      <c r="R180" s="2">
        <v>1955.638441532567</v>
      </c>
      <c r="S180" t="s">
        <v>57</v>
      </c>
      <c r="T180" t="s">
        <v>70</v>
      </c>
      <c r="U180" t="s">
        <v>35</v>
      </c>
      <c r="V180" t="s">
        <v>36</v>
      </c>
      <c r="W180" t="s">
        <v>64</v>
      </c>
      <c r="X180" s="2">
        <v>6066.2384415325678</v>
      </c>
      <c r="Y180" s="2">
        <v>4110.6000000000004</v>
      </c>
      <c r="Z180" s="2">
        <v>1955.638441532567</v>
      </c>
      <c r="AA180" s="3">
        <v>2.319305552102191E-2</v>
      </c>
      <c r="AB180" s="3">
        <v>0</v>
      </c>
      <c r="AC180" t="s">
        <v>38</v>
      </c>
    </row>
    <row r="181" spans="1:29" x14ac:dyDescent="0.3">
      <c r="A181" t="s">
        <v>421</v>
      </c>
      <c r="B181" t="s">
        <v>422</v>
      </c>
      <c r="C181" t="s">
        <v>41</v>
      </c>
      <c r="D181" s="2">
        <v>70300</v>
      </c>
      <c r="E181" s="3">
        <v>0.1</v>
      </c>
      <c r="F181" s="2">
        <v>7030</v>
      </c>
      <c r="G181" s="2">
        <v>63270</v>
      </c>
      <c r="H181" s="3">
        <v>0.13439999999999999</v>
      </c>
      <c r="I181">
        <v>9</v>
      </c>
      <c r="J181" s="3">
        <v>1.12E-2</v>
      </c>
      <c r="K181" s="2">
        <v>7429.5252853865104</v>
      </c>
      <c r="L181" s="2">
        <v>66865.7275684786</v>
      </c>
      <c r="M181" s="2">
        <v>3595.7275684786</v>
      </c>
      <c r="N181" s="2">
        <v>632.70000000000005</v>
      </c>
      <c r="O181" s="2">
        <v>3084.4124999999999</v>
      </c>
      <c r="P181" t="s">
        <v>32</v>
      </c>
      <c r="Q181" s="2">
        <v>0</v>
      </c>
      <c r="R181" s="2">
        <v>1144.015068478599</v>
      </c>
      <c r="S181" t="s">
        <v>57</v>
      </c>
      <c r="T181" t="s">
        <v>74</v>
      </c>
      <c r="U181" t="s">
        <v>35</v>
      </c>
      <c r="V181" t="s">
        <v>36</v>
      </c>
      <c r="W181" t="s">
        <v>64</v>
      </c>
      <c r="X181" s="2">
        <v>4228.4275684785998</v>
      </c>
      <c r="Y181" s="2">
        <v>3084.4124999999999</v>
      </c>
      <c r="Z181" s="2">
        <v>1144.015068478599</v>
      </c>
      <c r="AA181" s="3">
        <v>1.8081477295378529E-2</v>
      </c>
      <c r="AB181" s="3">
        <v>0</v>
      </c>
      <c r="AC181" t="s">
        <v>38</v>
      </c>
    </row>
    <row r="182" spans="1:29" x14ac:dyDescent="0.3">
      <c r="A182" t="s">
        <v>423</v>
      </c>
      <c r="B182" t="s">
        <v>424</v>
      </c>
      <c r="C182" t="s">
        <v>86</v>
      </c>
      <c r="D182" s="2">
        <v>23400</v>
      </c>
      <c r="E182" s="3">
        <v>0.15</v>
      </c>
      <c r="F182" s="2">
        <v>3510</v>
      </c>
      <c r="G182" s="2">
        <v>19890</v>
      </c>
      <c r="H182" s="3">
        <v>0.1462</v>
      </c>
      <c r="I182">
        <v>3</v>
      </c>
      <c r="J182" s="3">
        <v>1.2183333333333331E-2</v>
      </c>
      <c r="K182" s="2">
        <v>6792.2030961912342</v>
      </c>
      <c r="L182" s="2">
        <v>20376.609288573702</v>
      </c>
      <c r="M182" s="2">
        <v>486.60928857370158</v>
      </c>
      <c r="N182" s="2">
        <v>499</v>
      </c>
      <c r="O182" s="2">
        <v>323.21249999999998</v>
      </c>
      <c r="P182" t="s">
        <v>32</v>
      </c>
      <c r="Q182" s="2">
        <v>0</v>
      </c>
      <c r="R182" s="2">
        <v>662.39678857370154</v>
      </c>
      <c r="S182" t="s">
        <v>33</v>
      </c>
      <c r="T182" t="s">
        <v>67</v>
      </c>
      <c r="U182" t="s">
        <v>35</v>
      </c>
      <c r="V182" t="s">
        <v>36</v>
      </c>
      <c r="W182" t="s">
        <v>64</v>
      </c>
      <c r="X182" s="2">
        <v>985.60928857370163</v>
      </c>
      <c r="Y182" s="2">
        <v>323.21249999999998</v>
      </c>
      <c r="Z182" s="2">
        <v>662.39678857370154</v>
      </c>
      <c r="AA182" s="3">
        <v>3.3303005961473182E-2</v>
      </c>
      <c r="AB182" s="3">
        <v>0</v>
      </c>
      <c r="AC182" t="s">
        <v>38</v>
      </c>
    </row>
    <row r="183" spans="1:29" x14ac:dyDescent="0.3">
      <c r="A183" t="s">
        <v>425</v>
      </c>
      <c r="B183" t="s">
        <v>426</v>
      </c>
      <c r="C183" t="s">
        <v>41</v>
      </c>
      <c r="D183" s="2">
        <v>120800</v>
      </c>
      <c r="E183" s="3">
        <v>0.05</v>
      </c>
      <c r="F183" s="2">
        <v>6040</v>
      </c>
      <c r="G183" s="2">
        <v>114760</v>
      </c>
      <c r="H183" s="3">
        <v>0.1305</v>
      </c>
      <c r="I183">
        <v>18</v>
      </c>
      <c r="J183" s="3">
        <v>1.0874999999999999E-2</v>
      </c>
      <c r="K183" s="2">
        <v>7054.4032064141784</v>
      </c>
      <c r="L183" s="2">
        <v>126979.2577154552</v>
      </c>
      <c r="M183" s="2">
        <v>12219.257715455209</v>
      </c>
      <c r="N183" s="2">
        <v>1147.5999999999999</v>
      </c>
      <c r="O183" s="2">
        <v>11189.1</v>
      </c>
      <c r="P183" t="s">
        <v>52</v>
      </c>
      <c r="Q183" s="2">
        <v>0</v>
      </c>
      <c r="R183" s="2">
        <v>2177.7577154552132</v>
      </c>
      <c r="S183" t="s">
        <v>43</v>
      </c>
      <c r="T183" t="s">
        <v>44</v>
      </c>
      <c r="U183" t="s">
        <v>48</v>
      </c>
      <c r="V183" t="s">
        <v>36</v>
      </c>
      <c r="W183" t="s">
        <v>37</v>
      </c>
      <c r="X183" s="2">
        <v>13366.857715455209</v>
      </c>
      <c r="Y183" s="2">
        <v>11189.1</v>
      </c>
      <c r="Z183" s="2">
        <v>2177.7577154552132</v>
      </c>
      <c r="AA183" s="3">
        <v>1.897662700814929E-2</v>
      </c>
      <c r="AB183" s="3">
        <v>0</v>
      </c>
      <c r="AC183" t="s">
        <v>38</v>
      </c>
    </row>
    <row r="184" spans="1:29" x14ac:dyDescent="0.3">
      <c r="A184" t="s">
        <v>427</v>
      </c>
      <c r="B184" t="s">
        <v>428</v>
      </c>
      <c r="C184" t="s">
        <v>41</v>
      </c>
      <c r="D184" s="2">
        <v>76400</v>
      </c>
      <c r="E184" s="3">
        <v>0.15</v>
      </c>
      <c r="F184" s="2">
        <v>11460</v>
      </c>
      <c r="G184" s="2">
        <v>64940</v>
      </c>
      <c r="H184" s="3">
        <v>0.1741</v>
      </c>
      <c r="I184">
        <v>9</v>
      </c>
      <c r="J184" s="3">
        <v>1.450833333333333E-2</v>
      </c>
      <c r="K184" s="2">
        <v>7749.0338154834117</v>
      </c>
      <c r="L184" s="2">
        <v>69741.304339350711</v>
      </c>
      <c r="M184" s="2">
        <v>4801.3043393507114</v>
      </c>
      <c r="N184" s="2">
        <v>649.4</v>
      </c>
      <c r="O184" s="2">
        <v>3165.8249999999998</v>
      </c>
      <c r="P184" t="s">
        <v>32</v>
      </c>
      <c r="Q184" s="2">
        <v>0</v>
      </c>
      <c r="R184" s="2">
        <v>2284.8793393507099</v>
      </c>
      <c r="S184" t="s">
        <v>57</v>
      </c>
      <c r="T184" t="s">
        <v>74</v>
      </c>
      <c r="U184" t="s">
        <v>35</v>
      </c>
      <c r="V184" t="s">
        <v>63</v>
      </c>
      <c r="W184" t="s">
        <v>64</v>
      </c>
      <c r="X184" s="2">
        <v>5450.7043393507101</v>
      </c>
      <c r="Y184" s="2">
        <v>3165.8249999999998</v>
      </c>
      <c r="Z184" s="2">
        <v>2284.8793393507099</v>
      </c>
      <c r="AA184" s="3">
        <v>3.5184467806447642E-2</v>
      </c>
      <c r="AB184" s="3">
        <v>0</v>
      </c>
      <c r="AC184" t="s">
        <v>38</v>
      </c>
    </row>
    <row r="185" spans="1:29" x14ac:dyDescent="0.3">
      <c r="A185" t="s">
        <v>429</v>
      </c>
      <c r="B185" t="s">
        <v>430</v>
      </c>
      <c r="C185" t="s">
        <v>41</v>
      </c>
      <c r="D185" s="2">
        <v>63700</v>
      </c>
      <c r="E185" s="3">
        <v>0.05</v>
      </c>
      <c r="F185" s="2">
        <v>3185</v>
      </c>
      <c r="G185" s="2">
        <v>60515</v>
      </c>
      <c r="H185" s="3">
        <v>0.1847</v>
      </c>
      <c r="I185">
        <v>18</v>
      </c>
      <c r="J185" s="3">
        <v>1.539166666666667E-2</v>
      </c>
      <c r="K185" s="2">
        <v>3874.7785587555081</v>
      </c>
      <c r="L185" s="2">
        <v>69746.014057599139</v>
      </c>
      <c r="M185" s="2">
        <v>9231.0140575991391</v>
      </c>
      <c r="N185" s="2">
        <v>605.15</v>
      </c>
      <c r="O185" s="2">
        <v>5900.2124999999996</v>
      </c>
      <c r="P185" t="s">
        <v>32</v>
      </c>
      <c r="Q185" s="2">
        <v>0</v>
      </c>
      <c r="R185" s="2">
        <v>3935.9515575991391</v>
      </c>
      <c r="S185" t="s">
        <v>57</v>
      </c>
      <c r="T185" t="s">
        <v>116</v>
      </c>
      <c r="U185" t="s">
        <v>35</v>
      </c>
      <c r="V185" t="s">
        <v>63</v>
      </c>
      <c r="W185" t="s">
        <v>37</v>
      </c>
      <c r="X185" s="2">
        <v>9836.1640575991387</v>
      </c>
      <c r="Y185" s="2">
        <v>5900.2124999999996</v>
      </c>
      <c r="Z185" s="2">
        <v>3935.9515575991391</v>
      </c>
      <c r="AA185" s="3">
        <v>6.5040924689732119E-2</v>
      </c>
      <c r="AB185" s="3">
        <v>0</v>
      </c>
      <c r="AC185" t="s">
        <v>38</v>
      </c>
    </row>
    <row r="186" spans="1:29" x14ac:dyDescent="0.3">
      <c r="A186" t="s">
        <v>431</v>
      </c>
      <c r="B186" t="s">
        <v>432</v>
      </c>
      <c r="C186" t="s">
        <v>31</v>
      </c>
      <c r="D186" s="2">
        <v>246700</v>
      </c>
      <c r="E186" s="3">
        <v>0.1</v>
      </c>
      <c r="F186" s="2">
        <v>24670</v>
      </c>
      <c r="G186" s="2">
        <v>222030</v>
      </c>
      <c r="H186" s="3">
        <v>0.14019999999999999</v>
      </c>
      <c r="I186">
        <v>48</v>
      </c>
      <c r="J186" s="3">
        <v>1.168333333333333E-2</v>
      </c>
      <c r="K186" s="2">
        <v>6069.5253543704684</v>
      </c>
      <c r="L186" s="2">
        <v>291337.21700978238</v>
      </c>
      <c r="M186" s="2">
        <v>69307.217009782442</v>
      </c>
      <c r="N186" s="2">
        <v>2220.3000000000002</v>
      </c>
      <c r="O186" s="2">
        <v>57727.8</v>
      </c>
      <c r="P186" t="s">
        <v>32</v>
      </c>
      <c r="Q186" s="2">
        <v>0</v>
      </c>
      <c r="R186" s="2">
        <v>13799.71700978244</v>
      </c>
      <c r="S186" t="s">
        <v>43</v>
      </c>
      <c r="T186" t="s">
        <v>204</v>
      </c>
      <c r="U186" t="s">
        <v>48</v>
      </c>
      <c r="V186" t="s">
        <v>36</v>
      </c>
      <c r="W186" t="s">
        <v>49</v>
      </c>
      <c r="X186" s="2">
        <v>71527.517009782445</v>
      </c>
      <c r="Y186" s="2">
        <v>57727.8</v>
      </c>
      <c r="Z186" s="2">
        <v>13799.71700978244</v>
      </c>
      <c r="AA186" s="3">
        <v>6.2152488446527238E-2</v>
      </c>
      <c r="AB186" s="3">
        <v>0</v>
      </c>
      <c r="AC186" t="s">
        <v>38</v>
      </c>
    </row>
    <row r="187" spans="1:29" x14ac:dyDescent="0.3">
      <c r="A187" t="s">
        <v>433</v>
      </c>
      <c r="B187" t="s">
        <v>434</v>
      </c>
      <c r="C187" t="s">
        <v>86</v>
      </c>
      <c r="D187" s="2">
        <v>61800</v>
      </c>
      <c r="E187" s="3">
        <v>0.2</v>
      </c>
      <c r="F187" s="2">
        <v>12360</v>
      </c>
      <c r="G187" s="2">
        <v>49440</v>
      </c>
      <c r="H187" s="3">
        <v>0.16969999999999999</v>
      </c>
      <c r="I187">
        <v>3</v>
      </c>
      <c r="J187" s="3">
        <v>1.414166666666667E-2</v>
      </c>
      <c r="K187" s="2">
        <v>16948.29105822328</v>
      </c>
      <c r="L187" s="2">
        <v>50844.873174669847</v>
      </c>
      <c r="M187" s="2">
        <v>1404.873174669847</v>
      </c>
      <c r="N187" s="2">
        <v>499</v>
      </c>
      <c r="O187" s="2">
        <v>803.4</v>
      </c>
      <c r="P187" t="s">
        <v>32</v>
      </c>
      <c r="Q187" s="2">
        <v>0</v>
      </c>
      <c r="R187" s="2">
        <v>1100.4731746698469</v>
      </c>
      <c r="S187" t="s">
        <v>33</v>
      </c>
      <c r="T187" t="s">
        <v>204</v>
      </c>
      <c r="U187" t="s">
        <v>35</v>
      </c>
      <c r="V187" t="s">
        <v>63</v>
      </c>
      <c r="W187" t="s">
        <v>64</v>
      </c>
      <c r="X187" s="2">
        <v>1903.873174669847</v>
      </c>
      <c r="Y187" s="2">
        <v>803.4</v>
      </c>
      <c r="Z187" s="2">
        <v>1100.4731746698469</v>
      </c>
      <c r="AA187" s="3">
        <v>2.2258761623581039E-2</v>
      </c>
      <c r="AB187" s="3">
        <v>0</v>
      </c>
      <c r="AC187" t="s">
        <v>38</v>
      </c>
    </row>
    <row r="188" spans="1:29" x14ac:dyDescent="0.3">
      <c r="A188" t="s">
        <v>435</v>
      </c>
      <c r="B188" t="s">
        <v>436</v>
      </c>
      <c r="C188" t="s">
        <v>86</v>
      </c>
      <c r="D188" s="2">
        <v>26000</v>
      </c>
      <c r="E188" s="3">
        <v>0</v>
      </c>
      <c r="F188" s="2">
        <v>0</v>
      </c>
      <c r="G188" s="2">
        <v>26000</v>
      </c>
      <c r="H188" s="3">
        <v>0.1759</v>
      </c>
      <c r="I188">
        <v>18</v>
      </c>
      <c r="J188" s="3">
        <v>1.4658333333333331E-2</v>
      </c>
      <c r="K188" s="2">
        <v>1653.8731582520541</v>
      </c>
      <c r="L188" s="2">
        <v>29769.716848536969</v>
      </c>
      <c r="M188" s="2">
        <v>3769.716848536973</v>
      </c>
      <c r="N188" s="2">
        <v>499</v>
      </c>
      <c r="O188" s="2">
        <v>2535</v>
      </c>
      <c r="P188" t="s">
        <v>32</v>
      </c>
      <c r="Q188" s="2">
        <v>0</v>
      </c>
      <c r="R188" s="2">
        <v>1733.716848536973</v>
      </c>
      <c r="S188" t="s">
        <v>33</v>
      </c>
      <c r="T188" t="s">
        <v>74</v>
      </c>
      <c r="U188" t="s">
        <v>35</v>
      </c>
      <c r="V188" t="s">
        <v>63</v>
      </c>
      <c r="W188" t="s">
        <v>37</v>
      </c>
      <c r="X188" s="2">
        <v>4268.716848536973</v>
      </c>
      <c r="Y188" s="2">
        <v>2535</v>
      </c>
      <c r="Z188" s="2">
        <v>1733.716848536973</v>
      </c>
      <c r="AA188" s="3">
        <v>6.6681417251422043E-2</v>
      </c>
      <c r="AB188" s="3">
        <v>0</v>
      </c>
      <c r="AC188" t="s">
        <v>38</v>
      </c>
    </row>
    <row r="189" spans="1:29" x14ac:dyDescent="0.3">
      <c r="A189" t="s">
        <v>437</v>
      </c>
      <c r="B189" t="s">
        <v>438</v>
      </c>
      <c r="C189" t="s">
        <v>56</v>
      </c>
      <c r="D189" s="2">
        <v>1373100</v>
      </c>
      <c r="E189" s="3">
        <v>0.1</v>
      </c>
      <c r="F189" s="2">
        <v>137310</v>
      </c>
      <c r="G189" s="2">
        <v>1235790</v>
      </c>
      <c r="H189" s="3">
        <v>0.1129</v>
      </c>
      <c r="I189">
        <v>72</v>
      </c>
      <c r="J189" s="3">
        <v>9.4083333333333328E-3</v>
      </c>
      <c r="K189" s="2">
        <v>23706.091122335089</v>
      </c>
      <c r="L189" s="2">
        <v>1706838.5608081261</v>
      </c>
      <c r="M189" s="2">
        <v>471048.56080812629</v>
      </c>
      <c r="N189" s="2">
        <v>12357.9</v>
      </c>
      <c r="O189" s="2">
        <v>481958.1</v>
      </c>
      <c r="P189" t="s">
        <v>32</v>
      </c>
      <c r="Q189" s="2">
        <v>0</v>
      </c>
      <c r="R189" s="2">
        <v>1448.3608081263369</v>
      </c>
      <c r="S189" t="s">
        <v>77</v>
      </c>
      <c r="T189" t="s">
        <v>74</v>
      </c>
      <c r="U189" t="s">
        <v>59</v>
      </c>
      <c r="V189" t="s">
        <v>36</v>
      </c>
      <c r="W189" t="s">
        <v>49</v>
      </c>
      <c r="X189" s="2">
        <v>483406.46080812637</v>
      </c>
      <c r="Y189" s="2">
        <v>481958.1</v>
      </c>
      <c r="Z189" s="2">
        <v>1448.3608081263369</v>
      </c>
      <c r="AA189" s="3">
        <v>1.1720120798245151E-3</v>
      </c>
      <c r="AB189" s="3">
        <v>0</v>
      </c>
      <c r="AC189" t="s">
        <v>38</v>
      </c>
    </row>
    <row r="190" spans="1:29" x14ac:dyDescent="0.3">
      <c r="A190" t="s">
        <v>439</v>
      </c>
      <c r="B190" t="s">
        <v>440</v>
      </c>
      <c r="C190" t="s">
        <v>41</v>
      </c>
      <c r="D190" s="2">
        <v>35200</v>
      </c>
      <c r="E190" s="3">
        <v>0</v>
      </c>
      <c r="F190" s="2">
        <v>0</v>
      </c>
      <c r="G190" s="2">
        <v>35200</v>
      </c>
      <c r="H190" s="3">
        <v>0.13800000000000001</v>
      </c>
      <c r="I190">
        <v>12</v>
      </c>
      <c r="J190" s="3">
        <v>1.15E-2</v>
      </c>
      <c r="K190" s="2">
        <v>3157.1950410673221</v>
      </c>
      <c r="L190" s="2">
        <v>37886.34049280786</v>
      </c>
      <c r="M190" s="2">
        <v>2686.3404928078598</v>
      </c>
      <c r="N190" s="2">
        <v>499</v>
      </c>
      <c r="O190" s="2">
        <v>2288</v>
      </c>
      <c r="P190" t="s">
        <v>32</v>
      </c>
      <c r="Q190" s="2">
        <v>0</v>
      </c>
      <c r="R190" s="2">
        <v>897.34049280785985</v>
      </c>
      <c r="S190" t="s">
        <v>77</v>
      </c>
      <c r="T190" t="s">
        <v>47</v>
      </c>
      <c r="U190" t="s">
        <v>35</v>
      </c>
      <c r="V190" t="s">
        <v>36</v>
      </c>
      <c r="W190" t="s">
        <v>64</v>
      </c>
      <c r="X190" s="2">
        <v>3185.3404928078598</v>
      </c>
      <c r="Y190" s="2">
        <v>2288</v>
      </c>
      <c r="Z190" s="2">
        <v>897.34049280785985</v>
      </c>
      <c r="AA190" s="3">
        <v>2.5492627636586929E-2</v>
      </c>
      <c r="AB190" s="3">
        <v>0</v>
      </c>
      <c r="AC190" t="s">
        <v>38</v>
      </c>
    </row>
    <row r="191" spans="1:29" x14ac:dyDescent="0.3">
      <c r="A191" t="s">
        <v>441</v>
      </c>
      <c r="B191" t="s">
        <v>442</v>
      </c>
      <c r="C191" t="s">
        <v>86</v>
      </c>
      <c r="D191" s="2">
        <v>40100</v>
      </c>
      <c r="E191" s="3">
        <v>0</v>
      </c>
      <c r="F191" s="2">
        <v>0</v>
      </c>
      <c r="G191" s="2">
        <v>40100</v>
      </c>
      <c r="H191" s="3">
        <v>0.2064</v>
      </c>
      <c r="I191">
        <v>24</v>
      </c>
      <c r="J191" s="3">
        <v>1.72E-2</v>
      </c>
      <c r="K191" s="2">
        <v>2053.4808707570219</v>
      </c>
      <c r="L191" s="2">
        <v>49283.540898168532</v>
      </c>
      <c r="M191" s="2">
        <v>9183.5408981685323</v>
      </c>
      <c r="N191" s="2">
        <v>499</v>
      </c>
      <c r="O191" s="2">
        <v>5213</v>
      </c>
      <c r="P191" t="s">
        <v>32</v>
      </c>
      <c r="Q191" s="2">
        <v>0</v>
      </c>
      <c r="R191" s="2">
        <v>4469.5408981685323</v>
      </c>
      <c r="S191" t="s">
        <v>57</v>
      </c>
      <c r="T191" t="s">
        <v>116</v>
      </c>
      <c r="U191" t="s">
        <v>35</v>
      </c>
      <c r="V191" t="s">
        <v>63</v>
      </c>
      <c r="W191" t="s">
        <v>37</v>
      </c>
      <c r="X191" s="2">
        <v>9682.5408981685323</v>
      </c>
      <c r="Y191" s="2">
        <v>5213</v>
      </c>
      <c r="Z191" s="2">
        <v>4469.5408981685323</v>
      </c>
      <c r="AA191" s="3">
        <v>0.1114598727722826</v>
      </c>
      <c r="AB191" s="3">
        <v>0</v>
      </c>
      <c r="AC191" t="s">
        <v>38</v>
      </c>
    </row>
    <row r="192" spans="1:29" x14ac:dyDescent="0.3">
      <c r="A192" t="s">
        <v>443</v>
      </c>
      <c r="B192" t="s">
        <v>444</v>
      </c>
      <c r="C192" t="s">
        <v>31</v>
      </c>
      <c r="D192" s="2">
        <v>277400</v>
      </c>
      <c r="E192" s="3">
        <v>0.1</v>
      </c>
      <c r="F192" s="2">
        <v>27740</v>
      </c>
      <c r="G192" s="2">
        <v>249660</v>
      </c>
      <c r="H192" s="3">
        <v>0.10150000000000001</v>
      </c>
      <c r="I192">
        <v>24</v>
      </c>
      <c r="J192" s="3">
        <v>8.4583333333333333E-3</v>
      </c>
      <c r="K192" s="2">
        <v>11537.834514244139</v>
      </c>
      <c r="L192" s="2">
        <v>276908.02834185952</v>
      </c>
      <c r="M192" s="2">
        <v>27248.028341859459</v>
      </c>
      <c r="N192" s="2">
        <v>2496.6</v>
      </c>
      <c r="O192" s="2">
        <v>32455.8</v>
      </c>
      <c r="P192" t="s">
        <v>32</v>
      </c>
      <c r="Q192" s="2">
        <v>0</v>
      </c>
      <c r="R192" s="2">
        <v>-2711.1716581405421</v>
      </c>
      <c r="S192" t="s">
        <v>57</v>
      </c>
      <c r="T192" t="s">
        <v>58</v>
      </c>
      <c r="U192" t="s">
        <v>48</v>
      </c>
      <c r="V192" t="s">
        <v>36</v>
      </c>
      <c r="W192" t="s">
        <v>37</v>
      </c>
      <c r="X192" s="2">
        <v>29744.628341859461</v>
      </c>
      <c r="Y192" s="2">
        <v>32455.8</v>
      </c>
      <c r="Z192" s="2">
        <v>-2711.1716581405421</v>
      </c>
      <c r="AA192" s="3">
        <v>-1.0859455492031329E-2</v>
      </c>
      <c r="AB192" s="3">
        <v>0</v>
      </c>
      <c r="AC192" t="s">
        <v>38</v>
      </c>
    </row>
    <row r="193" spans="1:29" x14ac:dyDescent="0.3">
      <c r="A193" t="s">
        <v>445</v>
      </c>
      <c r="B193" t="s">
        <v>446</v>
      </c>
      <c r="C193" t="s">
        <v>31</v>
      </c>
      <c r="D193" s="2">
        <v>117000</v>
      </c>
      <c r="E193" s="3">
        <v>0.2</v>
      </c>
      <c r="F193" s="2">
        <v>23400</v>
      </c>
      <c r="G193" s="2">
        <v>93600</v>
      </c>
      <c r="H193" s="3">
        <v>0.10970000000000001</v>
      </c>
      <c r="I193">
        <v>24</v>
      </c>
      <c r="J193" s="3">
        <v>9.1416666666666677E-3</v>
      </c>
      <c r="K193" s="2">
        <v>4361.1900887496249</v>
      </c>
      <c r="L193" s="2">
        <v>104668.562129991</v>
      </c>
      <c r="M193" s="2">
        <v>11068.562129991</v>
      </c>
      <c r="N193" s="2">
        <v>936</v>
      </c>
      <c r="O193" s="2">
        <v>12168</v>
      </c>
      <c r="P193" t="s">
        <v>32</v>
      </c>
      <c r="Q193" s="2">
        <v>0</v>
      </c>
      <c r="R193" s="2">
        <v>-163.4378700090019</v>
      </c>
      <c r="S193" t="s">
        <v>57</v>
      </c>
      <c r="T193" t="s">
        <v>58</v>
      </c>
      <c r="U193" t="s">
        <v>35</v>
      </c>
      <c r="V193" t="s">
        <v>36</v>
      </c>
      <c r="W193" t="s">
        <v>37</v>
      </c>
      <c r="X193" s="2">
        <v>12004.562129991</v>
      </c>
      <c r="Y193" s="2">
        <v>12168</v>
      </c>
      <c r="Z193" s="2">
        <v>-163.4378700090019</v>
      </c>
      <c r="AA193" s="3">
        <v>-1.746131089839764E-3</v>
      </c>
      <c r="AB193" s="3">
        <v>0</v>
      </c>
      <c r="AC193" t="s">
        <v>38</v>
      </c>
    </row>
    <row r="194" spans="1:29" x14ac:dyDescent="0.3">
      <c r="A194" t="s">
        <v>447</v>
      </c>
      <c r="B194" t="s">
        <v>448</v>
      </c>
      <c r="C194" t="s">
        <v>86</v>
      </c>
      <c r="D194" s="2">
        <v>109400</v>
      </c>
      <c r="E194" s="3">
        <v>0.2</v>
      </c>
      <c r="F194" s="2">
        <v>21880</v>
      </c>
      <c r="G194" s="2">
        <v>87520</v>
      </c>
      <c r="H194" s="3">
        <v>0.18770000000000001</v>
      </c>
      <c r="I194">
        <v>3</v>
      </c>
      <c r="J194" s="3">
        <v>1.5641666666666668E-2</v>
      </c>
      <c r="K194" s="2">
        <v>30090.693822737991</v>
      </c>
      <c r="L194" s="2">
        <v>90272.081468213961</v>
      </c>
      <c r="M194" s="2">
        <v>2752.0814682139612</v>
      </c>
      <c r="N194" s="2">
        <v>875.2</v>
      </c>
      <c r="O194" s="2">
        <v>1422.2</v>
      </c>
      <c r="P194" t="s">
        <v>32</v>
      </c>
      <c r="Q194" s="2">
        <v>0</v>
      </c>
      <c r="R194" s="2">
        <v>2205.0814682139612</v>
      </c>
      <c r="S194" t="s">
        <v>43</v>
      </c>
      <c r="T194" t="s">
        <v>44</v>
      </c>
      <c r="U194" t="s">
        <v>35</v>
      </c>
      <c r="V194" t="s">
        <v>63</v>
      </c>
      <c r="W194" t="s">
        <v>64</v>
      </c>
      <c r="X194" s="2">
        <v>3627.281468213961</v>
      </c>
      <c r="Y194" s="2">
        <v>1422.2</v>
      </c>
      <c r="Z194" s="2">
        <v>2205.0814682139612</v>
      </c>
      <c r="AA194" s="3">
        <v>2.5195172168806679E-2</v>
      </c>
      <c r="AB194" s="3">
        <v>0</v>
      </c>
      <c r="AC194" t="s">
        <v>38</v>
      </c>
    </row>
    <row r="195" spans="1:29" x14ac:dyDescent="0.3">
      <c r="A195" t="s">
        <v>449</v>
      </c>
      <c r="B195" t="s">
        <v>450</v>
      </c>
      <c r="C195" t="s">
        <v>86</v>
      </c>
      <c r="D195" s="2">
        <v>56100</v>
      </c>
      <c r="E195" s="3">
        <v>0.15</v>
      </c>
      <c r="F195" s="2">
        <v>8415</v>
      </c>
      <c r="G195" s="2">
        <v>47685</v>
      </c>
      <c r="H195" s="3">
        <v>0.18920000000000001</v>
      </c>
      <c r="I195">
        <v>6</v>
      </c>
      <c r="J195" s="3">
        <v>1.5766666666666668E-2</v>
      </c>
      <c r="K195" s="2">
        <v>8391.7860411429447</v>
      </c>
      <c r="L195" s="2">
        <v>50350.716246857672</v>
      </c>
      <c r="M195" s="2">
        <v>2665.7162468576721</v>
      </c>
      <c r="N195" s="2">
        <v>499</v>
      </c>
      <c r="O195" s="2">
        <v>1549.7625</v>
      </c>
      <c r="P195" t="s">
        <v>32</v>
      </c>
      <c r="Q195" s="2">
        <v>0</v>
      </c>
      <c r="R195" s="2">
        <v>1614.9537468576721</v>
      </c>
      <c r="S195" t="s">
        <v>33</v>
      </c>
      <c r="T195" t="s">
        <v>70</v>
      </c>
      <c r="U195" t="s">
        <v>35</v>
      </c>
      <c r="V195" t="s">
        <v>63</v>
      </c>
      <c r="W195" t="s">
        <v>64</v>
      </c>
      <c r="X195" s="2">
        <v>3164.7162468576721</v>
      </c>
      <c r="Y195" s="2">
        <v>1549.7625</v>
      </c>
      <c r="Z195" s="2">
        <v>1614.9537468576721</v>
      </c>
      <c r="AA195" s="3">
        <v>3.3867122719045233E-2</v>
      </c>
      <c r="AB195" s="3">
        <v>0</v>
      </c>
      <c r="AC195" t="s">
        <v>38</v>
      </c>
    </row>
    <row r="196" spans="1:29" x14ac:dyDescent="0.3">
      <c r="A196" t="s">
        <v>451</v>
      </c>
      <c r="B196" t="s">
        <v>452</v>
      </c>
      <c r="C196" t="s">
        <v>56</v>
      </c>
      <c r="D196" s="2">
        <v>474400</v>
      </c>
      <c r="E196" s="3">
        <v>0.3</v>
      </c>
      <c r="F196" s="2">
        <v>142320</v>
      </c>
      <c r="G196" s="2">
        <v>332080</v>
      </c>
      <c r="H196" s="3">
        <v>0.1008</v>
      </c>
      <c r="I196">
        <v>84</v>
      </c>
      <c r="J196" s="3">
        <v>8.3999999999999995E-3</v>
      </c>
      <c r="K196" s="2">
        <v>5526.6576510762861</v>
      </c>
      <c r="L196" s="2">
        <v>464239.24269040802</v>
      </c>
      <c r="M196" s="2">
        <v>132159.24269040799</v>
      </c>
      <c r="N196" s="2">
        <v>3320.8</v>
      </c>
      <c r="O196" s="2">
        <v>151096.4</v>
      </c>
      <c r="P196" t="s">
        <v>32</v>
      </c>
      <c r="Q196" s="2">
        <v>0</v>
      </c>
      <c r="R196" s="2">
        <v>-15616.357309591989</v>
      </c>
      <c r="S196" t="s">
        <v>57</v>
      </c>
      <c r="T196" t="s">
        <v>116</v>
      </c>
      <c r="U196" t="s">
        <v>151</v>
      </c>
      <c r="V196" t="s">
        <v>36</v>
      </c>
      <c r="W196" t="s">
        <v>49</v>
      </c>
      <c r="X196" s="2">
        <v>135480.04269040801</v>
      </c>
      <c r="Y196" s="2">
        <v>151096.4</v>
      </c>
      <c r="Z196" s="2">
        <v>-15616.357309591989</v>
      </c>
      <c r="AA196" s="3">
        <v>-4.7025889272440342E-2</v>
      </c>
      <c r="AB196" s="3">
        <v>0</v>
      </c>
      <c r="AC196" t="s">
        <v>38</v>
      </c>
    </row>
    <row r="197" spans="1:29" x14ac:dyDescent="0.3">
      <c r="A197" t="s">
        <v>453</v>
      </c>
      <c r="B197" t="s">
        <v>454</v>
      </c>
      <c r="C197" t="s">
        <v>86</v>
      </c>
      <c r="D197" s="2">
        <v>51300</v>
      </c>
      <c r="E197" s="3">
        <v>0</v>
      </c>
      <c r="F197" s="2">
        <v>0</v>
      </c>
      <c r="G197" s="2">
        <v>51300</v>
      </c>
      <c r="H197" s="3">
        <v>0.1699</v>
      </c>
      <c r="I197">
        <v>24</v>
      </c>
      <c r="J197" s="3">
        <v>1.415833333333333E-2</v>
      </c>
      <c r="K197" s="2">
        <v>2536.141659576243</v>
      </c>
      <c r="L197" s="2">
        <v>60867.399829829817</v>
      </c>
      <c r="M197" s="2">
        <v>9567.3998298298247</v>
      </c>
      <c r="N197" s="2">
        <v>513</v>
      </c>
      <c r="O197" s="2">
        <v>6669</v>
      </c>
      <c r="P197" t="s">
        <v>32</v>
      </c>
      <c r="Q197" s="2">
        <v>0</v>
      </c>
      <c r="R197" s="2">
        <v>3411.3998298298252</v>
      </c>
      <c r="S197" t="s">
        <v>33</v>
      </c>
      <c r="T197" t="s">
        <v>53</v>
      </c>
      <c r="U197" t="s">
        <v>35</v>
      </c>
      <c r="V197" t="s">
        <v>63</v>
      </c>
      <c r="W197" t="s">
        <v>37</v>
      </c>
      <c r="X197" s="2">
        <v>10080.399829829819</v>
      </c>
      <c r="Y197" s="2">
        <v>6669</v>
      </c>
      <c r="Z197" s="2">
        <v>3411.3998298298252</v>
      </c>
      <c r="AA197" s="3">
        <v>6.6499022023973189E-2</v>
      </c>
      <c r="AB197" s="3">
        <v>0</v>
      </c>
      <c r="AC197" t="s">
        <v>38</v>
      </c>
    </row>
    <row r="198" spans="1:29" x14ac:dyDescent="0.3">
      <c r="A198" t="s">
        <v>455</v>
      </c>
      <c r="B198" t="s">
        <v>456</v>
      </c>
      <c r="C198" t="s">
        <v>86</v>
      </c>
      <c r="D198" s="2">
        <v>81600</v>
      </c>
      <c r="E198" s="3">
        <v>0.2</v>
      </c>
      <c r="F198" s="2">
        <v>16320</v>
      </c>
      <c r="G198" s="2">
        <v>65280</v>
      </c>
      <c r="H198" s="3">
        <v>0.14829999999999999</v>
      </c>
      <c r="I198">
        <v>18</v>
      </c>
      <c r="J198" s="3">
        <v>1.2358333333333331E-2</v>
      </c>
      <c r="K198" s="2">
        <v>4067.2579840844442</v>
      </c>
      <c r="L198" s="2">
        <v>73210.643713519996</v>
      </c>
      <c r="M198" s="2">
        <v>7930.6437135199958</v>
      </c>
      <c r="N198" s="2">
        <v>652.80000000000007</v>
      </c>
      <c r="O198" s="2">
        <v>6364.7999999999993</v>
      </c>
      <c r="P198" t="s">
        <v>32</v>
      </c>
      <c r="Q198" s="2">
        <v>0</v>
      </c>
      <c r="R198" s="2">
        <v>2218.6437135199958</v>
      </c>
      <c r="S198" t="s">
        <v>43</v>
      </c>
      <c r="T198" t="s">
        <v>62</v>
      </c>
      <c r="U198" t="s">
        <v>35</v>
      </c>
      <c r="V198" t="s">
        <v>36</v>
      </c>
      <c r="W198" t="s">
        <v>37</v>
      </c>
      <c r="X198" s="2">
        <v>8583.4437135199951</v>
      </c>
      <c r="Y198" s="2">
        <v>6364.7999999999993</v>
      </c>
      <c r="Z198" s="2">
        <v>2218.6437135199958</v>
      </c>
      <c r="AA198" s="3">
        <v>3.3986576493872482E-2</v>
      </c>
      <c r="AB198" s="3">
        <v>0</v>
      </c>
      <c r="AC198" t="s">
        <v>38</v>
      </c>
    </row>
    <row r="199" spans="1:29" x14ac:dyDescent="0.3">
      <c r="A199" t="s">
        <v>457</v>
      </c>
      <c r="B199" t="s">
        <v>458</v>
      </c>
      <c r="C199" t="s">
        <v>41</v>
      </c>
      <c r="D199" s="2">
        <v>67300</v>
      </c>
      <c r="E199" s="3">
        <v>0.15</v>
      </c>
      <c r="F199" s="2">
        <v>10095</v>
      </c>
      <c r="G199" s="2">
        <v>57205</v>
      </c>
      <c r="H199" s="3">
        <v>0.1714</v>
      </c>
      <c r="I199">
        <v>36</v>
      </c>
      <c r="J199" s="3">
        <v>1.428333333333333E-2</v>
      </c>
      <c r="K199" s="2">
        <v>2043.502307519514</v>
      </c>
      <c r="L199" s="2">
        <v>73566.083070702502</v>
      </c>
      <c r="M199" s="2">
        <v>16361.0830707025</v>
      </c>
      <c r="N199" s="2">
        <v>572.05000000000007</v>
      </c>
      <c r="O199" s="2">
        <v>11154.975</v>
      </c>
      <c r="P199" t="s">
        <v>32</v>
      </c>
      <c r="Q199" s="2">
        <v>0</v>
      </c>
      <c r="R199" s="2">
        <v>5778.1580707024996</v>
      </c>
      <c r="S199" t="s">
        <v>57</v>
      </c>
      <c r="T199" t="s">
        <v>67</v>
      </c>
      <c r="U199" t="s">
        <v>35</v>
      </c>
      <c r="V199" t="s">
        <v>63</v>
      </c>
      <c r="W199" t="s">
        <v>37</v>
      </c>
      <c r="X199" s="2">
        <v>16933.133070702501</v>
      </c>
      <c r="Y199" s="2">
        <v>11154.975</v>
      </c>
      <c r="Z199" s="2">
        <v>5778.1580707024996</v>
      </c>
      <c r="AA199" s="3">
        <v>0.1010079201241587</v>
      </c>
      <c r="AB199" s="3">
        <v>0</v>
      </c>
      <c r="AC199" t="s">
        <v>38</v>
      </c>
    </row>
    <row r="200" spans="1:29" x14ac:dyDescent="0.3">
      <c r="A200" t="s">
        <v>459</v>
      </c>
      <c r="B200" t="s">
        <v>460</v>
      </c>
      <c r="C200" t="s">
        <v>86</v>
      </c>
      <c r="D200" s="2">
        <v>23100</v>
      </c>
      <c r="E200" s="3">
        <v>0</v>
      </c>
      <c r="F200" s="2">
        <v>0</v>
      </c>
      <c r="G200" s="2">
        <v>23100</v>
      </c>
      <c r="H200" s="3">
        <v>0.1973</v>
      </c>
      <c r="I200">
        <v>12</v>
      </c>
      <c r="J200" s="3">
        <v>1.644166666666667E-2</v>
      </c>
      <c r="K200" s="2">
        <v>2136.873198286446</v>
      </c>
      <c r="L200" s="2">
        <v>25642.478379437351</v>
      </c>
      <c r="M200" s="2">
        <v>2542.478379437347</v>
      </c>
      <c r="N200" s="2">
        <v>499</v>
      </c>
      <c r="O200" s="2">
        <v>1501.5</v>
      </c>
      <c r="P200" t="s">
        <v>52</v>
      </c>
      <c r="Q200" s="2">
        <v>0</v>
      </c>
      <c r="R200" s="2">
        <v>1539.978379437347</v>
      </c>
      <c r="S200" t="s">
        <v>33</v>
      </c>
      <c r="T200" t="s">
        <v>74</v>
      </c>
      <c r="U200" t="s">
        <v>35</v>
      </c>
      <c r="V200" t="s">
        <v>63</v>
      </c>
      <c r="W200" t="s">
        <v>64</v>
      </c>
      <c r="X200" s="2">
        <v>3041.478379437347</v>
      </c>
      <c r="Y200" s="2">
        <v>1501.5</v>
      </c>
      <c r="Z200" s="2">
        <v>1539.978379437347</v>
      </c>
      <c r="AA200" s="3">
        <v>6.6665730711573459E-2</v>
      </c>
      <c r="AB200" s="3">
        <v>0</v>
      </c>
      <c r="AC200" t="s">
        <v>38</v>
      </c>
    </row>
    <row r="201" spans="1:29" x14ac:dyDescent="0.3">
      <c r="A201" t="s">
        <v>461</v>
      </c>
      <c r="B201" t="s">
        <v>462</v>
      </c>
      <c r="C201" t="s">
        <v>56</v>
      </c>
      <c r="D201" s="2">
        <v>747200</v>
      </c>
      <c r="E201" s="3">
        <v>0.3</v>
      </c>
      <c r="F201" s="2">
        <v>224160</v>
      </c>
      <c r="G201" s="2">
        <v>523040</v>
      </c>
      <c r="H201" s="3">
        <v>9.4299999999999995E-2</v>
      </c>
      <c r="I201">
        <v>72</v>
      </c>
      <c r="J201" s="3">
        <v>7.8583333333333335E-3</v>
      </c>
      <c r="K201" s="2">
        <v>9540.0869994594086</v>
      </c>
      <c r="L201" s="2">
        <v>686886.26396107743</v>
      </c>
      <c r="M201" s="2">
        <v>163846.26396107741</v>
      </c>
      <c r="N201" s="2">
        <v>5230.4000000000005</v>
      </c>
      <c r="O201" s="2">
        <v>203985.6</v>
      </c>
      <c r="P201" t="s">
        <v>32</v>
      </c>
      <c r="Q201" s="2">
        <v>0</v>
      </c>
      <c r="R201" s="2">
        <v>-34908.936038922548</v>
      </c>
      <c r="S201" t="s">
        <v>33</v>
      </c>
      <c r="T201" t="s">
        <v>67</v>
      </c>
      <c r="U201" t="s">
        <v>59</v>
      </c>
      <c r="V201" t="s">
        <v>71</v>
      </c>
      <c r="W201" t="s">
        <v>49</v>
      </c>
      <c r="X201" s="2">
        <v>169076.6639610774</v>
      </c>
      <c r="Y201" s="2">
        <v>203985.6</v>
      </c>
      <c r="Z201" s="2">
        <v>-34908.936038922548</v>
      </c>
      <c r="AA201" s="3">
        <v>-6.6742383066156596E-2</v>
      </c>
      <c r="AB201" s="3">
        <v>0</v>
      </c>
      <c r="AC201" t="s">
        <v>38</v>
      </c>
    </row>
    <row r="202" spans="1:29" x14ac:dyDescent="0.3">
      <c r="A202" t="s">
        <v>463</v>
      </c>
      <c r="B202" t="s">
        <v>464</v>
      </c>
      <c r="C202" t="s">
        <v>86</v>
      </c>
      <c r="D202" s="2">
        <v>48000</v>
      </c>
      <c r="E202" s="3">
        <v>0.05</v>
      </c>
      <c r="F202" s="2">
        <v>2400</v>
      </c>
      <c r="G202" s="2">
        <v>45600</v>
      </c>
      <c r="H202" s="3">
        <v>0.20250000000000001</v>
      </c>
      <c r="I202">
        <v>24</v>
      </c>
      <c r="J202" s="3">
        <v>1.6875000000000001E-2</v>
      </c>
      <c r="K202" s="2">
        <v>2326.4215007622261</v>
      </c>
      <c r="L202" s="2">
        <v>55834.116018293433</v>
      </c>
      <c r="M202" s="2">
        <v>10234.116018293431</v>
      </c>
      <c r="N202" s="2">
        <v>499</v>
      </c>
      <c r="O202" s="2">
        <v>5928</v>
      </c>
      <c r="P202" t="s">
        <v>52</v>
      </c>
      <c r="Q202" s="2">
        <v>0</v>
      </c>
      <c r="R202" s="2">
        <v>4805.1160182934254</v>
      </c>
      <c r="S202" t="s">
        <v>77</v>
      </c>
      <c r="T202" t="s">
        <v>107</v>
      </c>
      <c r="U202" t="s">
        <v>35</v>
      </c>
      <c r="V202" t="s">
        <v>63</v>
      </c>
      <c r="W202" t="s">
        <v>37</v>
      </c>
      <c r="X202" s="2">
        <v>10733.116018293431</v>
      </c>
      <c r="Y202" s="2">
        <v>5928</v>
      </c>
      <c r="Z202" s="2">
        <v>4805.1160182934254</v>
      </c>
      <c r="AA202" s="3">
        <v>0.1053753512783646</v>
      </c>
      <c r="AB202" s="3">
        <v>0</v>
      </c>
      <c r="AC202" t="s">
        <v>38</v>
      </c>
    </row>
    <row r="203" spans="1:29" x14ac:dyDescent="0.3">
      <c r="A203" t="s">
        <v>465</v>
      </c>
      <c r="B203" t="s">
        <v>466</v>
      </c>
      <c r="C203" t="s">
        <v>56</v>
      </c>
      <c r="D203" s="2">
        <v>1217600</v>
      </c>
      <c r="E203" s="3">
        <v>0.2</v>
      </c>
      <c r="F203" s="2">
        <v>243520</v>
      </c>
      <c r="G203" s="2">
        <v>974080</v>
      </c>
      <c r="H203" s="3">
        <v>0.1118</v>
      </c>
      <c r="I203">
        <v>72</v>
      </c>
      <c r="J203" s="3">
        <v>9.3166666666666658E-3</v>
      </c>
      <c r="K203" s="2">
        <v>18630.644215333559</v>
      </c>
      <c r="L203" s="2">
        <v>1341406.383504017</v>
      </c>
      <c r="M203" s="2">
        <v>367326.38350401662</v>
      </c>
      <c r="N203" s="2">
        <v>9740.8000000000011</v>
      </c>
      <c r="O203" s="2">
        <v>379891.20000000001</v>
      </c>
      <c r="P203" t="s">
        <v>32</v>
      </c>
      <c r="Q203" s="2">
        <v>0</v>
      </c>
      <c r="R203" s="2">
        <v>-2824.016495983466</v>
      </c>
      <c r="S203" t="s">
        <v>57</v>
      </c>
      <c r="T203" t="s">
        <v>44</v>
      </c>
      <c r="U203" t="s">
        <v>59</v>
      </c>
      <c r="V203" t="s">
        <v>36</v>
      </c>
      <c r="W203" t="s">
        <v>49</v>
      </c>
      <c r="X203" s="2">
        <v>377067.18350401649</v>
      </c>
      <c r="Y203" s="2">
        <v>379891.20000000001</v>
      </c>
      <c r="Z203" s="2">
        <v>-2824.016495983466</v>
      </c>
      <c r="AA203" s="3">
        <v>-2.8991627956466261E-3</v>
      </c>
      <c r="AB203" s="3">
        <v>0</v>
      </c>
      <c r="AC203" t="s">
        <v>38</v>
      </c>
    </row>
    <row r="204" spans="1:29" x14ac:dyDescent="0.3">
      <c r="A204" t="s">
        <v>467</v>
      </c>
      <c r="B204" t="s">
        <v>468</v>
      </c>
      <c r="C204" t="s">
        <v>41</v>
      </c>
      <c r="D204" s="2">
        <v>140500</v>
      </c>
      <c r="E204" s="3">
        <v>0.15</v>
      </c>
      <c r="F204" s="2">
        <v>21075</v>
      </c>
      <c r="G204" s="2">
        <v>119425</v>
      </c>
      <c r="H204" s="3">
        <v>0.1615</v>
      </c>
      <c r="I204">
        <v>6</v>
      </c>
      <c r="J204" s="3">
        <v>1.3458333333333331E-2</v>
      </c>
      <c r="K204" s="2">
        <v>20852.179669229201</v>
      </c>
      <c r="L204" s="2">
        <v>125113.0780153752</v>
      </c>
      <c r="M204" s="2">
        <v>5688.0780153752276</v>
      </c>
      <c r="N204" s="2">
        <v>1194.25</v>
      </c>
      <c r="O204" s="2">
        <v>3881.3125</v>
      </c>
      <c r="P204" t="s">
        <v>52</v>
      </c>
      <c r="Q204" s="2">
        <v>0</v>
      </c>
      <c r="R204" s="2">
        <v>3001.015515375228</v>
      </c>
      <c r="S204" t="s">
        <v>43</v>
      </c>
      <c r="T204" t="s">
        <v>70</v>
      </c>
      <c r="U204" t="s">
        <v>48</v>
      </c>
      <c r="V204" t="s">
        <v>63</v>
      </c>
      <c r="W204" t="s">
        <v>64</v>
      </c>
      <c r="X204" s="2">
        <v>6882.3280153752276</v>
      </c>
      <c r="Y204" s="2">
        <v>3881.3125</v>
      </c>
      <c r="Z204" s="2">
        <v>3001.015515375228</v>
      </c>
      <c r="AA204" s="3">
        <v>2.5128871805528391E-2</v>
      </c>
      <c r="AB204" s="3">
        <v>0</v>
      </c>
      <c r="AC204" t="s">
        <v>38</v>
      </c>
    </row>
    <row r="205" spans="1:29" x14ac:dyDescent="0.3">
      <c r="A205" t="s">
        <v>469</v>
      </c>
      <c r="B205" t="s">
        <v>470</v>
      </c>
      <c r="C205" t="s">
        <v>86</v>
      </c>
      <c r="D205" s="2">
        <v>19500</v>
      </c>
      <c r="E205" s="3">
        <v>0.05</v>
      </c>
      <c r="F205" s="2">
        <v>975</v>
      </c>
      <c r="G205" s="2">
        <v>18525</v>
      </c>
      <c r="H205" s="3">
        <v>0.16619999999999999</v>
      </c>
      <c r="I205">
        <v>9</v>
      </c>
      <c r="J205" s="3">
        <v>1.3849999999999999E-2</v>
      </c>
      <c r="K205" s="2">
        <v>2203.4864103127411</v>
      </c>
      <c r="L205" s="2">
        <v>19831.377692814669</v>
      </c>
      <c r="M205" s="2">
        <v>1306.3776928146649</v>
      </c>
      <c r="N205" s="2">
        <v>499</v>
      </c>
      <c r="O205" s="2">
        <v>903.09375</v>
      </c>
      <c r="P205" t="s">
        <v>32</v>
      </c>
      <c r="Q205" s="2">
        <v>0</v>
      </c>
      <c r="R205" s="2">
        <v>902.28394281466535</v>
      </c>
      <c r="S205" t="s">
        <v>57</v>
      </c>
      <c r="T205" t="s">
        <v>47</v>
      </c>
      <c r="U205" t="s">
        <v>35</v>
      </c>
      <c r="V205" t="s">
        <v>63</v>
      </c>
      <c r="W205" t="s">
        <v>64</v>
      </c>
      <c r="X205" s="2">
        <v>1805.3776928146649</v>
      </c>
      <c r="Y205" s="2">
        <v>903.09375</v>
      </c>
      <c r="Z205" s="2">
        <v>902.28394281466535</v>
      </c>
      <c r="AA205" s="3">
        <v>4.8706285711992731E-2</v>
      </c>
      <c r="AB205" s="3">
        <v>0</v>
      </c>
      <c r="AC205" t="s">
        <v>38</v>
      </c>
    </row>
    <row r="206" spans="1:29" x14ac:dyDescent="0.3">
      <c r="A206" t="s">
        <v>471</v>
      </c>
      <c r="B206" t="s">
        <v>472</v>
      </c>
      <c r="C206" t="s">
        <v>31</v>
      </c>
      <c r="D206" s="2">
        <v>144400</v>
      </c>
      <c r="E206" s="3">
        <v>0.25</v>
      </c>
      <c r="F206" s="2">
        <v>36100</v>
      </c>
      <c r="G206" s="2">
        <v>108300</v>
      </c>
      <c r="H206" s="3">
        <v>0.10340000000000001</v>
      </c>
      <c r="I206">
        <v>36</v>
      </c>
      <c r="J206" s="3">
        <v>8.6166666666666666E-3</v>
      </c>
      <c r="K206" s="2">
        <v>3511.8495937851621</v>
      </c>
      <c r="L206" s="2">
        <v>126426.58537626579</v>
      </c>
      <c r="M206" s="2">
        <v>18126.585376265841</v>
      </c>
      <c r="N206" s="2">
        <v>1083</v>
      </c>
      <c r="O206" s="2">
        <v>21118.5</v>
      </c>
      <c r="P206" t="s">
        <v>32</v>
      </c>
      <c r="Q206" s="2">
        <v>0</v>
      </c>
      <c r="R206" s="2">
        <v>-1908.9146237341629</v>
      </c>
      <c r="S206" t="s">
        <v>77</v>
      </c>
      <c r="T206" t="s">
        <v>67</v>
      </c>
      <c r="U206" t="s">
        <v>48</v>
      </c>
      <c r="V206" t="s">
        <v>36</v>
      </c>
      <c r="W206" t="s">
        <v>37</v>
      </c>
      <c r="X206" s="2">
        <v>19209.585376265841</v>
      </c>
      <c r="Y206" s="2">
        <v>21118.5</v>
      </c>
      <c r="Z206" s="2">
        <v>-1908.9146237341629</v>
      </c>
      <c r="AA206" s="3">
        <v>-1.7626173811026439E-2</v>
      </c>
      <c r="AB206" s="3">
        <v>0</v>
      </c>
      <c r="AC206" t="s">
        <v>38</v>
      </c>
    </row>
    <row r="207" spans="1:29" x14ac:dyDescent="0.3">
      <c r="A207" t="s">
        <v>473</v>
      </c>
      <c r="B207" t="s">
        <v>474</v>
      </c>
      <c r="C207" t="s">
        <v>56</v>
      </c>
      <c r="D207" s="2">
        <v>1442700</v>
      </c>
      <c r="E207" s="3">
        <v>0.2</v>
      </c>
      <c r="F207" s="2">
        <v>288540</v>
      </c>
      <c r="G207" s="2">
        <v>1154160</v>
      </c>
      <c r="H207" s="3">
        <v>8.7300000000000003E-2</v>
      </c>
      <c r="I207">
        <v>72</v>
      </c>
      <c r="J207" s="3">
        <v>7.2750000000000002E-3</v>
      </c>
      <c r="K207" s="2">
        <v>20650.029631995701</v>
      </c>
      <c r="L207" s="2">
        <v>1486802.1335036899</v>
      </c>
      <c r="M207" s="2">
        <v>332642.13350369042</v>
      </c>
      <c r="N207" s="2">
        <v>11541.6</v>
      </c>
      <c r="O207" s="2">
        <v>450122.4</v>
      </c>
      <c r="P207" t="s">
        <v>32</v>
      </c>
      <c r="Q207" s="2">
        <v>0</v>
      </c>
      <c r="R207" s="2">
        <v>-105938.6664963097</v>
      </c>
      <c r="S207" t="s">
        <v>43</v>
      </c>
      <c r="T207" t="s">
        <v>62</v>
      </c>
      <c r="U207" t="s">
        <v>59</v>
      </c>
      <c r="V207" t="s">
        <v>71</v>
      </c>
      <c r="W207" t="s">
        <v>49</v>
      </c>
      <c r="X207" s="2">
        <v>344183.73350369028</v>
      </c>
      <c r="Y207" s="2">
        <v>450122.4</v>
      </c>
      <c r="Z207" s="2">
        <v>-105938.6664963097</v>
      </c>
      <c r="AA207" s="3">
        <v>-9.1788544479370002E-2</v>
      </c>
      <c r="AB207" s="3">
        <v>0</v>
      </c>
      <c r="AC207" t="s">
        <v>38</v>
      </c>
    </row>
    <row r="208" spans="1:29" x14ac:dyDescent="0.3">
      <c r="A208" t="s">
        <v>475</v>
      </c>
      <c r="B208" t="s">
        <v>476</v>
      </c>
      <c r="C208" t="s">
        <v>86</v>
      </c>
      <c r="D208" s="2">
        <v>76000</v>
      </c>
      <c r="E208" s="3">
        <v>0</v>
      </c>
      <c r="F208" s="2">
        <v>0</v>
      </c>
      <c r="G208" s="2">
        <v>76000</v>
      </c>
      <c r="H208" s="3">
        <v>0.20250000000000001</v>
      </c>
      <c r="I208">
        <v>3</v>
      </c>
      <c r="J208" s="3">
        <v>1.6875000000000001E-2</v>
      </c>
      <c r="K208" s="2">
        <v>26193.10235746792</v>
      </c>
      <c r="L208" s="2">
        <v>78579.307072403753</v>
      </c>
      <c r="M208" s="2">
        <v>2579.307072403753</v>
      </c>
      <c r="N208" s="2">
        <v>760</v>
      </c>
      <c r="O208" s="2">
        <v>1235</v>
      </c>
      <c r="P208" t="s">
        <v>42</v>
      </c>
      <c r="Q208" s="2">
        <v>30400</v>
      </c>
      <c r="R208" s="2">
        <v>-28295.69292759625</v>
      </c>
      <c r="S208" t="s">
        <v>77</v>
      </c>
      <c r="T208" t="s">
        <v>53</v>
      </c>
      <c r="U208" t="s">
        <v>35</v>
      </c>
      <c r="V208" t="s">
        <v>63</v>
      </c>
      <c r="W208" t="s">
        <v>64</v>
      </c>
      <c r="X208" s="2">
        <v>3339.307072403753</v>
      </c>
      <c r="Y208" s="2">
        <v>31635</v>
      </c>
      <c r="Z208" s="2">
        <v>-28295.69292759625</v>
      </c>
      <c r="AA208" s="3">
        <v>-0.37231174904731901</v>
      </c>
      <c r="AB208" s="3">
        <v>0.4</v>
      </c>
      <c r="AC208" t="s">
        <v>38</v>
      </c>
    </row>
    <row r="209" spans="1:29" x14ac:dyDescent="0.3">
      <c r="A209" t="s">
        <v>477</v>
      </c>
      <c r="B209" t="s">
        <v>478</v>
      </c>
      <c r="C209" t="s">
        <v>41</v>
      </c>
      <c r="D209" s="2">
        <v>95900</v>
      </c>
      <c r="E209" s="3">
        <v>0.15</v>
      </c>
      <c r="F209" s="2">
        <v>14385</v>
      </c>
      <c r="G209" s="2">
        <v>81515</v>
      </c>
      <c r="H209" s="3">
        <v>0.16839999999999999</v>
      </c>
      <c r="I209">
        <v>36</v>
      </c>
      <c r="J209" s="3">
        <v>1.403333333333333E-2</v>
      </c>
      <c r="K209" s="2">
        <v>2899.7452369378948</v>
      </c>
      <c r="L209" s="2">
        <v>104390.8285297642</v>
      </c>
      <c r="M209" s="2">
        <v>22875.828529764229</v>
      </c>
      <c r="N209" s="2">
        <v>815.15</v>
      </c>
      <c r="O209" s="2">
        <v>15895.424999999999</v>
      </c>
      <c r="P209" t="s">
        <v>32</v>
      </c>
      <c r="Q209" s="2">
        <v>0</v>
      </c>
      <c r="R209" s="2">
        <v>7795.5535297642291</v>
      </c>
      <c r="S209" t="s">
        <v>77</v>
      </c>
      <c r="T209" t="s">
        <v>116</v>
      </c>
      <c r="U209" t="s">
        <v>35</v>
      </c>
      <c r="V209" t="s">
        <v>63</v>
      </c>
      <c r="W209" t="s">
        <v>37</v>
      </c>
      <c r="X209" s="2">
        <v>23690.97852976423</v>
      </c>
      <c r="Y209" s="2">
        <v>15895.424999999999</v>
      </c>
      <c r="Z209" s="2">
        <v>7795.5535297642291</v>
      </c>
      <c r="AA209" s="3">
        <v>9.5633362323059912E-2</v>
      </c>
      <c r="AB209" s="3">
        <v>0</v>
      </c>
      <c r="AC209" t="s">
        <v>38</v>
      </c>
    </row>
    <row r="210" spans="1:29" x14ac:dyDescent="0.3">
      <c r="A210" t="s">
        <v>479</v>
      </c>
      <c r="B210" t="s">
        <v>480</v>
      </c>
      <c r="C210" t="s">
        <v>31</v>
      </c>
      <c r="D210" s="2">
        <v>197700</v>
      </c>
      <c r="E210" s="3">
        <v>0.15</v>
      </c>
      <c r="F210" s="2">
        <v>29655</v>
      </c>
      <c r="G210" s="2">
        <v>168045</v>
      </c>
      <c r="H210" s="3">
        <v>0.1424</v>
      </c>
      <c r="I210">
        <v>48</v>
      </c>
      <c r="J210" s="3">
        <v>1.1866666666666669E-2</v>
      </c>
      <c r="K210" s="2">
        <v>4612.3345243008389</v>
      </c>
      <c r="L210" s="2">
        <v>221392.0571664403</v>
      </c>
      <c r="M210" s="2">
        <v>53347.057166440267</v>
      </c>
      <c r="N210" s="2">
        <v>1680.45</v>
      </c>
      <c r="O210" s="2">
        <v>43691.7</v>
      </c>
      <c r="P210" t="s">
        <v>32</v>
      </c>
      <c r="Q210" s="2">
        <v>0</v>
      </c>
      <c r="R210" s="2">
        <v>11335.80716644026</v>
      </c>
      <c r="S210" t="s">
        <v>43</v>
      </c>
      <c r="T210" t="s">
        <v>58</v>
      </c>
      <c r="U210" t="s">
        <v>48</v>
      </c>
      <c r="V210" t="s">
        <v>36</v>
      </c>
      <c r="W210" t="s">
        <v>49</v>
      </c>
      <c r="X210" s="2">
        <v>55027.507166440257</v>
      </c>
      <c r="Y210" s="2">
        <v>43691.7</v>
      </c>
      <c r="Z210" s="2">
        <v>11335.80716644026</v>
      </c>
      <c r="AA210" s="3">
        <v>6.7456973825107916E-2</v>
      </c>
      <c r="AB210" s="3">
        <v>0</v>
      </c>
      <c r="AC210" t="s">
        <v>38</v>
      </c>
    </row>
    <row r="211" spans="1:29" x14ac:dyDescent="0.3">
      <c r="A211" t="s">
        <v>481</v>
      </c>
      <c r="B211" t="s">
        <v>482</v>
      </c>
      <c r="C211" t="s">
        <v>86</v>
      </c>
      <c r="D211" s="2">
        <v>28800</v>
      </c>
      <c r="E211" s="3">
        <v>0</v>
      </c>
      <c r="F211" s="2">
        <v>0</v>
      </c>
      <c r="G211" s="2">
        <v>28800</v>
      </c>
      <c r="H211" s="3">
        <v>0.18140000000000001</v>
      </c>
      <c r="I211">
        <v>18</v>
      </c>
      <c r="J211" s="3">
        <v>1.5116666666666671E-2</v>
      </c>
      <c r="K211" s="2">
        <v>1839.529120761996</v>
      </c>
      <c r="L211" s="2">
        <v>33111.524173715923</v>
      </c>
      <c r="M211" s="2">
        <v>4311.5241737159231</v>
      </c>
      <c r="N211" s="2">
        <v>499</v>
      </c>
      <c r="O211" s="2">
        <v>2808</v>
      </c>
      <c r="P211" t="s">
        <v>52</v>
      </c>
      <c r="Q211" s="2">
        <v>0</v>
      </c>
      <c r="R211" s="2">
        <v>2002.5241737159231</v>
      </c>
      <c r="S211" t="s">
        <v>77</v>
      </c>
      <c r="T211" t="s">
        <v>44</v>
      </c>
      <c r="U211" t="s">
        <v>35</v>
      </c>
      <c r="V211" t="s">
        <v>63</v>
      </c>
      <c r="W211" t="s">
        <v>37</v>
      </c>
      <c r="X211" s="2">
        <v>4810.5241737159231</v>
      </c>
      <c r="Y211" s="2">
        <v>2808</v>
      </c>
      <c r="Z211" s="2">
        <v>2002.5241737159231</v>
      </c>
      <c r="AA211" s="3">
        <v>6.9532089365136218E-2</v>
      </c>
      <c r="AB211" s="3">
        <v>0</v>
      </c>
      <c r="AC211" t="s">
        <v>38</v>
      </c>
    </row>
    <row r="212" spans="1:29" x14ac:dyDescent="0.3">
      <c r="A212" t="s">
        <v>483</v>
      </c>
      <c r="B212" t="s">
        <v>484</v>
      </c>
      <c r="C212" t="s">
        <v>41</v>
      </c>
      <c r="D212" s="2">
        <v>149500</v>
      </c>
      <c r="E212" s="3">
        <v>0.05</v>
      </c>
      <c r="F212" s="2">
        <v>7475</v>
      </c>
      <c r="G212" s="2">
        <v>142025</v>
      </c>
      <c r="H212" s="3">
        <v>0.14280000000000001</v>
      </c>
      <c r="I212">
        <v>18</v>
      </c>
      <c r="J212" s="3">
        <v>1.1900000000000001E-2</v>
      </c>
      <c r="K212" s="2">
        <v>8812.1486304855371</v>
      </c>
      <c r="L212" s="2">
        <v>158618.67534873969</v>
      </c>
      <c r="M212" s="2">
        <v>16593.67534873966</v>
      </c>
      <c r="N212" s="2">
        <v>1420.25</v>
      </c>
      <c r="O212" s="2">
        <v>13847.4375</v>
      </c>
      <c r="P212" t="s">
        <v>52</v>
      </c>
      <c r="Q212" s="2">
        <v>0</v>
      </c>
      <c r="R212" s="2">
        <v>4166.4878487396636</v>
      </c>
      <c r="S212" t="s">
        <v>33</v>
      </c>
      <c r="T212" t="s">
        <v>116</v>
      </c>
      <c r="U212" t="s">
        <v>48</v>
      </c>
      <c r="V212" t="s">
        <v>36</v>
      </c>
      <c r="W212" t="s">
        <v>37</v>
      </c>
      <c r="X212" s="2">
        <v>18013.92534873966</v>
      </c>
      <c r="Y212" s="2">
        <v>13847.4375</v>
      </c>
      <c r="Z212" s="2">
        <v>4166.4878487396636</v>
      </c>
      <c r="AA212" s="3">
        <v>2.933629888216626E-2</v>
      </c>
      <c r="AB212" s="3">
        <v>0</v>
      </c>
      <c r="AC212" t="s">
        <v>38</v>
      </c>
    </row>
    <row r="213" spans="1:29" x14ac:dyDescent="0.3">
      <c r="A213" t="s">
        <v>485</v>
      </c>
      <c r="B213" t="s">
        <v>486</v>
      </c>
      <c r="C213" t="s">
        <v>86</v>
      </c>
      <c r="D213" s="2">
        <v>87900</v>
      </c>
      <c r="E213" s="3">
        <v>0.05</v>
      </c>
      <c r="F213" s="2">
        <v>4395</v>
      </c>
      <c r="G213" s="2">
        <v>83505</v>
      </c>
      <c r="H213" s="3">
        <v>0.2198</v>
      </c>
      <c r="I213">
        <v>24</v>
      </c>
      <c r="J213" s="3">
        <v>1.8316666666666669E-2</v>
      </c>
      <c r="K213" s="2">
        <v>4331.260604550811</v>
      </c>
      <c r="L213" s="2">
        <v>103950.25450921951</v>
      </c>
      <c r="M213" s="2">
        <v>20445.25450921946</v>
      </c>
      <c r="N213" s="2">
        <v>835.05000000000007</v>
      </c>
      <c r="O213" s="2">
        <v>10855.65</v>
      </c>
      <c r="P213" t="s">
        <v>32</v>
      </c>
      <c r="Q213" s="2">
        <v>0</v>
      </c>
      <c r="R213" s="2">
        <v>10424.654509219459</v>
      </c>
      <c r="S213" t="s">
        <v>33</v>
      </c>
      <c r="T213" t="s">
        <v>70</v>
      </c>
      <c r="U213" t="s">
        <v>35</v>
      </c>
      <c r="V213" t="s">
        <v>63</v>
      </c>
      <c r="W213" t="s">
        <v>37</v>
      </c>
      <c r="X213" s="2">
        <v>21280.304509219459</v>
      </c>
      <c r="Y213" s="2">
        <v>10855.65</v>
      </c>
      <c r="Z213" s="2">
        <v>10424.654509219459</v>
      </c>
      <c r="AA213" s="3">
        <v>0.1248386864166153</v>
      </c>
      <c r="AB213" s="3">
        <v>0</v>
      </c>
      <c r="AC213" t="s">
        <v>38</v>
      </c>
    </row>
    <row r="214" spans="1:29" x14ac:dyDescent="0.3">
      <c r="A214" t="s">
        <v>487</v>
      </c>
      <c r="B214" t="s">
        <v>488</v>
      </c>
      <c r="C214" t="s">
        <v>41</v>
      </c>
      <c r="D214" s="2">
        <v>136400</v>
      </c>
      <c r="E214" s="3">
        <v>0.05</v>
      </c>
      <c r="F214" s="2">
        <v>6820</v>
      </c>
      <c r="G214" s="2">
        <v>129580</v>
      </c>
      <c r="H214" s="3">
        <v>0.18809999999999999</v>
      </c>
      <c r="I214">
        <v>36</v>
      </c>
      <c r="J214" s="3">
        <v>1.5675000000000001E-2</v>
      </c>
      <c r="K214" s="2">
        <v>4737.4483932974363</v>
      </c>
      <c r="L214" s="2">
        <v>170548.14215870769</v>
      </c>
      <c r="M214" s="2">
        <v>40968.14215870772</v>
      </c>
      <c r="N214" s="2">
        <v>1295.8</v>
      </c>
      <c r="O214" s="2">
        <v>25268.1</v>
      </c>
      <c r="P214" t="s">
        <v>32</v>
      </c>
      <c r="Q214" s="2">
        <v>0</v>
      </c>
      <c r="R214" s="2">
        <v>16995.842158707721</v>
      </c>
      <c r="S214" t="s">
        <v>43</v>
      </c>
      <c r="T214" t="s">
        <v>58</v>
      </c>
      <c r="U214" t="s">
        <v>48</v>
      </c>
      <c r="V214" t="s">
        <v>63</v>
      </c>
      <c r="W214" t="s">
        <v>37</v>
      </c>
      <c r="X214" s="2">
        <v>42263.942158707723</v>
      </c>
      <c r="Y214" s="2">
        <v>25268.1</v>
      </c>
      <c r="Z214" s="2">
        <v>16995.842158707721</v>
      </c>
      <c r="AA214" s="3">
        <v>0.13116099829223429</v>
      </c>
      <c r="AB214" s="3">
        <v>0</v>
      </c>
      <c r="AC214" t="s">
        <v>38</v>
      </c>
    </row>
    <row r="215" spans="1:29" x14ac:dyDescent="0.3">
      <c r="A215" t="s">
        <v>489</v>
      </c>
      <c r="B215" t="s">
        <v>490</v>
      </c>
      <c r="C215" t="s">
        <v>56</v>
      </c>
      <c r="D215" s="2">
        <v>1271300</v>
      </c>
      <c r="E215" s="3">
        <v>0.1</v>
      </c>
      <c r="F215" s="2">
        <v>127130</v>
      </c>
      <c r="G215" s="2">
        <v>1144170</v>
      </c>
      <c r="H215" s="3">
        <v>9.2100000000000001E-2</v>
      </c>
      <c r="I215">
        <v>72</v>
      </c>
      <c r="J215" s="3">
        <v>7.6750000000000004E-3</v>
      </c>
      <c r="K215" s="2">
        <v>20743.731627396701</v>
      </c>
      <c r="L215" s="2">
        <v>1493548.677172563</v>
      </c>
      <c r="M215" s="2">
        <v>349378.67717256257</v>
      </c>
      <c r="N215" s="2">
        <v>11441.7</v>
      </c>
      <c r="O215" s="2">
        <v>446226.3</v>
      </c>
      <c r="P215" t="s">
        <v>32</v>
      </c>
      <c r="Q215" s="2">
        <v>0</v>
      </c>
      <c r="R215" s="2">
        <v>-85405.922827437462</v>
      </c>
      <c r="S215" t="s">
        <v>77</v>
      </c>
      <c r="T215" t="s">
        <v>116</v>
      </c>
      <c r="U215" t="s">
        <v>59</v>
      </c>
      <c r="V215" t="s">
        <v>71</v>
      </c>
      <c r="W215" t="s">
        <v>49</v>
      </c>
      <c r="X215" s="2">
        <v>360820.37717256258</v>
      </c>
      <c r="Y215" s="2">
        <v>446226.3</v>
      </c>
      <c r="Z215" s="2">
        <v>-85405.922827437462</v>
      </c>
      <c r="AA215" s="3">
        <v>-7.4644434679669511E-2</v>
      </c>
      <c r="AB215" s="3">
        <v>0</v>
      </c>
      <c r="AC215" t="s">
        <v>38</v>
      </c>
    </row>
    <row r="216" spans="1:29" x14ac:dyDescent="0.3">
      <c r="A216" t="s">
        <v>491</v>
      </c>
      <c r="B216" t="s">
        <v>492</v>
      </c>
      <c r="C216" t="s">
        <v>56</v>
      </c>
      <c r="D216" s="2">
        <v>1006800</v>
      </c>
      <c r="E216" s="3">
        <v>0.1</v>
      </c>
      <c r="F216" s="2">
        <v>100680</v>
      </c>
      <c r="G216" s="2">
        <v>906120</v>
      </c>
      <c r="H216" s="3">
        <v>0.10340000000000001</v>
      </c>
      <c r="I216">
        <v>36</v>
      </c>
      <c r="J216" s="3">
        <v>8.6166666666666666E-3</v>
      </c>
      <c r="K216" s="2">
        <v>29382.79920517646</v>
      </c>
      <c r="L216" s="2">
        <v>1057780.7713863531</v>
      </c>
      <c r="M216" s="2">
        <v>151660.7713863526</v>
      </c>
      <c r="N216" s="2">
        <v>9061.2000000000007</v>
      </c>
      <c r="O216" s="2">
        <v>176693.4</v>
      </c>
      <c r="P216" t="s">
        <v>32</v>
      </c>
      <c r="Q216" s="2">
        <v>0</v>
      </c>
      <c r="R216" s="2">
        <v>-15971.428613647409</v>
      </c>
      <c r="S216" t="s">
        <v>57</v>
      </c>
      <c r="T216" t="s">
        <v>70</v>
      </c>
      <c r="U216" t="s">
        <v>59</v>
      </c>
      <c r="V216" t="s">
        <v>36</v>
      </c>
      <c r="W216" t="s">
        <v>37</v>
      </c>
      <c r="X216" s="2">
        <v>160721.97138635261</v>
      </c>
      <c r="Y216" s="2">
        <v>176693.4</v>
      </c>
      <c r="Z216" s="2">
        <v>-15971.428613647409</v>
      </c>
      <c r="AA216" s="3">
        <v>-1.7626173811026592E-2</v>
      </c>
      <c r="AB216" s="3">
        <v>0</v>
      </c>
      <c r="AC216" t="s">
        <v>38</v>
      </c>
    </row>
    <row r="217" spans="1:29" x14ac:dyDescent="0.3">
      <c r="A217" t="s">
        <v>493</v>
      </c>
      <c r="B217" t="s">
        <v>494</v>
      </c>
      <c r="C217" t="s">
        <v>41</v>
      </c>
      <c r="D217" s="2">
        <v>76200</v>
      </c>
      <c r="E217" s="3">
        <v>0.1</v>
      </c>
      <c r="F217" s="2">
        <v>7620</v>
      </c>
      <c r="G217" s="2">
        <v>68580</v>
      </c>
      <c r="H217" s="3">
        <v>0.16600000000000001</v>
      </c>
      <c r="I217">
        <v>9</v>
      </c>
      <c r="J217" s="3">
        <v>1.3833333333333329E-2</v>
      </c>
      <c r="K217" s="2">
        <v>8156.7020307293797</v>
      </c>
      <c r="L217" s="2">
        <v>73410.318276564416</v>
      </c>
      <c r="M217" s="2">
        <v>4830.318276564416</v>
      </c>
      <c r="N217" s="2">
        <v>685.80000000000007</v>
      </c>
      <c r="O217" s="2">
        <v>3343.2750000000001</v>
      </c>
      <c r="P217" t="s">
        <v>32</v>
      </c>
      <c r="Q217" s="2">
        <v>0</v>
      </c>
      <c r="R217" s="2">
        <v>2172.843276564417</v>
      </c>
      <c r="S217" t="s">
        <v>57</v>
      </c>
      <c r="T217" t="s">
        <v>116</v>
      </c>
      <c r="U217" t="s">
        <v>35</v>
      </c>
      <c r="V217" t="s">
        <v>63</v>
      </c>
      <c r="W217" t="s">
        <v>64</v>
      </c>
      <c r="X217" s="2">
        <v>5516.1182765644162</v>
      </c>
      <c r="Y217" s="2">
        <v>3343.2750000000001</v>
      </c>
      <c r="Z217" s="2">
        <v>2172.843276564417</v>
      </c>
      <c r="AA217" s="3">
        <v>3.168333736606032E-2</v>
      </c>
      <c r="AB217" s="3">
        <v>0</v>
      </c>
      <c r="AC217" t="s">
        <v>38</v>
      </c>
    </row>
    <row r="218" spans="1:29" x14ac:dyDescent="0.3">
      <c r="A218" t="s">
        <v>495</v>
      </c>
      <c r="B218" t="s">
        <v>496</v>
      </c>
      <c r="C218" t="s">
        <v>31</v>
      </c>
      <c r="D218" s="2">
        <v>142700</v>
      </c>
      <c r="E218" s="3">
        <v>0.25</v>
      </c>
      <c r="F218" s="2">
        <v>35675</v>
      </c>
      <c r="G218" s="2">
        <v>107025</v>
      </c>
      <c r="H218" s="3">
        <v>0.17019999999999999</v>
      </c>
      <c r="I218">
        <v>60</v>
      </c>
      <c r="J218" s="3">
        <v>1.4183333333333331E-2</v>
      </c>
      <c r="K218" s="2">
        <v>2660.997993440471</v>
      </c>
      <c r="L218" s="2">
        <v>159659.87960642829</v>
      </c>
      <c r="M218" s="2">
        <v>52634.879606428272</v>
      </c>
      <c r="N218" s="2">
        <v>1070.25</v>
      </c>
      <c r="O218" s="2">
        <v>34783.125</v>
      </c>
      <c r="P218" t="s">
        <v>52</v>
      </c>
      <c r="Q218" s="2">
        <v>0</v>
      </c>
      <c r="R218" s="2">
        <v>18922.004606428269</v>
      </c>
      <c r="S218" t="s">
        <v>43</v>
      </c>
      <c r="T218" t="s">
        <v>107</v>
      </c>
      <c r="U218" t="s">
        <v>48</v>
      </c>
      <c r="V218" t="s">
        <v>63</v>
      </c>
      <c r="W218" t="s">
        <v>49</v>
      </c>
      <c r="X218" s="2">
        <v>53705.129606428272</v>
      </c>
      <c r="Y218" s="2">
        <v>34783.125</v>
      </c>
      <c r="Z218" s="2">
        <v>18922.004606428269</v>
      </c>
      <c r="AA218" s="3">
        <v>0.17679985616844909</v>
      </c>
      <c r="AB218" s="3">
        <v>0</v>
      </c>
      <c r="AC218" t="s">
        <v>38</v>
      </c>
    </row>
    <row r="219" spans="1:29" x14ac:dyDescent="0.3">
      <c r="A219" t="s">
        <v>497</v>
      </c>
      <c r="B219" t="s">
        <v>498</v>
      </c>
      <c r="C219" t="s">
        <v>41</v>
      </c>
      <c r="D219" s="2">
        <v>133500</v>
      </c>
      <c r="E219" s="3">
        <v>0.05</v>
      </c>
      <c r="F219" s="2">
        <v>6675</v>
      </c>
      <c r="G219" s="2">
        <v>126825</v>
      </c>
      <c r="H219" s="3">
        <v>0.1865</v>
      </c>
      <c r="I219">
        <v>24</v>
      </c>
      <c r="J219" s="3">
        <v>1.5541666666666671E-2</v>
      </c>
      <c r="K219" s="2">
        <v>6371.5272831594702</v>
      </c>
      <c r="L219" s="2">
        <v>152916.65479582729</v>
      </c>
      <c r="M219" s="2">
        <v>26091.654795827289</v>
      </c>
      <c r="N219" s="2">
        <v>1268.25</v>
      </c>
      <c r="O219" s="2">
        <v>16487.25</v>
      </c>
      <c r="P219" t="s">
        <v>52</v>
      </c>
      <c r="Q219" s="2">
        <v>0</v>
      </c>
      <c r="R219" s="2">
        <v>10872.654795827289</v>
      </c>
      <c r="S219" t="s">
        <v>43</v>
      </c>
      <c r="T219" t="s">
        <v>53</v>
      </c>
      <c r="U219" t="s">
        <v>48</v>
      </c>
      <c r="V219" t="s">
        <v>63</v>
      </c>
      <c r="W219" t="s">
        <v>37</v>
      </c>
      <c r="X219" s="2">
        <v>27359.904795827289</v>
      </c>
      <c r="Y219" s="2">
        <v>16487.25</v>
      </c>
      <c r="Z219" s="2">
        <v>10872.654795827289</v>
      </c>
      <c r="AA219" s="3">
        <v>8.5729586405103766E-2</v>
      </c>
      <c r="AB219" s="3">
        <v>0</v>
      </c>
      <c r="AC219" t="s">
        <v>38</v>
      </c>
    </row>
    <row r="220" spans="1:29" x14ac:dyDescent="0.3">
      <c r="A220" t="s">
        <v>499</v>
      </c>
      <c r="B220" t="s">
        <v>500</v>
      </c>
      <c r="C220" t="s">
        <v>56</v>
      </c>
      <c r="D220" s="2">
        <v>648000</v>
      </c>
      <c r="E220" s="3">
        <v>0.2</v>
      </c>
      <c r="F220" s="2">
        <v>129600</v>
      </c>
      <c r="G220" s="2">
        <v>518400</v>
      </c>
      <c r="H220" s="3">
        <v>0.1134</v>
      </c>
      <c r="I220">
        <v>84</v>
      </c>
      <c r="J220" s="3">
        <v>9.4500000000000001E-3</v>
      </c>
      <c r="K220" s="2">
        <v>8969.2157037329616</v>
      </c>
      <c r="L220" s="2">
        <v>753414.1191135688</v>
      </c>
      <c r="M220" s="2">
        <v>235014.1191135688</v>
      </c>
      <c r="N220" s="2">
        <v>5184</v>
      </c>
      <c r="O220" s="2">
        <v>235872</v>
      </c>
      <c r="P220" t="s">
        <v>32</v>
      </c>
      <c r="Q220" s="2">
        <v>0</v>
      </c>
      <c r="R220" s="2">
        <v>4326.1191135687986</v>
      </c>
      <c r="S220" t="s">
        <v>77</v>
      </c>
      <c r="T220" t="s">
        <v>74</v>
      </c>
      <c r="U220" t="s">
        <v>59</v>
      </c>
      <c r="V220" t="s">
        <v>36</v>
      </c>
      <c r="W220" t="s">
        <v>49</v>
      </c>
      <c r="X220" s="2">
        <v>240198.1191135688</v>
      </c>
      <c r="Y220" s="2">
        <v>235872</v>
      </c>
      <c r="Z220" s="2">
        <v>4326.1191135687986</v>
      </c>
      <c r="AA220" s="3">
        <v>8.3451371789521576E-3</v>
      </c>
      <c r="AB220" s="3">
        <v>0</v>
      </c>
      <c r="AC220" t="s">
        <v>38</v>
      </c>
    </row>
    <row r="221" spans="1:29" x14ac:dyDescent="0.3">
      <c r="A221" t="s">
        <v>501</v>
      </c>
      <c r="B221" t="s">
        <v>502</v>
      </c>
      <c r="C221" t="s">
        <v>31</v>
      </c>
      <c r="D221" s="2">
        <v>192200</v>
      </c>
      <c r="E221" s="3">
        <v>0.25</v>
      </c>
      <c r="F221" s="2">
        <v>48050</v>
      </c>
      <c r="G221" s="2">
        <v>144150</v>
      </c>
      <c r="H221" s="3">
        <v>0.11</v>
      </c>
      <c r="I221">
        <v>36</v>
      </c>
      <c r="J221" s="3">
        <v>9.1666666666666667E-3</v>
      </c>
      <c r="K221" s="2">
        <v>4719.2860724158454</v>
      </c>
      <c r="L221" s="2">
        <v>169894.29860697041</v>
      </c>
      <c r="M221" s="2">
        <v>25744.298606970409</v>
      </c>
      <c r="N221" s="2">
        <v>1441.5</v>
      </c>
      <c r="O221" s="2">
        <v>28109.25</v>
      </c>
      <c r="P221" t="s">
        <v>32</v>
      </c>
      <c r="Q221" s="2">
        <v>0</v>
      </c>
      <c r="R221" s="2">
        <v>-923.45139302959433</v>
      </c>
      <c r="S221" t="s">
        <v>43</v>
      </c>
      <c r="T221" t="s">
        <v>34</v>
      </c>
      <c r="U221" t="s">
        <v>48</v>
      </c>
      <c r="V221" t="s">
        <v>36</v>
      </c>
      <c r="W221" t="s">
        <v>37</v>
      </c>
      <c r="X221" s="2">
        <v>27185.798606970409</v>
      </c>
      <c r="Y221" s="2">
        <v>28109.25</v>
      </c>
      <c r="Z221" s="2">
        <v>-923.45139302959433</v>
      </c>
      <c r="AA221" s="3">
        <v>-6.4061837879264274E-3</v>
      </c>
      <c r="AB221" s="3">
        <v>0</v>
      </c>
      <c r="AC221" t="s">
        <v>38</v>
      </c>
    </row>
    <row r="222" spans="1:29" x14ac:dyDescent="0.3">
      <c r="A222" t="s">
        <v>503</v>
      </c>
      <c r="B222" t="s">
        <v>504</v>
      </c>
      <c r="C222" t="s">
        <v>56</v>
      </c>
      <c r="D222" s="2">
        <v>569600</v>
      </c>
      <c r="E222" s="3">
        <v>0.2</v>
      </c>
      <c r="F222" s="2">
        <v>113920</v>
      </c>
      <c r="G222" s="2">
        <v>455680</v>
      </c>
      <c r="H222" s="3">
        <v>0.1048</v>
      </c>
      <c r="I222">
        <v>84</v>
      </c>
      <c r="J222" s="3">
        <v>8.7333333333333343E-3</v>
      </c>
      <c r="K222" s="2">
        <v>7678.3218445633138</v>
      </c>
      <c r="L222" s="2">
        <v>644979.03494331834</v>
      </c>
      <c r="M222" s="2">
        <v>189299.03494331829</v>
      </c>
      <c r="N222" s="2">
        <v>4556.8</v>
      </c>
      <c r="O222" s="2">
        <v>207334.39999999999</v>
      </c>
      <c r="P222" t="s">
        <v>32</v>
      </c>
      <c r="Q222" s="2">
        <v>0</v>
      </c>
      <c r="R222" s="2">
        <v>-13478.56505668166</v>
      </c>
      <c r="S222" t="s">
        <v>33</v>
      </c>
      <c r="T222" t="s">
        <v>62</v>
      </c>
      <c r="U222" t="s">
        <v>151</v>
      </c>
      <c r="V222" t="s">
        <v>36</v>
      </c>
      <c r="W222" t="s">
        <v>49</v>
      </c>
      <c r="X222" s="2">
        <v>193855.8349433183</v>
      </c>
      <c r="Y222" s="2">
        <v>207334.39999999999</v>
      </c>
      <c r="Z222" s="2">
        <v>-13478.56505668166</v>
      </c>
      <c r="AA222" s="3">
        <v>-2.9579013905990301E-2</v>
      </c>
      <c r="AB222" s="3">
        <v>0</v>
      </c>
      <c r="AC222" t="s">
        <v>38</v>
      </c>
    </row>
    <row r="223" spans="1:29" x14ac:dyDescent="0.3">
      <c r="A223" t="s">
        <v>505</v>
      </c>
      <c r="B223" t="s">
        <v>506</v>
      </c>
      <c r="C223" t="s">
        <v>86</v>
      </c>
      <c r="D223" s="2">
        <v>114200</v>
      </c>
      <c r="E223" s="3">
        <v>0.2</v>
      </c>
      <c r="F223" s="2">
        <v>22840</v>
      </c>
      <c r="G223" s="2">
        <v>91360</v>
      </c>
      <c r="H223" s="3">
        <v>0.20169999999999999</v>
      </c>
      <c r="I223">
        <v>9</v>
      </c>
      <c r="J223" s="3">
        <v>1.6808333333333331E-2</v>
      </c>
      <c r="K223" s="2">
        <v>11023.18059222693</v>
      </c>
      <c r="L223" s="2">
        <v>99208.625330042385</v>
      </c>
      <c r="M223" s="2">
        <v>7848.625330042385</v>
      </c>
      <c r="N223" s="2">
        <v>913.6</v>
      </c>
      <c r="O223" s="2">
        <v>4453.8</v>
      </c>
      <c r="P223" t="s">
        <v>52</v>
      </c>
      <c r="Q223" s="2">
        <v>0</v>
      </c>
      <c r="R223" s="2">
        <v>4308.4253300423852</v>
      </c>
      <c r="S223" t="s">
        <v>57</v>
      </c>
      <c r="T223" t="s">
        <v>34</v>
      </c>
      <c r="U223" t="s">
        <v>35</v>
      </c>
      <c r="V223" t="s">
        <v>63</v>
      </c>
      <c r="W223" t="s">
        <v>64</v>
      </c>
      <c r="X223" s="2">
        <v>8762.2253300423854</v>
      </c>
      <c r="Y223" s="2">
        <v>4453.8</v>
      </c>
      <c r="Z223" s="2">
        <v>4308.4253300423852</v>
      </c>
      <c r="AA223" s="3">
        <v>4.7158771125682848E-2</v>
      </c>
      <c r="AB223" s="3">
        <v>0</v>
      </c>
      <c r="AC223" t="s">
        <v>38</v>
      </c>
    </row>
    <row r="224" spans="1:29" x14ac:dyDescent="0.3">
      <c r="A224" t="s">
        <v>507</v>
      </c>
      <c r="B224" t="s">
        <v>508</v>
      </c>
      <c r="C224" t="s">
        <v>31</v>
      </c>
      <c r="D224" s="2">
        <v>179500</v>
      </c>
      <c r="E224" s="3">
        <v>0.15</v>
      </c>
      <c r="F224" s="2">
        <v>26925</v>
      </c>
      <c r="G224" s="2">
        <v>152575</v>
      </c>
      <c r="H224" s="3">
        <v>0.1502</v>
      </c>
      <c r="I224">
        <v>36</v>
      </c>
      <c r="J224" s="3">
        <v>1.2516666666666671E-2</v>
      </c>
      <c r="K224" s="2">
        <v>5290.5569512068523</v>
      </c>
      <c r="L224" s="2">
        <v>190460.05024344669</v>
      </c>
      <c r="M224" s="2">
        <v>37885.050243446691</v>
      </c>
      <c r="N224" s="2">
        <v>1525.75</v>
      </c>
      <c r="O224" s="2">
        <v>29752.125</v>
      </c>
      <c r="P224" t="s">
        <v>32</v>
      </c>
      <c r="Q224" s="2">
        <v>0</v>
      </c>
      <c r="R224" s="2">
        <v>9658.6752434466907</v>
      </c>
      <c r="S224" t="s">
        <v>57</v>
      </c>
      <c r="T224" t="s">
        <v>204</v>
      </c>
      <c r="U224" t="s">
        <v>48</v>
      </c>
      <c r="V224" t="s">
        <v>63</v>
      </c>
      <c r="W224" t="s">
        <v>37</v>
      </c>
      <c r="X224" s="2">
        <v>39410.800243446691</v>
      </c>
      <c r="Y224" s="2">
        <v>29752.125</v>
      </c>
      <c r="Z224" s="2">
        <v>9658.6752434466907</v>
      </c>
      <c r="AA224" s="3">
        <v>6.330444203471533E-2</v>
      </c>
      <c r="AB224" s="3">
        <v>0</v>
      </c>
      <c r="AC224" t="s">
        <v>38</v>
      </c>
    </row>
    <row r="225" spans="1:29" x14ac:dyDescent="0.3">
      <c r="A225" t="s">
        <v>509</v>
      </c>
      <c r="B225" t="s">
        <v>510</v>
      </c>
      <c r="C225" t="s">
        <v>41</v>
      </c>
      <c r="D225" s="2">
        <v>111100</v>
      </c>
      <c r="E225" s="3">
        <v>0.15</v>
      </c>
      <c r="F225" s="2">
        <v>16665</v>
      </c>
      <c r="G225" s="2">
        <v>94435</v>
      </c>
      <c r="H225" s="3">
        <v>0.1326</v>
      </c>
      <c r="I225">
        <v>18</v>
      </c>
      <c r="J225" s="3">
        <v>1.1050000000000001E-2</v>
      </c>
      <c r="K225" s="2">
        <v>5814.2655265689646</v>
      </c>
      <c r="L225" s="2">
        <v>104656.7794782414</v>
      </c>
      <c r="M225" s="2">
        <v>10221.779478241369</v>
      </c>
      <c r="N225" s="2">
        <v>944.35</v>
      </c>
      <c r="O225" s="2">
        <v>9207.4125000000004</v>
      </c>
      <c r="P225" t="s">
        <v>32</v>
      </c>
      <c r="Q225" s="2">
        <v>0</v>
      </c>
      <c r="R225" s="2">
        <v>1958.7169782413689</v>
      </c>
      <c r="S225" t="s">
        <v>77</v>
      </c>
      <c r="T225" t="s">
        <v>34</v>
      </c>
      <c r="U225" t="s">
        <v>35</v>
      </c>
      <c r="V225" t="s">
        <v>36</v>
      </c>
      <c r="W225" t="s">
        <v>37</v>
      </c>
      <c r="X225" s="2">
        <v>11166.12947824137</v>
      </c>
      <c r="Y225" s="2">
        <v>9207.4125000000004</v>
      </c>
      <c r="Z225" s="2">
        <v>1958.7169782413689</v>
      </c>
      <c r="AA225" s="3">
        <v>2.0741430383241059E-2</v>
      </c>
      <c r="AB225" s="3">
        <v>0</v>
      </c>
      <c r="AC225" t="s">
        <v>38</v>
      </c>
    </row>
    <row r="226" spans="1:29" x14ac:dyDescent="0.3">
      <c r="A226" t="s">
        <v>511</v>
      </c>
      <c r="B226" t="s">
        <v>512</v>
      </c>
      <c r="C226" t="s">
        <v>86</v>
      </c>
      <c r="D226" s="2">
        <v>104500</v>
      </c>
      <c r="E226" s="3">
        <v>0.1</v>
      </c>
      <c r="F226" s="2">
        <v>10450</v>
      </c>
      <c r="G226" s="2">
        <v>94050</v>
      </c>
      <c r="H226" s="3">
        <v>0.16550000000000001</v>
      </c>
      <c r="I226">
        <v>9</v>
      </c>
      <c r="J226" s="3">
        <v>1.3791666666666671E-2</v>
      </c>
      <c r="K226" s="2">
        <v>11183.77196428048</v>
      </c>
      <c r="L226" s="2">
        <v>100653.9476785243</v>
      </c>
      <c r="M226" s="2">
        <v>6603.9476785243023</v>
      </c>
      <c r="N226" s="2">
        <v>940.5</v>
      </c>
      <c r="O226" s="2">
        <v>4584.9375</v>
      </c>
      <c r="P226" t="s">
        <v>52</v>
      </c>
      <c r="Q226" s="2">
        <v>0</v>
      </c>
      <c r="R226" s="2">
        <v>2959.5101785243019</v>
      </c>
      <c r="S226" t="s">
        <v>77</v>
      </c>
      <c r="T226" t="s">
        <v>70</v>
      </c>
      <c r="U226" t="s">
        <v>35</v>
      </c>
      <c r="V226" t="s">
        <v>63</v>
      </c>
      <c r="W226" t="s">
        <v>64</v>
      </c>
      <c r="X226" s="2">
        <v>7544.4476785243023</v>
      </c>
      <c r="Y226" s="2">
        <v>4584.9375</v>
      </c>
      <c r="Z226" s="2">
        <v>2959.5101785243019</v>
      </c>
      <c r="AA226" s="3">
        <v>3.146741284980651E-2</v>
      </c>
      <c r="AB226" s="3">
        <v>0</v>
      </c>
      <c r="AC226" t="s">
        <v>38</v>
      </c>
    </row>
    <row r="227" spans="1:29" x14ac:dyDescent="0.3">
      <c r="A227" t="s">
        <v>513</v>
      </c>
      <c r="B227" t="s">
        <v>514</v>
      </c>
      <c r="C227" t="s">
        <v>31</v>
      </c>
      <c r="D227" s="2">
        <v>136600</v>
      </c>
      <c r="E227" s="3">
        <v>0.2</v>
      </c>
      <c r="F227" s="2">
        <v>27320</v>
      </c>
      <c r="G227" s="2">
        <v>109280</v>
      </c>
      <c r="H227" s="3">
        <v>0.13730000000000001</v>
      </c>
      <c r="I227">
        <v>36</v>
      </c>
      <c r="J227" s="3">
        <v>1.1441666666666669E-2</v>
      </c>
      <c r="K227" s="2">
        <v>3720.6168056571601</v>
      </c>
      <c r="L227" s="2">
        <v>133942.20500365779</v>
      </c>
      <c r="M227" s="2">
        <v>24662.20500365776</v>
      </c>
      <c r="N227" s="2">
        <v>1092.8</v>
      </c>
      <c r="O227" s="2">
        <v>21309.599999999999</v>
      </c>
      <c r="P227" t="s">
        <v>52</v>
      </c>
      <c r="Q227" s="2">
        <v>0</v>
      </c>
      <c r="R227" s="2">
        <v>4445.4050036577573</v>
      </c>
      <c r="S227" t="s">
        <v>33</v>
      </c>
      <c r="T227" t="s">
        <v>62</v>
      </c>
      <c r="U227" t="s">
        <v>48</v>
      </c>
      <c r="V227" t="s">
        <v>36</v>
      </c>
      <c r="W227" t="s">
        <v>37</v>
      </c>
      <c r="X227" s="2">
        <v>25755.00500365776</v>
      </c>
      <c r="Y227" s="2">
        <v>21309.599999999999</v>
      </c>
      <c r="Z227" s="2">
        <v>4445.4050036577573</v>
      </c>
      <c r="AA227" s="3">
        <v>4.0679035538595879E-2</v>
      </c>
      <c r="AB227" s="3">
        <v>0</v>
      </c>
      <c r="AC227" t="s">
        <v>38</v>
      </c>
    </row>
    <row r="228" spans="1:29" x14ac:dyDescent="0.3">
      <c r="A228" t="s">
        <v>515</v>
      </c>
      <c r="B228" t="s">
        <v>516</v>
      </c>
      <c r="C228" t="s">
        <v>86</v>
      </c>
      <c r="D228" s="2">
        <v>51000</v>
      </c>
      <c r="E228" s="3">
        <v>0</v>
      </c>
      <c r="F228" s="2">
        <v>0</v>
      </c>
      <c r="G228" s="2">
        <v>51000</v>
      </c>
      <c r="H228" s="3">
        <v>0.18920000000000001</v>
      </c>
      <c r="I228">
        <v>6</v>
      </c>
      <c r="J228" s="3">
        <v>1.5766666666666668E-2</v>
      </c>
      <c r="K228" s="2">
        <v>8975.1722365165169</v>
      </c>
      <c r="L228" s="2">
        <v>53851.033419099098</v>
      </c>
      <c r="M228" s="2">
        <v>2851.033419099098</v>
      </c>
      <c r="N228" s="2">
        <v>510</v>
      </c>
      <c r="O228" s="2">
        <v>1657.5</v>
      </c>
      <c r="P228" t="s">
        <v>32</v>
      </c>
      <c r="Q228" s="2">
        <v>0</v>
      </c>
      <c r="R228" s="2">
        <v>1703.533419099098</v>
      </c>
      <c r="S228" t="s">
        <v>77</v>
      </c>
      <c r="T228" t="s">
        <v>74</v>
      </c>
      <c r="U228" t="s">
        <v>35</v>
      </c>
      <c r="V228" t="s">
        <v>63</v>
      </c>
      <c r="W228" t="s">
        <v>64</v>
      </c>
      <c r="X228" s="2">
        <v>3361.033419099098</v>
      </c>
      <c r="Y228" s="2">
        <v>1657.5</v>
      </c>
      <c r="Z228" s="2">
        <v>1703.533419099098</v>
      </c>
      <c r="AA228" s="3">
        <v>3.3402616060766617E-2</v>
      </c>
      <c r="AB228" s="3">
        <v>0</v>
      </c>
      <c r="AC228" t="s">
        <v>38</v>
      </c>
    </row>
    <row r="229" spans="1:29" x14ac:dyDescent="0.3">
      <c r="A229" t="s">
        <v>517</v>
      </c>
      <c r="B229" t="s">
        <v>518</v>
      </c>
      <c r="C229" t="s">
        <v>31</v>
      </c>
      <c r="D229" s="2">
        <v>179600</v>
      </c>
      <c r="E229" s="3">
        <v>0.15</v>
      </c>
      <c r="F229" s="2">
        <v>26940</v>
      </c>
      <c r="G229" s="2">
        <v>152660</v>
      </c>
      <c r="H229" s="3">
        <v>0.14119999999999999</v>
      </c>
      <c r="I229">
        <v>48</v>
      </c>
      <c r="J229" s="3">
        <v>1.176666666666667E-2</v>
      </c>
      <c r="K229" s="2">
        <v>4180.8551974500369</v>
      </c>
      <c r="L229" s="2">
        <v>200681.0494776018</v>
      </c>
      <c r="M229" s="2">
        <v>48021.049477601773</v>
      </c>
      <c r="N229" s="2">
        <v>1526.6</v>
      </c>
      <c r="O229" s="2">
        <v>39691.599999999999</v>
      </c>
      <c r="P229" t="s">
        <v>32</v>
      </c>
      <c r="Q229" s="2">
        <v>0</v>
      </c>
      <c r="R229" s="2">
        <v>9856.0494776017731</v>
      </c>
      <c r="S229" t="s">
        <v>33</v>
      </c>
      <c r="T229" t="s">
        <v>107</v>
      </c>
      <c r="U229" t="s">
        <v>48</v>
      </c>
      <c r="V229" t="s">
        <v>36</v>
      </c>
      <c r="W229" t="s">
        <v>49</v>
      </c>
      <c r="X229" s="2">
        <v>49547.649477601772</v>
      </c>
      <c r="Y229" s="2">
        <v>39691.599999999999</v>
      </c>
      <c r="Z229" s="2">
        <v>9856.0494776017731</v>
      </c>
      <c r="AA229" s="3">
        <v>6.4562095359634308E-2</v>
      </c>
      <c r="AB229" s="3">
        <v>0</v>
      </c>
      <c r="AC229" t="s">
        <v>38</v>
      </c>
    </row>
    <row r="230" spans="1:29" x14ac:dyDescent="0.3">
      <c r="A230" t="s">
        <v>519</v>
      </c>
      <c r="B230" t="s">
        <v>520</v>
      </c>
      <c r="C230" t="s">
        <v>41</v>
      </c>
      <c r="D230" s="2">
        <v>145800</v>
      </c>
      <c r="E230" s="3">
        <v>0</v>
      </c>
      <c r="F230" s="2">
        <v>0</v>
      </c>
      <c r="G230" s="2">
        <v>145800</v>
      </c>
      <c r="H230" s="3">
        <v>0.13719999999999999</v>
      </c>
      <c r="I230">
        <v>12</v>
      </c>
      <c r="J230" s="3">
        <v>1.143333333333333E-2</v>
      </c>
      <c r="K230" s="2">
        <v>13071.761027115401</v>
      </c>
      <c r="L230" s="2">
        <v>156861.13232538491</v>
      </c>
      <c r="M230" s="2">
        <v>11061.13232538485</v>
      </c>
      <c r="N230" s="2">
        <v>1458</v>
      </c>
      <c r="O230" s="2">
        <v>9477</v>
      </c>
      <c r="P230" t="s">
        <v>42</v>
      </c>
      <c r="Q230" s="2">
        <v>58320</v>
      </c>
      <c r="R230" s="2">
        <v>-55277.867674615147</v>
      </c>
      <c r="S230" t="s">
        <v>57</v>
      </c>
      <c r="T230" t="s">
        <v>34</v>
      </c>
      <c r="U230" t="s">
        <v>48</v>
      </c>
      <c r="V230" t="s">
        <v>36</v>
      </c>
      <c r="W230" t="s">
        <v>64</v>
      </c>
      <c r="X230" s="2">
        <v>12519.13232538485</v>
      </c>
      <c r="Y230" s="2">
        <v>67797</v>
      </c>
      <c r="Z230" s="2">
        <v>-55277.867674615147</v>
      </c>
      <c r="AA230" s="3">
        <v>-0.37913489488762098</v>
      </c>
      <c r="AB230" s="3">
        <v>0.4</v>
      </c>
      <c r="AC230" t="s">
        <v>38</v>
      </c>
    </row>
    <row r="231" spans="1:29" x14ac:dyDescent="0.3">
      <c r="A231" t="s">
        <v>521</v>
      </c>
      <c r="B231" t="s">
        <v>522</v>
      </c>
      <c r="C231" t="s">
        <v>56</v>
      </c>
      <c r="D231" s="2">
        <v>1119700</v>
      </c>
      <c r="E231" s="3">
        <v>0.1</v>
      </c>
      <c r="F231" s="2">
        <v>111970</v>
      </c>
      <c r="G231" s="2">
        <v>1007730</v>
      </c>
      <c r="H231" s="3">
        <v>9.9099999999999994E-2</v>
      </c>
      <c r="I231">
        <v>84</v>
      </c>
      <c r="J231" s="3">
        <v>8.2583333333333328E-3</v>
      </c>
      <c r="K231" s="2">
        <v>16682.68645563714</v>
      </c>
      <c r="L231" s="2">
        <v>1401345.662273519</v>
      </c>
      <c r="M231" s="2">
        <v>393615.66227351938</v>
      </c>
      <c r="N231" s="2">
        <v>10077.299999999999</v>
      </c>
      <c r="O231" s="2">
        <v>458517.15</v>
      </c>
      <c r="P231" t="s">
        <v>32</v>
      </c>
      <c r="Q231" s="2">
        <v>0</v>
      </c>
      <c r="R231" s="2">
        <v>-54824.187726480603</v>
      </c>
      <c r="S231" t="s">
        <v>57</v>
      </c>
      <c r="T231" t="s">
        <v>47</v>
      </c>
      <c r="U231" t="s">
        <v>59</v>
      </c>
      <c r="V231" t="s">
        <v>71</v>
      </c>
      <c r="W231" t="s">
        <v>49</v>
      </c>
      <c r="X231" s="2">
        <v>403692.96227351943</v>
      </c>
      <c r="Y231" s="2">
        <v>458517.15</v>
      </c>
      <c r="Z231" s="2">
        <v>-54824.187726480603</v>
      </c>
      <c r="AA231" s="3">
        <v>-5.4403647531065462E-2</v>
      </c>
      <c r="AB231" s="3">
        <v>0</v>
      </c>
      <c r="AC231" t="s">
        <v>38</v>
      </c>
    </row>
    <row r="232" spans="1:29" x14ac:dyDescent="0.3">
      <c r="A232" t="s">
        <v>523</v>
      </c>
      <c r="B232" t="s">
        <v>524</v>
      </c>
      <c r="C232" t="s">
        <v>56</v>
      </c>
      <c r="D232" s="2">
        <v>1200300</v>
      </c>
      <c r="E232" s="3">
        <v>0.1</v>
      </c>
      <c r="F232" s="2">
        <v>120030</v>
      </c>
      <c r="G232" s="2">
        <v>1080270</v>
      </c>
      <c r="H232" s="3">
        <v>0.1079</v>
      </c>
      <c r="I232">
        <v>60</v>
      </c>
      <c r="J232" s="3">
        <v>8.9916666666666669E-3</v>
      </c>
      <c r="K232" s="2">
        <v>23374.710324796772</v>
      </c>
      <c r="L232" s="2">
        <v>1402482.619487806</v>
      </c>
      <c r="M232" s="2">
        <v>322212.61948780599</v>
      </c>
      <c r="N232" s="2">
        <v>10802.7</v>
      </c>
      <c r="O232" s="2">
        <v>351087.75</v>
      </c>
      <c r="P232" t="s">
        <v>32</v>
      </c>
      <c r="Q232" s="2">
        <v>0</v>
      </c>
      <c r="R232" s="2">
        <v>-18072.430512194001</v>
      </c>
      <c r="S232" t="s">
        <v>43</v>
      </c>
      <c r="T232" t="s">
        <v>53</v>
      </c>
      <c r="U232" t="s">
        <v>59</v>
      </c>
      <c r="V232" t="s">
        <v>36</v>
      </c>
      <c r="W232" t="s">
        <v>49</v>
      </c>
      <c r="X232" s="2">
        <v>333015.319487806</v>
      </c>
      <c r="Y232" s="2">
        <v>351087.75</v>
      </c>
      <c r="Z232" s="2">
        <v>-18072.430512194001</v>
      </c>
      <c r="AA232" s="3">
        <v>-1.6729549568343102E-2</v>
      </c>
      <c r="AB232" s="3">
        <v>0</v>
      </c>
      <c r="AC232" t="s">
        <v>38</v>
      </c>
    </row>
    <row r="233" spans="1:29" x14ac:dyDescent="0.3">
      <c r="A233" t="s">
        <v>525</v>
      </c>
      <c r="B233" t="s">
        <v>526</v>
      </c>
      <c r="C233" t="s">
        <v>41</v>
      </c>
      <c r="D233" s="2">
        <v>34200</v>
      </c>
      <c r="E233" s="3">
        <v>0.1</v>
      </c>
      <c r="F233" s="2">
        <v>3420</v>
      </c>
      <c r="G233" s="2">
        <v>30780</v>
      </c>
      <c r="H233" s="3">
        <v>0.1603</v>
      </c>
      <c r="I233">
        <v>24</v>
      </c>
      <c r="J233" s="3">
        <v>1.335833333333333E-2</v>
      </c>
      <c r="K233" s="2">
        <v>1507.525787960056</v>
      </c>
      <c r="L233" s="2">
        <v>36180.618911041347</v>
      </c>
      <c r="M233" s="2">
        <v>5400.618911041347</v>
      </c>
      <c r="N233" s="2">
        <v>499</v>
      </c>
      <c r="O233" s="2">
        <v>4001.4</v>
      </c>
      <c r="P233" t="s">
        <v>32</v>
      </c>
      <c r="Q233" s="2">
        <v>0</v>
      </c>
      <c r="R233" s="2">
        <v>1898.2189110413469</v>
      </c>
      <c r="S233" t="s">
        <v>33</v>
      </c>
      <c r="T233" t="s">
        <v>47</v>
      </c>
      <c r="U233" t="s">
        <v>35</v>
      </c>
      <c r="V233" t="s">
        <v>63</v>
      </c>
      <c r="W233" t="s">
        <v>37</v>
      </c>
      <c r="X233" s="2">
        <v>5899.618911041347</v>
      </c>
      <c r="Y233" s="2">
        <v>4001.4</v>
      </c>
      <c r="Z233" s="2">
        <v>1898.2189110413469</v>
      </c>
      <c r="AA233" s="3">
        <v>6.1670529923370597E-2</v>
      </c>
      <c r="AB233" s="3">
        <v>0</v>
      </c>
      <c r="AC233" t="s">
        <v>38</v>
      </c>
    </row>
    <row r="234" spans="1:29" x14ac:dyDescent="0.3">
      <c r="A234" t="s">
        <v>527</v>
      </c>
      <c r="B234" t="s">
        <v>528</v>
      </c>
      <c r="C234" t="s">
        <v>56</v>
      </c>
      <c r="D234" s="2">
        <v>833300</v>
      </c>
      <c r="E234" s="3">
        <v>0.3</v>
      </c>
      <c r="F234" s="2">
        <v>249990</v>
      </c>
      <c r="G234" s="2">
        <v>583310</v>
      </c>
      <c r="H234" s="3">
        <v>0.10879999999999999</v>
      </c>
      <c r="I234">
        <v>60</v>
      </c>
      <c r="J234" s="3">
        <v>9.0666666666666656E-3</v>
      </c>
      <c r="K234" s="2">
        <v>12647.69250207495</v>
      </c>
      <c r="L234" s="2">
        <v>758861.55012449704</v>
      </c>
      <c r="M234" s="2">
        <v>175551.55012449701</v>
      </c>
      <c r="N234" s="2">
        <v>5833.1</v>
      </c>
      <c r="O234" s="2">
        <v>189575.75</v>
      </c>
      <c r="P234" t="s">
        <v>32</v>
      </c>
      <c r="Q234" s="2">
        <v>0</v>
      </c>
      <c r="R234" s="2">
        <v>-8191.0998755029577</v>
      </c>
      <c r="S234" t="s">
        <v>43</v>
      </c>
      <c r="T234" t="s">
        <v>74</v>
      </c>
      <c r="U234" t="s">
        <v>59</v>
      </c>
      <c r="V234" t="s">
        <v>36</v>
      </c>
      <c r="W234" t="s">
        <v>49</v>
      </c>
      <c r="X234" s="2">
        <v>181384.65012449701</v>
      </c>
      <c r="Y234" s="2">
        <v>189575.75</v>
      </c>
      <c r="Z234" s="2">
        <v>-8191.0998755029577</v>
      </c>
      <c r="AA234" s="3">
        <v>-1.404244719875016E-2</v>
      </c>
      <c r="AB234" s="3">
        <v>0</v>
      </c>
      <c r="AC234" t="s">
        <v>38</v>
      </c>
    </row>
    <row r="235" spans="1:29" x14ac:dyDescent="0.3">
      <c r="A235" t="s">
        <v>529</v>
      </c>
      <c r="B235" t="s">
        <v>530</v>
      </c>
      <c r="C235" t="s">
        <v>31</v>
      </c>
      <c r="D235" s="2">
        <v>156300</v>
      </c>
      <c r="E235" s="3">
        <v>0.1</v>
      </c>
      <c r="F235" s="2">
        <v>15630</v>
      </c>
      <c r="G235" s="2">
        <v>140670</v>
      </c>
      <c r="H235" s="3">
        <v>0.1032</v>
      </c>
      <c r="I235">
        <v>12</v>
      </c>
      <c r="J235" s="3">
        <v>8.6E-3</v>
      </c>
      <c r="K235" s="2">
        <v>12388.073457668121</v>
      </c>
      <c r="L235" s="2">
        <v>148656.88149201739</v>
      </c>
      <c r="M235" s="2">
        <v>7986.88149201739</v>
      </c>
      <c r="N235" s="2">
        <v>1406.7</v>
      </c>
      <c r="O235" s="2">
        <v>9143.5500000000011</v>
      </c>
      <c r="P235" t="s">
        <v>32</v>
      </c>
      <c r="Q235" s="2">
        <v>0</v>
      </c>
      <c r="R235" s="2">
        <v>250.03149201738961</v>
      </c>
      <c r="S235" t="s">
        <v>57</v>
      </c>
      <c r="T235" t="s">
        <v>70</v>
      </c>
      <c r="U235" t="s">
        <v>48</v>
      </c>
      <c r="V235" t="s">
        <v>36</v>
      </c>
      <c r="W235" t="s">
        <v>64</v>
      </c>
      <c r="X235" s="2">
        <v>9393.5814920173907</v>
      </c>
      <c r="Y235" s="2">
        <v>9143.5500000000011</v>
      </c>
      <c r="Z235" s="2">
        <v>250.03149201738961</v>
      </c>
      <c r="AA235" s="3">
        <v>1.7774329424709581E-3</v>
      </c>
      <c r="AB235" s="3">
        <v>0</v>
      </c>
      <c r="AC235" t="s">
        <v>38</v>
      </c>
    </row>
    <row r="236" spans="1:29" x14ac:dyDescent="0.3">
      <c r="A236" t="s">
        <v>531</v>
      </c>
      <c r="B236" t="s">
        <v>532</v>
      </c>
      <c r="C236" t="s">
        <v>41</v>
      </c>
      <c r="D236" s="2">
        <v>100800</v>
      </c>
      <c r="E236" s="3">
        <v>0.2</v>
      </c>
      <c r="F236" s="2">
        <v>20160</v>
      </c>
      <c r="G236" s="2">
        <v>80640</v>
      </c>
      <c r="H236" s="3">
        <v>0.16120000000000001</v>
      </c>
      <c r="I236">
        <v>12</v>
      </c>
      <c r="J236" s="3">
        <v>1.343333333333333E-2</v>
      </c>
      <c r="K236" s="2">
        <v>7321.1164181573477</v>
      </c>
      <c r="L236" s="2">
        <v>87853.397017888172</v>
      </c>
      <c r="M236" s="2">
        <v>7213.3970178881718</v>
      </c>
      <c r="N236" s="2">
        <v>806.4</v>
      </c>
      <c r="O236" s="2">
        <v>5241.6000000000004</v>
      </c>
      <c r="P236" t="s">
        <v>32</v>
      </c>
      <c r="Q236" s="2">
        <v>0</v>
      </c>
      <c r="R236" s="2">
        <v>2778.1970178881711</v>
      </c>
      <c r="S236" t="s">
        <v>57</v>
      </c>
      <c r="T236" t="s">
        <v>34</v>
      </c>
      <c r="U236" t="s">
        <v>35</v>
      </c>
      <c r="V236" t="s">
        <v>63</v>
      </c>
      <c r="W236" t="s">
        <v>64</v>
      </c>
      <c r="X236" s="2">
        <v>8019.7970178881706</v>
      </c>
      <c r="Y236" s="2">
        <v>5241.6000000000004</v>
      </c>
      <c r="Z236" s="2">
        <v>2778.1970178881711</v>
      </c>
      <c r="AA236" s="3">
        <v>3.4451847940081493E-2</v>
      </c>
      <c r="AB236" s="3">
        <v>0</v>
      </c>
      <c r="AC236" t="s">
        <v>38</v>
      </c>
    </row>
    <row r="237" spans="1:29" x14ac:dyDescent="0.3">
      <c r="A237" t="s">
        <v>533</v>
      </c>
      <c r="B237" t="s">
        <v>534</v>
      </c>
      <c r="C237" t="s">
        <v>31</v>
      </c>
      <c r="D237" s="2">
        <v>131800</v>
      </c>
      <c r="E237" s="3">
        <v>0.25</v>
      </c>
      <c r="F237" s="2">
        <v>32950</v>
      </c>
      <c r="G237" s="2">
        <v>98850</v>
      </c>
      <c r="H237" s="3">
        <v>0.12690000000000001</v>
      </c>
      <c r="I237">
        <v>60</v>
      </c>
      <c r="J237" s="3">
        <v>1.0574999999999999E-2</v>
      </c>
      <c r="K237" s="2">
        <v>2233.4857083678421</v>
      </c>
      <c r="L237" s="2">
        <v>134009.14250207049</v>
      </c>
      <c r="M237" s="2">
        <v>35159.142502070521</v>
      </c>
      <c r="N237" s="2">
        <v>988.5</v>
      </c>
      <c r="O237" s="2">
        <v>32126.25</v>
      </c>
      <c r="P237" t="s">
        <v>32</v>
      </c>
      <c r="Q237" s="2">
        <v>0</v>
      </c>
      <c r="R237" s="2">
        <v>4021.392502070521</v>
      </c>
      <c r="S237" t="s">
        <v>77</v>
      </c>
      <c r="T237" t="s">
        <v>116</v>
      </c>
      <c r="U237" t="s">
        <v>35</v>
      </c>
      <c r="V237" t="s">
        <v>36</v>
      </c>
      <c r="W237" t="s">
        <v>49</v>
      </c>
      <c r="X237" s="2">
        <v>36147.642502070521</v>
      </c>
      <c r="Y237" s="2">
        <v>32126.25</v>
      </c>
      <c r="Z237" s="2">
        <v>4021.392502070521</v>
      </c>
      <c r="AA237" s="3">
        <v>4.0681765321907142E-2</v>
      </c>
      <c r="AB237" s="3">
        <v>0</v>
      </c>
      <c r="AC237" t="s">
        <v>38</v>
      </c>
    </row>
    <row r="238" spans="1:29" x14ac:dyDescent="0.3">
      <c r="A238" t="s">
        <v>535</v>
      </c>
      <c r="B238" t="s">
        <v>536</v>
      </c>
      <c r="C238" t="s">
        <v>56</v>
      </c>
      <c r="D238" s="2">
        <v>805200</v>
      </c>
      <c r="E238" s="3">
        <v>0.3</v>
      </c>
      <c r="F238" s="2">
        <v>241560</v>
      </c>
      <c r="G238" s="2">
        <v>563640</v>
      </c>
      <c r="H238" s="3">
        <v>0.1052</v>
      </c>
      <c r="I238">
        <v>72</v>
      </c>
      <c r="J238" s="3">
        <v>8.7666666666666674E-3</v>
      </c>
      <c r="K238" s="2">
        <v>10590.3088586248</v>
      </c>
      <c r="L238" s="2">
        <v>762502.23782098596</v>
      </c>
      <c r="M238" s="2">
        <v>198862.23782098599</v>
      </c>
      <c r="N238" s="2">
        <v>5636.4000000000005</v>
      </c>
      <c r="O238" s="2">
        <v>219819.6</v>
      </c>
      <c r="P238" t="s">
        <v>32</v>
      </c>
      <c r="Q238" s="2">
        <v>0</v>
      </c>
      <c r="R238" s="2">
        <v>-15320.962179014021</v>
      </c>
      <c r="S238" t="s">
        <v>33</v>
      </c>
      <c r="T238" t="s">
        <v>34</v>
      </c>
      <c r="U238" t="s">
        <v>59</v>
      </c>
      <c r="V238" t="s">
        <v>36</v>
      </c>
      <c r="W238" t="s">
        <v>49</v>
      </c>
      <c r="X238" s="2">
        <v>204498.63782098601</v>
      </c>
      <c r="Y238" s="2">
        <v>219819.6</v>
      </c>
      <c r="Z238" s="2">
        <v>-15320.962179014021</v>
      </c>
      <c r="AA238" s="3">
        <v>-2.718217688420627E-2</v>
      </c>
      <c r="AB238" s="3">
        <v>0</v>
      </c>
      <c r="AC238" t="s">
        <v>38</v>
      </c>
    </row>
    <row r="239" spans="1:29" x14ac:dyDescent="0.3">
      <c r="A239" t="s">
        <v>537</v>
      </c>
      <c r="B239" t="s">
        <v>538</v>
      </c>
      <c r="C239" t="s">
        <v>41</v>
      </c>
      <c r="D239" s="2">
        <v>145900</v>
      </c>
      <c r="E239" s="3">
        <v>0.2</v>
      </c>
      <c r="F239" s="2">
        <v>29180</v>
      </c>
      <c r="G239" s="2">
        <v>116720</v>
      </c>
      <c r="H239" s="3">
        <v>0.18260000000000001</v>
      </c>
      <c r="I239">
        <v>24</v>
      </c>
      <c r="J239" s="3">
        <v>1.521666666666667E-2</v>
      </c>
      <c r="K239" s="2">
        <v>5841.8148334147108</v>
      </c>
      <c r="L239" s="2">
        <v>140203.55600195311</v>
      </c>
      <c r="M239" s="2">
        <v>23483.556001953049</v>
      </c>
      <c r="N239" s="2">
        <v>1167.2</v>
      </c>
      <c r="O239" s="2">
        <v>15173.6</v>
      </c>
      <c r="P239" t="s">
        <v>52</v>
      </c>
      <c r="Q239" s="2">
        <v>0</v>
      </c>
      <c r="R239" s="2">
        <v>9477.1560019530534</v>
      </c>
      <c r="S239" t="s">
        <v>33</v>
      </c>
      <c r="T239" t="s">
        <v>34</v>
      </c>
      <c r="U239" t="s">
        <v>48</v>
      </c>
      <c r="V239" t="s">
        <v>63</v>
      </c>
      <c r="W239" t="s">
        <v>37</v>
      </c>
      <c r="X239" s="2">
        <v>24650.75600195305</v>
      </c>
      <c r="Y239" s="2">
        <v>15173.6</v>
      </c>
      <c r="Z239" s="2">
        <v>9477.1560019530534</v>
      </c>
      <c r="AA239" s="3">
        <v>8.1195647720639599E-2</v>
      </c>
      <c r="AB239" s="3">
        <v>0</v>
      </c>
      <c r="AC239" t="s">
        <v>38</v>
      </c>
    </row>
    <row r="240" spans="1:29" x14ac:dyDescent="0.3">
      <c r="A240" t="s">
        <v>539</v>
      </c>
      <c r="B240" t="s">
        <v>540</v>
      </c>
      <c r="C240" t="s">
        <v>41</v>
      </c>
      <c r="D240" s="2">
        <v>90500</v>
      </c>
      <c r="E240" s="3">
        <v>0.05</v>
      </c>
      <c r="F240" s="2">
        <v>4525</v>
      </c>
      <c r="G240" s="2">
        <v>85975</v>
      </c>
      <c r="H240" s="3">
        <v>0.1777</v>
      </c>
      <c r="I240">
        <v>18</v>
      </c>
      <c r="J240" s="3">
        <v>1.480833333333333E-2</v>
      </c>
      <c r="K240" s="2">
        <v>5476.2803747893777</v>
      </c>
      <c r="L240" s="2">
        <v>98573.046746208798</v>
      </c>
      <c r="M240" s="2">
        <v>12598.0467462088</v>
      </c>
      <c r="N240" s="2">
        <v>859.75</v>
      </c>
      <c r="O240" s="2">
        <v>8382.5625</v>
      </c>
      <c r="P240" t="s">
        <v>32</v>
      </c>
      <c r="Q240" s="2">
        <v>0</v>
      </c>
      <c r="R240" s="2">
        <v>5075.2342462087981</v>
      </c>
      <c r="S240" t="s">
        <v>43</v>
      </c>
      <c r="T240" t="s">
        <v>62</v>
      </c>
      <c r="U240" t="s">
        <v>35</v>
      </c>
      <c r="V240" t="s">
        <v>63</v>
      </c>
      <c r="W240" t="s">
        <v>37</v>
      </c>
      <c r="X240" s="2">
        <v>13457.7967462088</v>
      </c>
      <c r="Y240" s="2">
        <v>8382.5625</v>
      </c>
      <c r="Z240" s="2">
        <v>5075.2342462087981</v>
      </c>
      <c r="AA240" s="3">
        <v>5.9031512023364908E-2</v>
      </c>
      <c r="AB240" s="3">
        <v>0</v>
      </c>
      <c r="AC240" t="s">
        <v>38</v>
      </c>
    </row>
    <row r="241" spans="1:29" x14ac:dyDescent="0.3">
      <c r="A241" t="s">
        <v>541</v>
      </c>
      <c r="B241" t="s">
        <v>542</v>
      </c>
      <c r="C241" t="s">
        <v>31</v>
      </c>
      <c r="D241" s="2">
        <v>228100</v>
      </c>
      <c r="E241" s="3">
        <v>0.15</v>
      </c>
      <c r="F241" s="2">
        <v>34215</v>
      </c>
      <c r="G241" s="2">
        <v>193885</v>
      </c>
      <c r="H241" s="3">
        <v>0.1153</v>
      </c>
      <c r="I241">
        <v>48</v>
      </c>
      <c r="J241" s="3">
        <v>9.6083333333333333E-3</v>
      </c>
      <c r="K241" s="2">
        <v>5061.1082616623016</v>
      </c>
      <c r="L241" s="2">
        <v>242933.19655979049</v>
      </c>
      <c r="M241" s="2">
        <v>49048.196559790456</v>
      </c>
      <c r="N241" s="2">
        <v>1938.85</v>
      </c>
      <c r="O241" s="2">
        <v>50410.1</v>
      </c>
      <c r="P241" t="s">
        <v>32</v>
      </c>
      <c r="Q241" s="2">
        <v>0</v>
      </c>
      <c r="R241" s="2">
        <v>576.94655979046365</v>
      </c>
      <c r="S241" t="s">
        <v>57</v>
      </c>
      <c r="T241" t="s">
        <v>44</v>
      </c>
      <c r="U241" t="s">
        <v>48</v>
      </c>
      <c r="V241" t="s">
        <v>36</v>
      </c>
      <c r="W241" t="s">
        <v>49</v>
      </c>
      <c r="X241" s="2">
        <v>50987.046559790462</v>
      </c>
      <c r="Y241" s="2">
        <v>50410.1</v>
      </c>
      <c r="Z241" s="2">
        <v>576.94655979046365</v>
      </c>
      <c r="AA241" s="3">
        <v>2.9757152940684609E-3</v>
      </c>
      <c r="AB241" s="3">
        <v>0</v>
      </c>
      <c r="AC241" t="s">
        <v>38</v>
      </c>
    </row>
    <row r="242" spans="1:29" x14ac:dyDescent="0.3">
      <c r="A242" t="s">
        <v>543</v>
      </c>
      <c r="B242" t="s">
        <v>544</v>
      </c>
      <c r="C242" t="s">
        <v>86</v>
      </c>
      <c r="D242" s="2">
        <v>64200</v>
      </c>
      <c r="E242" s="3">
        <v>0.2</v>
      </c>
      <c r="F242" s="2">
        <v>12840</v>
      </c>
      <c r="G242" s="2">
        <v>51360</v>
      </c>
      <c r="H242" s="3">
        <v>0.18890000000000001</v>
      </c>
      <c r="I242">
        <v>12</v>
      </c>
      <c r="J242" s="3">
        <v>1.5741666666666671E-2</v>
      </c>
      <c r="K242" s="2">
        <v>4730.4659644612038</v>
      </c>
      <c r="L242" s="2">
        <v>56765.591573534453</v>
      </c>
      <c r="M242" s="2">
        <v>5405.5915735344461</v>
      </c>
      <c r="N242" s="2">
        <v>513.6</v>
      </c>
      <c r="O242" s="2">
        <v>3338.4</v>
      </c>
      <c r="P242" t="s">
        <v>32</v>
      </c>
      <c r="Q242" s="2">
        <v>0</v>
      </c>
      <c r="R242" s="2">
        <v>2580.7915735344459</v>
      </c>
      <c r="S242" t="s">
        <v>43</v>
      </c>
      <c r="T242" t="s">
        <v>70</v>
      </c>
      <c r="U242" t="s">
        <v>35</v>
      </c>
      <c r="V242" t="s">
        <v>63</v>
      </c>
      <c r="W242" t="s">
        <v>64</v>
      </c>
      <c r="X242" s="2">
        <v>5919.1915735344464</v>
      </c>
      <c r="Y242" s="2">
        <v>3338.4</v>
      </c>
      <c r="Z242" s="2">
        <v>2580.7915735344459</v>
      </c>
      <c r="AA242" s="3">
        <v>5.0249057117103708E-2</v>
      </c>
      <c r="AB242" s="3">
        <v>0</v>
      </c>
      <c r="AC242" t="s">
        <v>38</v>
      </c>
    </row>
    <row r="243" spans="1:29" x14ac:dyDescent="0.3">
      <c r="A243" t="s">
        <v>545</v>
      </c>
      <c r="B243" t="s">
        <v>546</v>
      </c>
      <c r="C243" t="s">
        <v>86</v>
      </c>
      <c r="D243" s="2">
        <v>44400</v>
      </c>
      <c r="E243" s="3">
        <v>0.1</v>
      </c>
      <c r="F243" s="2">
        <v>4440</v>
      </c>
      <c r="G243" s="2">
        <v>39960</v>
      </c>
      <c r="H243" s="3">
        <v>0.193</v>
      </c>
      <c r="I243">
        <v>18</v>
      </c>
      <c r="J243" s="3">
        <v>1.6083333333333331E-2</v>
      </c>
      <c r="K243" s="2">
        <v>2574.5104548374129</v>
      </c>
      <c r="L243" s="2">
        <v>46341.188187073443</v>
      </c>
      <c r="M243" s="2">
        <v>6381.188187073436</v>
      </c>
      <c r="N243" s="2">
        <v>499</v>
      </c>
      <c r="O243" s="2">
        <v>3896.1</v>
      </c>
      <c r="P243" t="s">
        <v>52</v>
      </c>
      <c r="Q243" s="2">
        <v>0</v>
      </c>
      <c r="R243" s="2">
        <v>2984.0881870734361</v>
      </c>
      <c r="S243" t="s">
        <v>43</v>
      </c>
      <c r="T243" t="s">
        <v>116</v>
      </c>
      <c r="U243" t="s">
        <v>35</v>
      </c>
      <c r="V243" t="s">
        <v>63</v>
      </c>
      <c r="W243" t="s">
        <v>37</v>
      </c>
      <c r="X243" s="2">
        <v>6880.188187073436</v>
      </c>
      <c r="Y243" s="2">
        <v>3896.1</v>
      </c>
      <c r="Z243" s="2">
        <v>2984.0881870734361</v>
      </c>
      <c r="AA243" s="3">
        <v>7.467688155839429E-2</v>
      </c>
      <c r="AB243" s="3">
        <v>0</v>
      </c>
      <c r="AC243" t="s">
        <v>38</v>
      </c>
    </row>
    <row r="244" spans="1:29" x14ac:dyDescent="0.3">
      <c r="A244" t="s">
        <v>547</v>
      </c>
      <c r="B244" t="s">
        <v>548</v>
      </c>
      <c r="C244" t="s">
        <v>56</v>
      </c>
      <c r="D244" s="2">
        <v>776600</v>
      </c>
      <c r="E244" s="3">
        <v>0.3</v>
      </c>
      <c r="F244" s="2">
        <v>232980</v>
      </c>
      <c r="G244" s="2">
        <v>543620</v>
      </c>
      <c r="H244" s="3">
        <v>9.5600000000000004E-2</v>
      </c>
      <c r="I244">
        <v>60</v>
      </c>
      <c r="J244" s="3">
        <v>7.966666666666667E-3</v>
      </c>
      <c r="K244" s="2">
        <v>11432.978146194529</v>
      </c>
      <c r="L244" s="2">
        <v>685978.68877167185</v>
      </c>
      <c r="M244" s="2">
        <v>142358.68877167179</v>
      </c>
      <c r="N244" s="2">
        <v>5436.2</v>
      </c>
      <c r="O244" s="2">
        <v>176676.5</v>
      </c>
      <c r="P244" t="s">
        <v>32</v>
      </c>
      <c r="Q244" s="2">
        <v>0</v>
      </c>
      <c r="R244" s="2">
        <v>-28881.61122832814</v>
      </c>
      <c r="S244" t="s">
        <v>43</v>
      </c>
      <c r="T244" t="s">
        <v>204</v>
      </c>
      <c r="U244" t="s">
        <v>59</v>
      </c>
      <c r="V244" t="s">
        <v>71</v>
      </c>
      <c r="W244" t="s">
        <v>49</v>
      </c>
      <c r="X244" s="2">
        <v>147794.88877167189</v>
      </c>
      <c r="Y244" s="2">
        <v>176676.5</v>
      </c>
      <c r="Z244" s="2">
        <v>-28881.61122832814</v>
      </c>
      <c r="AA244" s="3">
        <v>-5.3128308797189473E-2</v>
      </c>
      <c r="AB244" s="3">
        <v>0</v>
      </c>
      <c r="AC244" t="s">
        <v>38</v>
      </c>
    </row>
    <row r="245" spans="1:29" x14ac:dyDescent="0.3">
      <c r="A245" t="s">
        <v>549</v>
      </c>
      <c r="B245" t="s">
        <v>550</v>
      </c>
      <c r="C245" t="s">
        <v>41</v>
      </c>
      <c r="D245" s="2">
        <v>53100</v>
      </c>
      <c r="E245" s="3">
        <v>0.1</v>
      </c>
      <c r="F245" s="2">
        <v>5310</v>
      </c>
      <c r="G245" s="2">
        <v>47790</v>
      </c>
      <c r="H245" s="3">
        <v>0.1978</v>
      </c>
      <c r="I245">
        <v>12</v>
      </c>
      <c r="J245" s="3">
        <v>1.6483333333333329E-2</v>
      </c>
      <c r="K245" s="2">
        <v>4421.972701943886</v>
      </c>
      <c r="L245" s="2">
        <v>53063.672423326629</v>
      </c>
      <c r="M245" s="2">
        <v>5273.6724233266286</v>
      </c>
      <c r="N245" s="2">
        <v>499</v>
      </c>
      <c r="O245" s="2">
        <v>3106.35</v>
      </c>
      <c r="P245" t="s">
        <v>32</v>
      </c>
      <c r="Q245" s="2">
        <v>0</v>
      </c>
      <c r="R245" s="2">
        <v>2666.3224233266292</v>
      </c>
      <c r="S245" t="s">
        <v>57</v>
      </c>
      <c r="T245" t="s">
        <v>53</v>
      </c>
      <c r="U245" t="s">
        <v>35</v>
      </c>
      <c r="V245" t="s">
        <v>63</v>
      </c>
      <c r="W245" t="s">
        <v>64</v>
      </c>
      <c r="X245" s="2">
        <v>5772.6724233266286</v>
      </c>
      <c r="Y245" s="2">
        <v>3106.35</v>
      </c>
      <c r="Z245" s="2">
        <v>2666.3224233266292</v>
      </c>
      <c r="AA245" s="3">
        <v>5.5792475901373283E-2</v>
      </c>
      <c r="AB245" s="3">
        <v>0</v>
      </c>
      <c r="AC245" t="s">
        <v>38</v>
      </c>
    </row>
    <row r="246" spans="1:29" x14ac:dyDescent="0.3">
      <c r="A246" t="s">
        <v>551</v>
      </c>
      <c r="B246" t="s">
        <v>552</v>
      </c>
      <c r="C246" t="s">
        <v>41</v>
      </c>
      <c r="D246" s="2">
        <v>95100</v>
      </c>
      <c r="E246" s="3">
        <v>0.1</v>
      </c>
      <c r="F246" s="2">
        <v>9510</v>
      </c>
      <c r="G246" s="2">
        <v>85590</v>
      </c>
      <c r="H246" s="3">
        <v>0.1948</v>
      </c>
      <c r="I246">
        <v>36</v>
      </c>
      <c r="J246" s="3">
        <v>1.6233333333333329E-2</v>
      </c>
      <c r="K246" s="2">
        <v>3158.1991013434472</v>
      </c>
      <c r="L246" s="2">
        <v>113695.16764836411</v>
      </c>
      <c r="M246" s="2">
        <v>28105.16764836408</v>
      </c>
      <c r="N246" s="2">
        <v>855.9</v>
      </c>
      <c r="O246" s="2">
        <v>16690.05</v>
      </c>
      <c r="P246" t="s">
        <v>52</v>
      </c>
      <c r="Q246" s="2">
        <v>0</v>
      </c>
      <c r="R246" s="2">
        <v>12271.017648364081</v>
      </c>
      <c r="S246" t="s">
        <v>57</v>
      </c>
      <c r="T246" t="s">
        <v>107</v>
      </c>
      <c r="U246" t="s">
        <v>35</v>
      </c>
      <c r="V246" t="s">
        <v>63</v>
      </c>
      <c r="W246" t="s">
        <v>37</v>
      </c>
      <c r="X246" s="2">
        <v>28961.067648364078</v>
      </c>
      <c r="Y246" s="2">
        <v>16690.05</v>
      </c>
      <c r="Z246" s="2">
        <v>12271.017648364081</v>
      </c>
      <c r="AA246" s="3">
        <v>0.1433697587143834</v>
      </c>
      <c r="AB246" s="3">
        <v>0</v>
      </c>
      <c r="AC246" t="s">
        <v>38</v>
      </c>
    </row>
    <row r="247" spans="1:29" x14ac:dyDescent="0.3">
      <c r="A247" t="s">
        <v>553</v>
      </c>
      <c r="B247" t="s">
        <v>554</v>
      </c>
      <c r="C247" t="s">
        <v>56</v>
      </c>
      <c r="D247" s="2">
        <v>1450100</v>
      </c>
      <c r="E247" s="3">
        <v>0.1</v>
      </c>
      <c r="F247" s="2">
        <v>145010</v>
      </c>
      <c r="G247" s="2">
        <v>1305090</v>
      </c>
      <c r="H247" s="3">
        <v>0.1091</v>
      </c>
      <c r="I247">
        <v>60</v>
      </c>
      <c r="J247" s="3">
        <v>9.0916666666666663E-3</v>
      </c>
      <c r="K247" s="2">
        <v>28317.276673600729</v>
      </c>
      <c r="L247" s="2">
        <v>1699036.600416044</v>
      </c>
      <c r="M247" s="2">
        <v>393946.60041604401</v>
      </c>
      <c r="N247" s="2">
        <v>13050.9</v>
      </c>
      <c r="O247" s="2">
        <v>424154.25</v>
      </c>
      <c r="P247" t="s">
        <v>32</v>
      </c>
      <c r="Q247" s="2">
        <v>0</v>
      </c>
      <c r="R247" s="2">
        <v>-17156.749583955971</v>
      </c>
      <c r="S247" t="s">
        <v>33</v>
      </c>
      <c r="T247" t="s">
        <v>53</v>
      </c>
      <c r="U247" t="s">
        <v>59</v>
      </c>
      <c r="V247" t="s">
        <v>36</v>
      </c>
      <c r="W247" t="s">
        <v>49</v>
      </c>
      <c r="X247" s="2">
        <v>406997.50041604397</v>
      </c>
      <c r="Y247" s="2">
        <v>424154.25</v>
      </c>
      <c r="Z247" s="2">
        <v>-17156.749583955971</v>
      </c>
      <c r="AA247" s="3">
        <v>-1.314602792447722E-2</v>
      </c>
      <c r="AB247" s="3">
        <v>0</v>
      </c>
      <c r="AC247" t="s">
        <v>38</v>
      </c>
    </row>
    <row r="248" spans="1:29" x14ac:dyDescent="0.3">
      <c r="A248" t="s">
        <v>555</v>
      </c>
      <c r="B248" t="s">
        <v>556</v>
      </c>
      <c r="C248" t="s">
        <v>56</v>
      </c>
      <c r="D248" s="2">
        <v>1121600</v>
      </c>
      <c r="E248" s="3">
        <v>0.15</v>
      </c>
      <c r="F248" s="2">
        <v>168240</v>
      </c>
      <c r="G248" s="2">
        <v>953360</v>
      </c>
      <c r="H248" s="3">
        <v>0.1074</v>
      </c>
      <c r="I248">
        <v>48</v>
      </c>
      <c r="J248" s="3">
        <v>8.9499999999999996E-3</v>
      </c>
      <c r="K248" s="2">
        <v>24519.885761781759</v>
      </c>
      <c r="L248" s="2">
        <v>1176954.516565525</v>
      </c>
      <c r="M248" s="2">
        <v>223594.51656552451</v>
      </c>
      <c r="N248" s="2">
        <v>9533.6</v>
      </c>
      <c r="O248" s="2">
        <v>247873.6</v>
      </c>
      <c r="P248" t="s">
        <v>32</v>
      </c>
      <c r="Q248" s="2">
        <v>0</v>
      </c>
      <c r="R248" s="2">
        <v>-14745.483434475491</v>
      </c>
      <c r="S248" t="s">
        <v>77</v>
      </c>
      <c r="T248" t="s">
        <v>70</v>
      </c>
      <c r="U248" t="s">
        <v>59</v>
      </c>
      <c r="V248" t="s">
        <v>36</v>
      </c>
      <c r="W248" t="s">
        <v>49</v>
      </c>
      <c r="X248" s="2">
        <v>233128.11656552451</v>
      </c>
      <c r="Y248" s="2">
        <v>247873.6</v>
      </c>
      <c r="Z248" s="2">
        <v>-14745.483434475491</v>
      </c>
      <c r="AA248" s="3">
        <v>-1.5466857676507821E-2</v>
      </c>
      <c r="AB248" s="3">
        <v>0</v>
      </c>
      <c r="AC248" t="s">
        <v>38</v>
      </c>
    </row>
    <row r="249" spans="1:29" x14ac:dyDescent="0.3">
      <c r="A249" t="s">
        <v>557</v>
      </c>
      <c r="B249" t="s">
        <v>558</v>
      </c>
      <c r="C249" t="s">
        <v>31</v>
      </c>
      <c r="D249" s="2">
        <v>92900</v>
      </c>
      <c r="E249" s="3">
        <v>0.1</v>
      </c>
      <c r="F249" s="2">
        <v>9290</v>
      </c>
      <c r="G249" s="2">
        <v>83610</v>
      </c>
      <c r="H249" s="3">
        <v>0.14929999999999999</v>
      </c>
      <c r="I249">
        <v>60</v>
      </c>
      <c r="J249" s="3">
        <v>1.244166666666667E-2</v>
      </c>
      <c r="K249" s="2">
        <v>1986.005221475938</v>
      </c>
      <c r="L249" s="2">
        <v>119160.3132885563</v>
      </c>
      <c r="M249" s="2">
        <v>35550.313288556274</v>
      </c>
      <c r="N249" s="2">
        <v>836.1</v>
      </c>
      <c r="O249" s="2">
        <v>27173.25</v>
      </c>
      <c r="P249" t="s">
        <v>52</v>
      </c>
      <c r="Q249" s="2">
        <v>0</v>
      </c>
      <c r="R249" s="2">
        <v>9213.1632885562613</v>
      </c>
      <c r="S249" t="s">
        <v>43</v>
      </c>
      <c r="T249" t="s">
        <v>67</v>
      </c>
      <c r="U249" t="s">
        <v>35</v>
      </c>
      <c r="V249" t="s">
        <v>36</v>
      </c>
      <c r="W249" t="s">
        <v>49</v>
      </c>
      <c r="X249" s="2">
        <v>36386.413288556258</v>
      </c>
      <c r="Y249" s="2">
        <v>27173.25</v>
      </c>
      <c r="Z249" s="2">
        <v>9213.1632885562613</v>
      </c>
      <c r="AA249" s="3">
        <v>0.11019212161890039</v>
      </c>
      <c r="AB249" s="3">
        <v>0</v>
      </c>
      <c r="AC249" t="s">
        <v>38</v>
      </c>
    </row>
    <row r="250" spans="1:29" x14ac:dyDescent="0.3">
      <c r="A250" t="s">
        <v>559</v>
      </c>
      <c r="B250" t="s">
        <v>560</v>
      </c>
      <c r="C250" t="s">
        <v>86</v>
      </c>
      <c r="D250" s="2">
        <v>19200</v>
      </c>
      <c r="E250" s="3">
        <v>0</v>
      </c>
      <c r="F250" s="2">
        <v>0</v>
      </c>
      <c r="G250" s="2">
        <v>19200</v>
      </c>
      <c r="H250" s="3">
        <v>0.16639999999999999</v>
      </c>
      <c r="I250">
        <v>12</v>
      </c>
      <c r="J250" s="3">
        <v>1.3866666666666669E-2</v>
      </c>
      <c r="K250" s="2">
        <v>1747.852702468196</v>
      </c>
      <c r="L250" s="2">
        <v>20974.232429618351</v>
      </c>
      <c r="M250" s="2">
        <v>1774.232429618351</v>
      </c>
      <c r="N250" s="2">
        <v>499</v>
      </c>
      <c r="O250" s="2">
        <v>1248</v>
      </c>
      <c r="P250" t="s">
        <v>32</v>
      </c>
      <c r="Q250" s="2">
        <v>0</v>
      </c>
      <c r="R250" s="2">
        <v>1025.232429618351</v>
      </c>
      <c r="S250" t="s">
        <v>43</v>
      </c>
      <c r="T250" t="s">
        <v>62</v>
      </c>
      <c r="U250" t="s">
        <v>35</v>
      </c>
      <c r="V250" t="s">
        <v>63</v>
      </c>
      <c r="W250" t="s">
        <v>64</v>
      </c>
      <c r="X250" s="2">
        <v>2273.232429618351</v>
      </c>
      <c r="Y250" s="2">
        <v>1248</v>
      </c>
      <c r="Z250" s="2">
        <v>1025.232429618351</v>
      </c>
      <c r="AA250" s="3">
        <v>5.3397522375955762E-2</v>
      </c>
      <c r="AB250" s="3">
        <v>0</v>
      </c>
      <c r="AC250" t="s">
        <v>38</v>
      </c>
    </row>
    <row r="251" spans="1:29" x14ac:dyDescent="0.3">
      <c r="A251" t="s">
        <v>561</v>
      </c>
      <c r="B251" t="s">
        <v>562</v>
      </c>
      <c r="C251" t="s">
        <v>56</v>
      </c>
      <c r="D251" s="2">
        <v>1475700</v>
      </c>
      <c r="E251" s="3">
        <v>0.25</v>
      </c>
      <c r="F251" s="2">
        <v>368925</v>
      </c>
      <c r="G251" s="2">
        <v>1106775</v>
      </c>
      <c r="H251" s="3">
        <v>8.9700000000000002E-2</v>
      </c>
      <c r="I251">
        <v>72</v>
      </c>
      <c r="J251" s="3">
        <v>7.4749999999999999E-3</v>
      </c>
      <c r="K251" s="2">
        <v>19933.738823262182</v>
      </c>
      <c r="L251" s="2">
        <v>1435229.1952748769</v>
      </c>
      <c r="M251" s="2">
        <v>328454.19527487707</v>
      </c>
      <c r="N251" s="2">
        <v>11067.75</v>
      </c>
      <c r="O251" s="2">
        <v>431642.25</v>
      </c>
      <c r="P251" t="s">
        <v>32</v>
      </c>
      <c r="Q251" s="2">
        <v>0</v>
      </c>
      <c r="R251" s="2">
        <v>-92120.304725122871</v>
      </c>
      <c r="S251" t="s">
        <v>77</v>
      </c>
      <c r="T251" t="s">
        <v>53</v>
      </c>
      <c r="U251" t="s">
        <v>59</v>
      </c>
      <c r="V251" t="s">
        <v>71</v>
      </c>
      <c r="W251" t="s">
        <v>49</v>
      </c>
      <c r="X251" s="2">
        <v>339521.94527487707</v>
      </c>
      <c r="Y251" s="2">
        <v>431642.25</v>
      </c>
      <c r="Z251" s="2">
        <v>-92120.304725122871</v>
      </c>
      <c r="AA251" s="3">
        <v>-8.3233091391766961E-2</v>
      </c>
      <c r="AB251" s="3">
        <v>0</v>
      </c>
      <c r="AC251" t="s">
        <v>38</v>
      </c>
    </row>
    <row r="252" spans="1:29" x14ac:dyDescent="0.3">
      <c r="A252" t="s">
        <v>563</v>
      </c>
      <c r="B252" t="s">
        <v>564</v>
      </c>
      <c r="C252" t="s">
        <v>86</v>
      </c>
      <c r="D252" s="2">
        <v>14600</v>
      </c>
      <c r="E252" s="3">
        <v>0.15</v>
      </c>
      <c r="F252" s="2">
        <v>2190</v>
      </c>
      <c r="G252" s="2">
        <v>12410</v>
      </c>
      <c r="H252" s="3">
        <v>0.20150000000000001</v>
      </c>
      <c r="I252">
        <v>24</v>
      </c>
      <c r="J252" s="3">
        <v>1.679166666666667E-2</v>
      </c>
      <c r="K252" s="2">
        <v>632.52665899167721</v>
      </c>
      <c r="L252" s="2">
        <v>15180.63981580025</v>
      </c>
      <c r="M252" s="2">
        <v>2770.6398158002521</v>
      </c>
      <c r="N252" s="2">
        <v>499</v>
      </c>
      <c r="O252" s="2">
        <v>1613.3</v>
      </c>
      <c r="P252" t="s">
        <v>52</v>
      </c>
      <c r="Q252" s="2">
        <v>0</v>
      </c>
      <c r="R252" s="2">
        <v>1656.3398158002519</v>
      </c>
      <c r="S252" t="s">
        <v>33</v>
      </c>
      <c r="T252" t="s">
        <v>47</v>
      </c>
      <c r="U252" t="s">
        <v>35</v>
      </c>
      <c r="V252" t="s">
        <v>63</v>
      </c>
      <c r="W252" t="s">
        <v>37</v>
      </c>
      <c r="X252" s="2">
        <v>3269.6398158002521</v>
      </c>
      <c r="Y252" s="2">
        <v>1613.3</v>
      </c>
      <c r="Z252" s="2">
        <v>1656.3398158002519</v>
      </c>
      <c r="AA252" s="3">
        <v>0.1334681559871275</v>
      </c>
      <c r="AB252" s="3">
        <v>0</v>
      </c>
      <c r="AC252" t="s">
        <v>38</v>
      </c>
    </row>
    <row r="253" spans="1:29" x14ac:dyDescent="0.3">
      <c r="A253" t="s">
        <v>565</v>
      </c>
      <c r="B253" t="s">
        <v>566</v>
      </c>
      <c r="C253" t="s">
        <v>41</v>
      </c>
      <c r="D253" s="2">
        <v>129700</v>
      </c>
      <c r="E253" s="3">
        <v>0.15</v>
      </c>
      <c r="F253" s="2">
        <v>19455</v>
      </c>
      <c r="G253" s="2">
        <v>110245</v>
      </c>
      <c r="H253" s="3">
        <v>0.19470000000000001</v>
      </c>
      <c r="I253">
        <v>6</v>
      </c>
      <c r="J253" s="3">
        <v>1.6225E-2</v>
      </c>
      <c r="K253" s="2">
        <v>19431.582141905299</v>
      </c>
      <c r="L253" s="2">
        <v>116589.4928514318</v>
      </c>
      <c r="M253" s="2">
        <v>6344.4928514317726</v>
      </c>
      <c r="N253" s="2">
        <v>1102.45</v>
      </c>
      <c r="O253" s="2">
        <v>3582.9625000000001</v>
      </c>
      <c r="P253" t="s">
        <v>32</v>
      </c>
      <c r="Q253" s="2">
        <v>0</v>
      </c>
      <c r="R253" s="2">
        <v>3863.9803514317719</v>
      </c>
      <c r="S253" t="s">
        <v>43</v>
      </c>
      <c r="T253" t="s">
        <v>44</v>
      </c>
      <c r="U253" t="s">
        <v>48</v>
      </c>
      <c r="V253" t="s">
        <v>63</v>
      </c>
      <c r="W253" t="s">
        <v>64</v>
      </c>
      <c r="X253" s="2">
        <v>7446.9428514317724</v>
      </c>
      <c r="Y253" s="2">
        <v>3582.9625000000001</v>
      </c>
      <c r="Z253" s="2">
        <v>3863.9803514317719</v>
      </c>
      <c r="AA253" s="3">
        <v>3.5049030354499272E-2</v>
      </c>
      <c r="AB253" s="3">
        <v>0</v>
      </c>
      <c r="AC253" t="s">
        <v>38</v>
      </c>
    </row>
    <row r="254" spans="1:29" x14ac:dyDescent="0.3">
      <c r="A254" t="s">
        <v>567</v>
      </c>
      <c r="B254" t="s">
        <v>568</v>
      </c>
      <c r="C254" t="s">
        <v>56</v>
      </c>
      <c r="D254" s="2">
        <v>1418600</v>
      </c>
      <c r="E254" s="3">
        <v>0.2</v>
      </c>
      <c r="F254" s="2">
        <v>283720</v>
      </c>
      <c r="G254" s="2">
        <v>1134880</v>
      </c>
      <c r="H254" s="3">
        <v>0.1113</v>
      </c>
      <c r="I254">
        <v>36</v>
      </c>
      <c r="J254" s="3">
        <v>9.2750000000000003E-3</v>
      </c>
      <c r="K254" s="2">
        <v>37224.421139868391</v>
      </c>
      <c r="L254" s="2">
        <v>1340079.161035262</v>
      </c>
      <c r="M254" s="2">
        <v>205199.16103526199</v>
      </c>
      <c r="N254" s="2">
        <v>11348.8</v>
      </c>
      <c r="O254" s="2">
        <v>221301.6</v>
      </c>
      <c r="P254" t="s">
        <v>32</v>
      </c>
      <c r="Q254" s="2">
        <v>0</v>
      </c>
      <c r="R254" s="2">
        <v>-4753.6389647379401</v>
      </c>
      <c r="S254" t="s">
        <v>33</v>
      </c>
      <c r="T254" t="s">
        <v>53</v>
      </c>
      <c r="U254" t="s">
        <v>59</v>
      </c>
      <c r="V254" t="s">
        <v>36</v>
      </c>
      <c r="W254" t="s">
        <v>37</v>
      </c>
      <c r="X254" s="2">
        <v>216547.96103526201</v>
      </c>
      <c r="Y254" s="2">
        <v>221301.6</v>
      </c>
      <c r="Z254" s="2">
        <v>-4753.6389647379401</v>
      </c>
      <c r="AA254" s="3">
        <v>-4.188671017850293E-3</v>
      </c>
      <c r="AB254" s="3">
        <v>0</v>
      </c>
      <c r="AC254" t="s">
        <v>38</v>
      </c>
    </row>
    <row r="255" spans="1:29" x14ac:dyDescent="0.3">
      <c r="A255" t="s">
        <v>569</v>
      </c>
      <c r="B255" t="s">
        <v>570</v>
      </c>
      <c r="C255" t="s">
        <v>86</v>
      </c>
      <c r="D255" s="2">
        <v>118800</v>
      </c>
      <c r="E255" s="3">
        <v>0</v>
      </c>
      <c r="F255" s="2">
        <v>0</v>
      </c>
      <c r="G255" s="2">
        <v>118800</v>
      </c>
      <c r="H255" s="3">
        <v>0.1835</v>
      </c>
      <c r="I255">
        <v>12</v>
      </c>
      <c r="J255" s="3">
        <v>1.529166666666667E-2</v>
      </c>
      <c r="K255" s="2">
        <v>10911.381418995359</v>
      </c>
      <c r="L255" s="2">
        <v>130936.5770279444</v>
      </c>
      <c r="M255" s="2">
        <v>12136.57702794435</v>
      </c>
      <c r="N255" s="2">
        <v>1188</v>
      </c>
      <c r="O255" s="2">
        <v>7722</v>
      </c>
      <c r="P255" t="s">
        <v>32</v>
      </c>
      <c r="Q255" s="2">
        <v>0</v>
      </c>
      <c r="R255" s="2">
        <v>5602.5770279443532</v>
      </c>
      <c r="S255" t="s">
        <v>57</v>
      </c>
      <c r="T255" t="s">
        <v>204</v>
      </c>
      <c r="U255" t="s">
        <v>48</v>
      </c>
      <c r="V255" t="s">
        <v>63</v>
      </c>
      <c r="W255" t="s">
        <v>64</v>
      </c>
      <c r="X255" s="2">
        <v>13324.57702794435</v>
      </c>
      <c r="Y255" s="2">
        <v>7722</v>
      </c>
      <c r="Z255" s="2">
        <v>5602.5770279443532</v>
      </c>
      <c r="AA255" s="3">
        <v>4.7159739292460888E-2</v>
      </c>
      <c r="AB255" s="3">
        <v>0</v>
      </c>
      <c r="AC255" t="s">
        <v>38</v>
      </c>
    </row>
    <row r="256" spans="1:29" x14ac:dyDescent="0.3">
      <c r="A256" t="s">
        <v>571</v>
      </c>
      <c r="B256" t="s">
        <v>572</v>
      </c>
      <c r="C256" t="s">
        <v>86</v>
      </c>
      <c r="D256" s="2">
        <v>20600</v>
      </c>
      <c r="E256" s="3">
        <v>0.2</v>
      </c>
      <c r="F256" s="2">
        <v>4120</v>
      </c>
      <c r="G256" s="2">
        <v>16480</v>
      </c>
      <c r="H256" s="3">
        <v>0.153</v>
      </c>
      <c r="I256">
        <v>12</v>
      </c>
      <c r="J256" s="3">
        <v>1.2749999999999999E-2</v>
      </c>
      <c r="K256" s="2">
        <v>1489.7909166286699</v>
      </c>
      <c r="L256" s="2">
        <v>17877.49099954405</v>
      </c>
      <c r="M256" s="2">
        <v>1397.4909995440471</v>
      </c>
      <c r="N256" s="2">
        <v>499</v>
      </c>
      <c r="O256" s="2">
        <v>1071.2</v>
      </c>
      <c r="P256" t="s">
        <v>52</v>
      </c>
      <c r="Q256" s="2">
        <v>0</v>
      </c>
      <c r="R256" s="2">
        <v>825.2909995440466</v>
      </c>
      <c r="S256" t="s">
        <v>43</v>
      </c>
      <c r="T256" t="s">
        <v>62</v>
      </c>
      <c r="U256" t="s">
        <v>35</v>
      </c>
      <c r="V256" t="s">
        <v>63</v>
      </c>
      <c r="W256" t="s">
        <v>64</v>
      </c>
      <c r="X256" s="2">
        <v>1896.4909995440471</v>
      </c>
      <c r="Y256" s="2">
        <v>1071.2</v>
      </c>
      <c r="Z256" s="2">
        <v>825.2909995440466</v>
      </c>
      <c r="AA256" s="3">
        <v>5.0078337350973702E-2</v>
      </c>
      <c r="AB256" s="3">
        <v>0</v>
      </c>
      <c r="AC256" t="s">
        <v>38</v>
      </c>
    </row>
    <row r="257" spans="1:29" x14ac:dyDescent="0.3">
      <c r="A257" t="s">
        <v>573</v>
      </c>
      <c r="B257" t="s">
        <v>574</v>
      </c>
      <c r="C257" t="s">
        <v>31</v>
      </c>
      <c r="D257" s="2">
        <v>249800</v>
      </c>
      <c r="E257" s="3">
        <v>0.1</v>
      </c>
      <c r="F257" s="2">
        <v>24980</v>
      </c>
      <c r="G257" s="2">
        <v>224820</v>
      </c>
      <c r="H257" s="3">
        <v>0.1454</v>
      </c>
      <c r="I257">
        <v>24</v>
      </c>
      <c r="J257" s="3">
        <v>1.211666666666667E-2</v>
      </c>
      <c r="K257" s="2">
        <v>10851.697372312739</v>
      </c>
      <c r="L257" s="2">
        <v>260440.73693550579</v>
      </c>
      <c r="M257" s="2">
        <v>35620.736935505789</v>
      </c>
      <c r="N257" s="2">
        <v>2248.1999999999998</v>
      </c>
      <c r="O257" s="2">
        <v>29226.6</v>
      </c>
      <c r="P257" t="s">
        <v>32</v>
      </c>
      <c r="Q257" s="2">
        <v>0</v>
      </c>
      <c r="R257" s="2">
        <v>8642.3369355057839</v>
      </c>
      <c r="S257" t="s">
        <v>57</v>
      </c>
      <c r="T257" t="s">
        <v>107</v>
      </c>
      <c r="U257" t="s">
        <v>48</v>
      </c>
      <c r="V257" t="s">
        <v>36</v>
      </c>
      <c r="W257" t="s">
        <v>37</v>
      </c>
      <c r="X257" s="2">
        <v>37868.936935505793</v>
      </c>
      <c r="Y257" s="2">
        <v>29226.6</v>
      </c>
      <c r="Z257" s="2">
        <v>8642.3369355057839</v>
      </c>
      <c r="AA257" s="3">
        <v>3.844113929145887E-2</v>
      </c>
      <c r="AB257" s="3">
        <v>0</v>
      </c>
      <c r="AC257" t="s">
        <v>38</v>
      </c>
    </row>
    <row r="258" spans="1:29" x14ac:dyDescent="0.3">
      <c r="A258" t="s">
        <v>575</v>
      </c>
      <c r="B258" t="s">
        <v>576</v>
      </c>
      <c r="C258" t="s">
        <v>41</v>
      </c>
      <c r="D258" s="2">
        <v>35800</v>
      </c>
      <c r="E258" s="3">
        <v>0.05</v>
      </c>
      <c r="F258" s="2">
        <v>1790</v>
      </c>
      <c r="G258" s="2">
        <v>34010</v>
      </c>
      <c r="H258" s="3">
        <v>0.17349999999999999</v>
      </c>
      <c r="I258">
        <v>9</v>
      </c>
      <c r="J258" s="3">
        <v>1.445833333333333E-2</v>
      </c>
      <c r="K258" s="2">
        <v>4057.2982299554469</v>
      </c>
      <c r="L258" s="2">
        <v>36515.684069599018</v>
      </c>
      <c r="M258" s="2">
        <v>2505.684069599025</v>
      </c>
      <c r="N258" s="2">
        <v>499</v>
      </c>
      <c r="O258" s="2">
        <v>1657.9875</v>
      </c>
      <c r="P258" t="s">
        <v>32</v>
      </c>
      <c r="Q258" s="2">
        <v>0</v>
      </c>
      <c r="R258" s="2">
        <v>1346.696569599025</v>
      </c>
      <c r="S258" t="s">
        <v>43</v>
      </c>
      <c r="T258" t="s">
        <v>62</v>
      </c>
      <c r="U258" t="s">
        <v>35</v>
      </c>
      <c r="V258" t="s">
        <v>63</v>
      </c>
      <c r="W258" t="s">
        <v>64</v>
      </c>
      <c r="X258" s="2">
        <v>3004.684069599025</v>
      </c>
      <c r="Y258" s="2">
        <v>1657.9875</v>
      </c>
      <c r="Z258" s="2">
        <v>1346.696569599025</v>
      </c>
      <c r="AA258" s="3">
        <v>3.9597076436313577E-2</v>
      </c>
      <c r="AB258" s="3">
        <v>0</v>
      </c>
      <c r="AC258" t="s">
        <v>38</v>
      </c>
    </row>
    <row r="259" spans="1:29" x14ac:dyDescent="0.3">
      <c r="A259" t="s">
        <v>577</v>
      </c>
      <c r="B259" t="s">
        <v>578</v>
      </c>
      <c r="C259" t="s">
        <v>86</v>
      </c>
      <c r="D259" s="2">
        <v>34400</v>
      </c>
      <c r="E259" s="3">
        <v>0.05</v>
      </c>
      <c r="F259" s="2">
        <v>1720</v>
      </c>
      <c r="G259" s="2">
        <v>32680</v>
      </c>
      <c r="H259" s="3">
        <v>0.20030000000000001</v>
      </c>
      <c r="I259">
        <v>9</v>
      </c>
      <c r="J259" s="3">
        <v>1.6691666666666671E-2</v>
      </c>
      <c r="K259" s="2">
        <v>3940.8438871224512</v>
      </c>
      <c r="L259" s="2">
        <v>35467.594984102063</v>
      </c>
      <c r="M259" s="2">
        <v>2787.5949841020629</v>
      </c>
      <c r="N259" s="2">
        <v>499</v>
      </c>
      <c r="O259" s="2">
        <v>1593.15</v>
      </c>
      <c r="P259" t="s">
        <v>32</v>
      </c>
      <c r="Q259" s="2">
        <v>0</v>
      </c>
      <c r="R259" s="2">
        <v>1693.444984102063</v>
      </c>
      <c r="S259" t="s">
        <v>33</v>
      </c>
      <c r="T259" t="s">
        <v>204</v>
      </c>
      <c r="U259" t="s">
        <v>35</v>
      </c>
      <c r="V259" t="s">
        <v>63</v>
      </c>
      <c r="W259" t="s">
        <v>64</v>
      </c>
      <c r="X259" s="2">
        <v>3286.5949841020629</v>
      </c>
      <c r="Y259" s="2">
        <v>1593.15</v>
      </c>
      <c r="Z259" s="2">
        <v>1693.444984102063</v>
      </c>
      <c r="AA259" s="3">
        <v>5.1819001961507433E-2</v>
      </c>
      <c r="AB259" s="3">
        <v>0</v>
      </c>
      <c r="AC259" t="s">
        <v>38</v>
      </c>
    </row>
    <row r="260" spans="1:29" x14ac:dyDescent="0.3">
      <c r="A260" t="s">
        <v>579</v>
      </c>
      <c r="B260" t="s">
        <v>580</v>
      </c>
      <c r="C260" t="s">
        <v>31</v>
      </c>
      <c r="D260" s="2">
        <v>226300</v>
      </c>
      <c r="E260" s="3">
        <v>0.2</v>
      </c>
      <c r="F260" s="2">
        <v>45260</v>
      </c>
      <c r="G260" s="2">
        <v>181040</v>
      </c>
      <c r="H260" s="3">
        <v>0.105</v>
      </c>
      <c r="I260">
        <v>12</v>
      </c>
      <c r="J260" s="3">
        <v>8.7499999999999991E-3</v>
      </c>
      <c r="K260" s="2">
        <v>15958.4230679743</v>
      </c>
      <c r="L260" s="2">
        <v>191501.07681569149</v>
      </c>
      <c r="M260" s="2">
        <v>10461.07681569154</v>
      </c>
      <c r="N260" s="2">
        <v>1810.4</v>
      </c>
      <c r="O260" s="2">
        <v>11767.6</v>
      </c>
      <c r="P260" t="s">
        <v>52</v>
      </c>
      <c r="Q260" s="2">
        <v>0</v>
      </c>
      <c r="R260" s="2">
        <v>503.87681569154302</v>
      </c>
      <c r="S260" t="s">
        <v>57</v>
      </c>
      <c r="T260" t="s">
        <v>67</v>
      </c>
      <c r="U260" t="s">
        <v>48</v>
      </c>
      <c r="V260" t="s">
        <v>36</v>
      </c>
      <c r="W260" t="s">
        <v>64</v>
      </c>
      <c r="X260" s="2">
        <v>12271.47681569154</v>
      </c>
      <c r="Y260" s="2">
        <v>11767.6</v>
      </c>
      <c r="Z260" s="2">
        <v>503.87681569154302</v>
      </c>
      <c r="AA260" s="3">
        <v>2.7832347309519612E-3</v>
      </c>
      <c r="AB260" s="3">
        <v>0</v>
      </c>
      <c r="AC260" t="s">
        <v>38</v>
      </c>
    </row>
    <row r="261" spans="1:29" x14ac:dyDescent="0.3">
      <c r="A261" t="s">
        <v>581</v>
      </c>
      <c r="B261" t="s">
        <v>582</v>
      </c>
      <c r="C261" t="s">
        <v>41</v>
      </c>
      <c r="D261" s="2">
        <v>136900</v>
      </c>
      <c r="E261" s="3">
        <v>0</v>
      </c>
      <c r="F261" s="2">
        <v>0</v>
      </c>
      <c r="G261" s="2">
        <v>136900</v>
      </c>
      <c r="H261" s="3">
        <v>0.17630000000000001</v>
      </c>
      <c r="I261">
        <v>12</v>
      </c>
      <c r="J261" s="3">
        <v>1.4691666666666671E-2</v>
      </c>
      <c r="K261" s="2">
        <v>12526.89718742701</v>
      </c>
      <c r="L261" s="2">
        <v>150322.76624912411</v>
      </c>
      <c r="M261" s="2">
        <v>13422.766249124081</v>
      </c>
      <c r="N261" s="2">
        <v>1369</v>
      </c>
      <c r="O261" s="2">
        <v>8898.5</v>
      </c>
      <c r="P261" t="s">
        <v>32</v>
      </c>
      <c r="Q261" s="2">
        <v>0</v>
      </c>
      <c r="R261" s="2">
        <v>5893.2662491240771</v>
      </c>
      <c r="S261" t="s">
        <v>77</v>
      </c>
      <c r="T261" t="s">
        <v>53</v>
      </c>
      <c r="U261" t="s">
        <v>48</v>
      </c>
      <c r="V261" t="s">
        <v>63</v>
      </c>
      <c r="W261" t="s">
        <v>64</v>
      </c>
      <c r="X261" s="2">
        <v>14791.766249124081</v>
      </c>
      <c r="Y261" s="2">
        <v>8898.5</v>
      </c>
      <c r="Z261" s="2">
        <v>5893.2662491240771</v>
      </c>
      <c r="AA261" s="3">
        <v>4.304796383582233E-2</v>
      </c>
      <c r="AB261" s="3">
        <v>0</v>
      </c>
      <c r="AC261" t="s">
        <v>38</v>
      </c>
    </row>
    <row r="262" spans="1:29" x14ac:dyDescent="0.3">
      <c r="A262" t="s">
        <v>583</v>
      </c>
      <c r="B262" t="s">
        <v>584</v>
      </c>
      <c r="C262" t="s">
        <v>31</v>
      </c>
      <c r="D262" s="2">
        <v>112600</v>
      </c>
      <c r="E262" s="3">
        <v>0.2</v>
      </c>
      <c r="F262" s="2">
        <v>22520</v>
      </c>
      <c r="G262" s="2">
        <v>90080</v>
      </c>
      <c r="H262" s="3">
        <v>0.11070000000000001</v>
      </c>
      <c r="I262">
        <v>24</v>
      </c>
      <c r="J262" s="3">
        <v>9.2250000000000006E-3</v>
      </c>
      <c r="K262" s="2">
        <v>4201.3621909805888</v>
      </c>
      <c r="L262" s="2">
        <v>100832.6925835341</v>
      </c>
      <c r="M262" s="2">
        <v>10752.692583534141</v>
      </c>
      <c r="N262" s="2">
        <v>900.80000000000007</v>
      </c>
      <c r="O262" s="2">
        <v>11710.4</v>
      </c>
      <c r="P262" t="s">
        <v>32</v>
      </c>
      <c r="Q262" s="2">
        <v>0</v>
      </c>
      <c r="R262" s="2">
        <v>-56.907416465861388</v>
      </c>
      <c r="S262" t="s">
        <v>77</v>
      </c>
      <c r="T262" t="s">
        <v>107</v>
      </c>
      <c r="U262" t="s">
        <v>35</v>
      </c>
      <c r="V262" t="s">
        <v>36</v>
      </c>
      <c r="W262" t="s">
        <v>37</v>
      </c>
      <c r="X262" s="2">
        <v>11653.49258353414</v>
      </c>
      <c r="Y262" s="2">
        <v>11710.4</v>
      </c>
      <c r="Z262" s="2">
        <v>-56.907416465861388</v>
      </c>
      <c r="AA262" s="3">
        <v>-6.3174307799579693E-4</v>
      </c>
      <c r="AB262" s="3">
        <v>0</v>
      </c>
      <c r="AC262" t="s">
        <v>38</v>
      </c>
    </row>
    <row r="263" spans="1:29" x14ac:dyDescent="0.3">
      <c r="A263" t="s">
        <v>585</v>
      </c>
      <c r="B263" t="s">
        <v>586</v>
      </c>
      <c r="C263" t="s">
        <v>31</v>
      </c>
      <c r="D263" s="2">
        <v>279100</v>
      </c>
      <c r="E263" s="3">
        <v>0.1</v>
      </c>
      <c r="F263" s="2">
        <v>27910</v>
      </c>
      <c r="G263" s="2">
        <v>251190</v>
      </c>
      <c r="H263" s="3">
        <v>0.16059999999999999</v>
      </c>
      <c r="I263">
        <v>24</v>
      </c>
      <c r="J263" s="3">
        <v>1.338333333333333E-2</v>
      </c>
      <c r="K263" s="2">
        <v>12306.246200205351</v>
      </c>
      <c r="L263" s="2">
        <v>295349.9088049283</v>
      </c>
      <c r="M263" s="2">
        <v>44159.908804928302</v>
      </c>
      <c r="N263" s="2">
        <v>2511.9</v>
      </c>
      <c r="O263" s="2">
        <v>32654.7</v>
      </c>
      <c r="P263" t="s">
        <v>32</v>
      </c>
      <c r="Q263" s="2">
        <v>0</v>
      </c>
      <c r="R263" s="2">
        <v>14017.108804928301</v>
      </c>
      <c r="S263" t="s">
        <v>33</v>
      </c>
      <c r="T263" t="s">
        <v>70</v>
      </c>
      <c r="U263" t="s">
        <v>151</v>
      </c>
      <c r="V263" t="s">
        <v>63</v>
      </c>
      <c r="W263" t="s">
        <v>37</v>
      </c>
      <c r="X263" s="2">
        <v>46671.808804928303</v>
      </c>
      <c r="Y263" s="2">
        <v>32654.7</v>
      </c>
      <c r="Z263" s="2">
        <v>14017.108804928301</v>
      </c>
      <c r="AA263" s="3">
        <v>5.5802813825901923E-2</v>
      </c>
      <c r="AB263" s="3">
        <v>0</v>
      </c>
      <c r="AC263" t="s">
        <v>38</v>
      </c>
    </row>
    <row r="264" spans="1:29" x14ac:dyDescent="0.3">
      <c r="A264" t="s">
        <v>587</v>
      </c>
      <c r="B264" t="s">
        <v>588</v>
      </c>
      <c r="C264" t="s">
        <v>41</v>
      </c>
      <c r="D264" s="2">
        <v>113000</v>
      </c>
      <c r="E264" s="3">
        <v>0</v>
      </c>
      <c r="F264" s="2">
        <v>0</v>
      </c>
      <c r="G264" s="2">
        <v>113000</v>
      </c>
      <c r="H264" s="3">
        <v>0.12620000000000001</v>
      </c>
      <c r="I264">
        <v>24</v>
      </c>
      <c r="J264" s="3">
        <v>1.0516666666666671E-2</v>
      </c>
      <c r="K264" s="2">
        <v>5352.0788723659634</v>
      </c>
      <c r="L264" s="2">
        <v>128449.8929367831</v>
      </c>
      <c r="M264" s="2">
        <v>15449.892936783121</v>
      </c>
      <c r="N264" s="2">
        <v>1130</v>
      </c>
      <c r="O264" s="2">
        <v>14690</v>
      </c>
      <c r="P264" t="s">
        <v>52</v>
      </c>
      <c r="Q264" s="2">
        <v>0</v>
      </c>
      <c r="R264" s="2">
        <v>1889.8929367831149</v>
      </c>
      <c r="S264" t="s">
        <v>43</v>
      </c>
      <c r="T264" t="s">
        <v>34</v>
      </c>
      <c r="U264" t="s">
        <v>48</v>
      </c>
      <c r="V264" t="s">
        <v>36</v>
      </c>
      <c r="W264" t="s">
        <v>37</v>
      </c>
      <c r="X264" s="2">
        <v>16579.892936783119</v>
      </c>
      <c r="Y264" s="2">
        <v>14690</v>
      </c>
      <c r="Z264" s="2">
        <v>1889.8929367831149</v>
      </c>
      <c r="AA264" s="3">
        <v>1.6724716254717831E-2</v>
      </c>
      <c r="AB264" s="3">
        <v>0</v>
      </c>
      <c r="AC264" t="s">
        <v>38</v>
      </c>
    </row>
    <row r="265" spans="1:29" x14ac:dyDescent="0.3">
      <c r="A265" t="s">
        <v>589</v>
      </c>
      <c r="B265" t="s">
        <v>590</v>
      </c>
      <c r="C265" t="s">
        <v>41</v>
      </c>
      <c r="D265" s="2">
        <v>45600</v>
      </c>
      <c r="E265" s="3">
        <v>0</v>
      </c>
      <c r="F265" s="2">
        <v>0</v>
      </c>
      <c r="G265" s="2">
        <v>45600</v>
      </c>
      <c r="H265" s="3">
        <v>0.18840000000000001</v>
      </c>
      <c r="I265">
        <v>18</v>
      </c>
      <c r="J265" s="3">
        <v>1.5699999999999999E-2</v>
      </c>
      <c r="K265" s="2">
        <v>2927.835421119943</v>
      </c>
      <c r="L265" s="2">
        <v>52701.037580158969</v>
      </c>
      <c r="M265" s="2">
        <v>7101.0375801589689</v>
      </c>
      <c r="N265" s="2">
        <v>499</v>
      </c>
      <c r="O265" s="2">
        <v>4446</v>
      </c>
      <c r="P265" t="s">
        <v>32</v>
      </c>
      <c r="Q265" s="2">
        <v>0</v>
      </c>
      <c r="R265" s="2">
        <v>3154.0375801589689</v>
      </c>
      <c r="S265" t="s">
        <v>57</v>
      </c>
      <c r="T265" t="s">
        <v>58</v>
      </c>
      <c r="U265" t="s">
        <v>35</v>
      </c>
      <c r="V265" t="s">
        <v>63</v>
      </c>
      <c r="W265" t="s">
        <v>37</v>
      </c>
      <c r="X265" s="2">
        <v>7600.0375801589689</v>
      </c>
      <c r="Y265" s="2">
        <v>4446</v>
      </c>
      <c r="Z265" s="2">
        <v>3154.0375801589689</v>
      </c>
      <c r="AA265" s="3">
        <v>6.9167490792959849E-2</v>
      </c>
      <c r="AB265" s="3">
        <v>0</v>
      </c>
      <c r="AC265" t="s">
        <v>38</v>
      </c>
    </row>
    <row r="266" spans="1:29" x14ac:dyDescent="0.3">
      <c r="A266" t="s">
        <v>591</v>
      </c>
      <c r="B266" t="s">
        <v>592</v>
      </c>
      <c r="C266" t="s">
        <v>56</v>
      </c>
      <c r="D266" s="2">
        <v>890000</v>
      </c>
      <c r="E266" s="3">
        <v>0.3</v>
      </c>
      <c r="F266" s="2">
        <v>267000</v>
      </c>
      <c r="G266" s="2">
        <v>623000</v>
      </c>
      <c r="H266" s="3">
        <v>8.6699999999999999E-2</v>
      </c>
      <c r="I266">
        <v>48</v>
      </c>
      <c r="J266" s="3">
        <v>7.2249999999999997E-3</v>
      </c>
      <c r="K266" s="2">
        <v>15405.94420937802</v>
      </c>
      <c r="L266" s="2">
        <v>739485.32205014501</v>
      </c>
      <c r="M266" s="2">
        <v>116485.322050145</v>
      </c>
      <c r="N266" s="2">
        <v>6230</v>
      </c>
      <c r="O266" s="2">
        <v>161980</v>
      </c>
      <c r="P266" t="s">
        <v>32</v>
      </c>
      <c r="Q266" s="2">
        <v>0</v>
      </c>
      <c r="R266" s="2">
        <v>-39264.677949854988</v>
      </c>
      <c r="S266" t="s">
        <v>33</v>
      </c>
      <c r="T266" t="s">
        <v>70</v>
      </c>
      <c r="U266" t="s">
        <v>59</v>
      </c>
      <c r="V266" t="s">
        <v>71</v>
      </c>
      <c r="W266" t="s">
        <v>49</v>
      </c>
      <c r="X266" s="2">
        <v>122715.322050145</v>
      </c>
      <c r="Y266" s="2">
        <v>161980</v>
      </c>
      <c r="Z266" s="2">
        <v>-39264.677949854988</v>
      </c>
      <c r="AA266" s="3">
        <v>-6.3025165248563386E-2</v>
      </c>
      <c r="AB266" s="3">
        <v>0</v>
      </c>
      <c r="AC266" t="s">
        <v>38</v>
      </c>
    </row>
    <row r="267" spans="1:29" x14ac:dyDescent="0.3">
      <c r="A267" t="s">
        <v>593</v>
      </c>
      <c r="B267" t="s">
        <v>594</v>
      </c>
      <c r="C267" t="s">
        <v>41</v>
      </c>
      <c r="D267" s="2">
        <v>125900</v>
      </c>
      <c r="E267" s="3">
        <v>0.1</v>
      </c>
      <c r="F267" s="2">
        <v>12590</v>
      </c>
      <c r="G267" s="2">
        <v>113310</v>
      </c>
      <c r="H267" s="3">
        <v>0.1779</v>
      </c>
      <c r="I267">
        <v>18</v>
      </c>
      <c r="J267" s="3">
        <v>1.4825E-2</v>
      </c>
      <c r="K267" s="2">
        <v>7218.4951502667082</v>
      </c>
      <c r="L267" s="2">
        <v>129932.91270480079</v>
      </c>
      <c r="M267" s="2">
        <v>16622.91270480075</v>
      </c>
      <c r="N267" s="2">
        <v>1133.0999999999999</v>
      </c>
      <c r="O267" s="2">
        <v>11047.725</v>
      </c>
      <c r="P267" t="s">
        <v>32</v>
      </c>
      <c r="Q267" s="2">
        <v>0</v>
      </c>
      <c r="R267" s="2">
        <v>6708.2877048007495</v>
      </c>
      <c r="S267" t="s">
        <v>43</v>
      </c>
      <c r="T267" t="s">
        <v>34</v>
      </c>
      <c r="U267" t="s">
        <v>48</v>
      </c>
      <c r="V267" t="s">
        <v>63</v>
      </c>
      <c r="W267" t="s">
        <v>37</v>
      </c>
      <c r="X267" s="2">
        <v>17756.012704800749</v>
      </c>
      <c r="Y267" s="2">
        <v>11047.725</v>
      </c>
      <c r="Z267" s="2">
        <v>6708.2877048007495</v>
      </c>
      <c r="AA267" s="3">
        <v>5.9202962711153023E-2</v>
      </c>
      <c r="AB267" s="3">
        <v>0</v>
      </c>
      <c r="AC267" t="s">
        <v>38</v>
      </c>
    </row>
    <row r="268" spans="1:29" x14ac:dyDescent="0.3">
      <c r="A268" t="s">
        <v>595</v>
      </c>
      <c r="B268" t="s">
        <v>596</v>
      </c>
      <c r="C268" t="s">
        <v>86</v>
      </c>
      <c r="D268" s="2">
        <v>55500</v>
      </c>
      <c r="E268" s="3">
        <v>0</v>
      </c>
      <c r="F268" s="2">
        <v>0</v>
      </c>
      <c r="G268" s="2">
        <v>55500</v>
      </c>
      <c r="H268" s="3">
        <v>0.19600000000000001</v>
      </c>
      <c r="I268">
        <v>18</v>
      </c>
      <c r="J268" s="3">
        <v>1.6333333333333339E-2</v>
      </c>
      <c r="K268" s="2">
        <v>3583.6945590894461</v>
      </c>
      <c r="L268" s="2">
        <v>64506.502063610031</v>
      </c>
      <c r="M268" s="2">
        <v>9006.5020636100307</v>
      </c>
      <c r="N268" s="2">
        <v>555</v>
      </c>
      <c r="O268" s="2">
        <v>5411.25</v>
      </c>
      <c r="P268" t="s">
        <v>32</v>
      </c>
      <c r="Q268" s="2">
        <v>0</v>
      </c>
      <c r="R268" s="2">
        <v>4150.2520636100307</v>
      </c>
      <c r="S268" t="s">
        <v>33</v>
      </c>
      <c r="T268" t="s">
        <v>116</v>
      </c>
      <c r="U268" t="s">
        <v>35</v>
      </c>
      <c r="V268" t="s">
        <v>63</v>
      </c>
      <c r="W268" t="s">
        <v>37</v>
      </c>
      <c r="X268" s="2">
        <v>9561.5020636100307</v>
      </c>
      <c r="Y268" s="2">
        <v>5411.25</v>
      </c>
      <c r="Z268" s="2">
        <v>4150.2520636100307</v>
      </c>
      <c r="AA268" s="3">
        <v>7.4779316461441994E-2</v>
      </c>
      <c r="AB268" s="3">
        <v>0</v>
      </c>
      <c r="AC268" t="s">
        <v>38</v>
      </c>
    </row>
    <row r="269" spans="1:29" x14ac:dyDescent="0.3">
      <c r="A269" t="s">
        <v>597</v>
      </c>
      <c r="B269" t="s">
        <v>598</v>
      </c>
      <c r="C269" t="s">
        <v>86</v>
      </c>
      <c r="D269" s="2">
        <v>53800</v>
      </c>
      <c r="E269" s="3">
        <v>0.2</v>
      </c>
      <c r="F269" s="2">
        <v>10760</v>
      </c>
      <c r="G269" s="2">
        <v>43040</v>
      </c>
      <c r="H269" s="3">
        <v>0.20150000000000001</v>
      </c>
      <c r="I269">
        <v>24</v>
      </c>
      <c r="J269" s="3">
        <v>1.679166666666667E-2</v>
      </c>
      <c r="K269" s="2">
        <v>2193.7105078970012</v>
      </c>
      <c r="L269" s="2">
        <v>52649.052189528033</v>
      </c>
      <c r="M269" s="2">
        <v>9609.0521895280253</v>
      </c>
      <c r="N269" s="2">
        <v>499</v>
      </c>
      <c r="O269" s="2">
        <v>5595.2</v>
      </c>
      <c r="P269" t="s">
        <v>32</v>
      </c>
      <c r="Q269" s="2">
        <v>0</v>
      </c>
      <c r="R269" s="2">
        <v>4512.8521895280264</v>
      </c>
      <c r="S269" t="s">
        <v>57</v>
      </c>
      <c r="T269" t="s">
        <v>53</v>
      </c>
      <c r="U269" t="s">
        <v>35</v>
      </c>
      <c r="V269" t="s">
        <v>63</v>
      </c>
      <c r="W269" t="s">
        <v>37</v>
      </c>
      <c r="X269" s="2">
        <v>10108.052189528031</v>
      </c>
      <c r="Y269" s="2">
        <v>5595.2</v>
      </c>
      <c r="Z269" s="2">
        <v>4512.8521895280264</v>
      </c>
      <c r="AA269" s="3">
        <v>0.1048525136972125</v>
      </c>
      <c r="AB269" s="3">
        <v>0</v>
      </c>
      <c r="AC269" t="s">
        <v>38</v>
      </c>
    </row>
    <row r="270" spans="1:29" x14ac:dyDescent="0.3">
      <c r="A270" t="s">
        <v>599</v>
      </c>
      <c r="B270" t="s">
        <v>600</v>
      </c>
      <c r="C270" t="s">
        <v>56</v>
      </c>
      <c r="D270" s="2">
        <v>820700</v>
      </c>
      <c r="E270" s="3">
        <v>0.25</v>
      </c>
      <c r="F270" s="2">
        <v>205175</v>
      </c>
      <c r="G270" s="2">
        <v>615525</v>
      </c>
      <c r="H270" s="3">
        <v>0.1111</v>
      </c>
      <c r="I270">
        <v>72</v>
      </c>
      <c r="J270" s="3">
        <v>9.2583333333333337E-3</v>
      </c>
      <c r="K270" s="2">
        <v>11750.659959670469</v>
      </c>
      <c r="L270" s="2">
        <v>846047.51709627348</v>
      </c>
      <c r="M270" s="2">
        <v>230522.51709627351</v>
      </c>
      <c r="N270" s="2">
        <v>6155.25</v>
      </c>
      <c r="O270" s="2">
        <v>240054.75</v>
      </c>
      <c r="P270" t="s">
        <v>52</v>
      </c>
      <c r="Q270" s="2">
        <v>0</v>
      </c>
      <c r="R270" s="2">
        <v>-3376.9829037265149</v>
      </c>
      <c r="S270" t="s">
        <v>43</v>
      </c>
      <c r="T270" t="s">
        <v>67</v>
      </c>
      <c r="U270" t="s">
        <v>59</v>
      </c>
      <c r="V270" t="s">
        <v>36</v>
      </c>
      <c r="W270" t="s">
        <v>49</v>
      </c>
      <c r="X270" s="2">
        <v>236677.76709627351</v>
      </c>
      <c r="Y270" s="2">
        <v>240054.75</v>
      </c>
      <c r="Z270" s="2">
        <v>-3376.9829037265149</v>
      </c>
      <c r="AA270" s="3">
        <v>-5.4863456459551038E-3</v>
      </c>
      <c r="AB270" s="3">
        <v>0</v>
      </c>
      <c r="AC270" t="s">
        <v>38</v>
      </c>
    </row>
    <row r="271" spans="1:29" x14ac:dyDescent="0.3">
      <c r="A271" t="s">
        <v>601</v>
      </c>
      <c r="B271" t="s">
        <v>602</v>
      </c>
      <c r="C271" t="s">
        <v>56</v>
      </c>
      <c r="D271" s="2">
        <v>530500</v>
      </c>
      <c r="E271" s="3">
        <v>0.3</v>
      </c>
      <c r="F271" s="2">
        <v>159150</v>
      </c>
      <c r="G271" s="2">
        <v>371350</v>
      </c>
      <c r="H271" s="3">
        <v>0.1148</v>
      </c>
      <c r="I271">
        <v>72</v>
      </c>
      <c r="J271" s="3">
        <v>9.566666666666666E-3</v>
      </c>
      <c r="K271" s="2">
        <v>7159.938230195462</v>
      </c>
      <c r="L271" s="2">
        <v>515515.55257407331</v>
      </c>
      <c r="M271" s="2">
        <v>144165.55257407331</v>
      </c>
      <c r="N271" s="2">
        <v>3713.5</v>
      </c>
      <c r="O271" s="2">
        <v>144826.5</v>
      </c>
      <c r="P271" t="s">
        <v>52</v>
      </c>
      <c r="Q271" s="2">
        <v>0</v>
      </c>
      <c r="R271" s="2">
        <v>3052.552574073256</v>
      </c>
      <c r="S271" t="s">
        <v>43</v>
      </c>
      <c r="T271" t="s">
        <v>62</v>
      </c>
      <c r="U271" t="s">
        <v>151</v>
      </c>
      <c r="V271" t="s">
        <v>36</v>
      </c>
      <c r="W271" t="s">
        <v>49</v>
      </c>
      <c r="X271" s="2">
        <v>147879.05257407331</v>
      </c>
      <c r="Y271" s="2">
        <v>144826.5</v>
      </c>
      <c r="Z271" s="2">
        <v>3052.552574073256</v>
      </c>
      <c r="AA271" s="3">
        <v>8.2201496541625292E-3</v>
      </c>
      <c r="AB271" s="3">
        <v>0</v>
      </c>
      <c r="AC271" t="s">
        <v>38</v>
      </c>
    </row>
    <row r="272" spans="1:29" x14ac:dyDescent="0.3">
      <c r="A272" t="s">
        <v>603</v>
      </c>
      <c r="B272" t="s">
        <v>604</v>
      </c>
      <c r="C272" t="s">
        <v>31</v>
      </c>
      <c r="D272" s="2">
        <v>294800</v>
      </c>
      <c r="E272" s="3">
        <v>0.2</v>
      </c>
      <c r="F272" s="2">
        <v>58960</v>
      </c>
      <c r="G272" s="2">
        <v>235840</v>
      </c>
      <c r="H272" s="3">
        <v>0.13700000000000001</v>
      </c>
      <c r="I272">
        <v>60</v>
      </c>
      <c r="J272" s="3">
        <v>1.141666666666667E-2</v>
      </c>
      <c r="K272" s="2">
        <v>5450.9728644170182</v>
      </c>
      <c r="L272" s="2">
        <v>327058.37186502112</v>
      </c>
      <c r="M272" s="2">
        <v>91218.371865021065</v>
      </c>
      <c r="N272" s="2">
        <v>2358.4</v>
      </c>
      <c r="O272" s="2">
        <v>76648</v>
      </c>
      <c r="P272" t="s">
        <v>32</v>
      </c>
      <c r="Q272" s="2">
        <v>0</v>
      </c>
      <c r="R272" s="2">
        <v>16928.771865021059</v>
      </c>
      <c r="S272" t="s">
        <v>43</v>
      </c>
      <c r="T272" t="s">
        <v>74</v>
      </c>
      <c r="U272" t="s">
        <v>48</v>
      </c>
      <c r="V272" t="s">
        <v>36</v>
      </c>
      <c r="W272" t="s">
        <v>49</v>
      </c>
      <c r="X272" s="2">
        <v>93576.771865021059</v>
      </c>
      <c r="Y272" s="2">
        <v>76648</v>
      </c>
      <c r="Z272" s="2">
        <v>16928.771865021059</v>
      </c>
      <c r="AA272" s="3">
        <v>7.178074908845429E-2</v>
      </c>
      <c r="AB272" s="3">
        <v>0</v>
      </c>
      <c r="AC272" t="s">
        <v>38</v>
      </c>
    </row>
    <row r="273" spans="1:29" x14ac:dyDescent="0.3">
      <c r="A273" t="s">
        <v>605</v>
      </c>
      <c r="B273" t="s">
        <v>606</v>
      </c>
      <c r="C273" t="s">
        <v>41</v>
      </c>
      <c r="D273" s="2">
        <v>44400</v>
      </c>
      <c r="E273" s="3">
        <v>0</v>
      </c>
      <c r="F273" s="2">
        <v>0</v>
      </c>
      <c r="G273" s="2">
        <v>44400</v>
      </c>
      <c r="H273" s="3">
        <v>0.1351</v>
      </c>
      <c r="I273">
        <v>36</v>
      </c>
      <c r="J273" s="3">
        <v>1.125833333333333E-2</v>
      </c>
      <c r="K273" s="2">
        <v>1506.94151963124</v>
      </c>
      <c r="L273" s="2">
        <v>54249.894706724634</v>
      </c>
      <c r="M273" s="2">
        <v>9849.8947067246336</v>
      </c>
      <c r="N273" s="2">
        <v>499</v>
      </c>
      <c r="O273" s="2">
        <v>8658</v>
      </c>
      <c r="P273" t="s">
        <v>42</v>
      </c>
      <c r="Q273" s="2">
        <v>17760</v>
      </c>
      <c r="R273" s="2">
        <v>-16069.10529327537</v>
      </c>
      <c r="S273" t="s">
        <v>57</v>
      </c>
      <c r="T273" t="s">
        <v>34</v>
      </c>
      <c r="U273" t="s">
        <v>35</v>
      </c>
      <c r="V273" t="s">
        <v>36</v>
      </c>
      <c r="W273" t="s">
        <v>37</v>
      </c>
      <c r="X273" s="2">
        <v>10348.89470672463</v>
      </c>
      <c r="Y273" s="2">
        <v>26418</v>
      </c>
      <c r="Z273" s="2">
        <v>-16069.10529327537</v>
      </c>
      <c r="AA273" s="3">
        <v>-0.36191678588458032</v>
      </c>
      <c r="AB273" s="3">
        <v>0.4</v>
      </c>
      <c r="AC273" t="s">
        <v>38</v>
      </c>
    </row>
    <row r="274" spans="1:29" x14ac:dyDescent="0.3">
      <c r="A274" t="s">
        <v>607</v>
      </c>
      <c r="B274" t="s">
        <v>608</v>
      </c>
      <c r="C274" t="s">
        <v>31</v>
      </c>
      <c r="D274" s="2">
        <v>272100</v>
      </c>
      <c r="E274" s="3">
        <v>0.05</v>
      </c>
      <c r="F274" s="2">
        <v>13605</v>
      </c>
      <c r="G274" s="2">
        <v>258495</v>
      </c>
      <c r="H274" s="3">
        <v>0.1013</v>
      </c>
      <c r="I274">
        <v>24</v>
      </c>
      <c r="J274" s="3">
        <v>8.4416666666666668E-3</v>
      </c>
      <c r="K274" s="2">
        <v>11943.748741556499</v>
      </c>
      <c r="L274" s="2">
        <v>286649.96979735588</v>
      </c>
      <c r="M274" s="2">
        <v>28154.969797355941</v>
      </c>
      <c r="N274" s="2">
        <v>2584.9499999999998</v>
      </c>
      <c r="O274" s="2">
        <v>33604.35</v>
      </c>
      <c r="P274" t="s">
        <v>52</v>
      </c>
      <c r="Q274" s="2">
        <v>0</v>
      </c>
      <c r="R274" s="2">
        <v>-2864.43020264406</v>
      </c>
      <c r="S274" t="s">
        <v>33</v>
      </c>
      <c r="T274" t="s">
        <v>116</v>
      </c>
      <c r="U274" t="s">
        <v>151</v>
      </c>
      <c r="V274" t="s">
        <v>36</v>
      </c>
      <c r="W274" t="s">
        <v>37</v>
      </c>
      <c r="X274" s="2">
        <v>30739.919797355938</v>
      </c>
      <c r="Y274" s="2">
        <v>33604.35</v>
      </c>
      <c r="Z274" s="2">
        <v>-2864.43020264406</v>
      </c>
      <c r="AA274" s="3">
        <v>-1.108118223812476E-2</v>
      </c>
      <c r="AB274" s="3">
        <v>0</v>
      </c>
      <c r="AC274" t="s">
        <v>38</v>
      </c>
    </row>
    <row r="275" spans="1:29" x14ac:dyDescent="0.3">
      <c r="A275" t="s">
        <v>609</v>
      </c>
      <c r="B275" t="s">
        <v>610</v>
      </c>
      <c r="C275" t="s">
        <v>31</v>
      </c>
      <c r="D275" s="2">
        <v>228800</v>
      </c>
      <c r="E275" s="3">
        <v>0.2</v>
      </c>
      <c r="F275" s="2">
        <v>45760</v>
      </c>
      <c r="G275" s="2">
        <v>183040</v>
      </c>
      <c r="H275" s="3">
        <v>0.10390000000000001</v>
      </c>
      <c r="I275">
        <v>12</v>
      </c>
      <c r="J275" s="3">
        <v>8.6583333333333339E-3</v>
      </c>
      <c r="K275" s="2">
        <v>16125.343752589741</v>
      </c>
      <c r="L275" s="2">
        <v>193504.1250310769</v>
      </c>
      <c r="M275" s="2">
        <v>10464.125031076899</v>
      </c>
      <c r="N275" s="2">
        <v>1830.4</v>
      </c>
      <c r="O275" s="2">
        <v>11897.6</v>
      </c>
      <c r="P275" t="s">
        <v>32</v>
      </c>
      <c r="Q275" s="2">
        <v>0</v>
      </c>
      <c r="R275" s="2">
        <v>396.92503107689481</v>
      </c>
      <c r="S275" t="s">
        <v>43</v>
      </c>
      <c r="T275" t="s">
        <v>62</v>
      </c>
      <c r="U275" t="s">
        <v>48</v>
      </c>
      <c r="V275" t="s">
        <v>36</v>
      </c>
      <c r="W275" t="s">
        <v>64</v>
      </c>
      <c r="X275" s="2">
        <v>12294.525031076901</v>
      </c>
      <c r="Y275" s="2">
        <v>11897.6</v>
      </c>
      <c r="Z275" s="2">
        <v>396.92503107689481</v>
      </c>
      <c r="AA275" s="3">
        <v>2.168515248453315E-3</v>
      </c>
      <c r="AB275" s="3">
        <v>0</v>
      </c>
      <c r="AC275" t="s">
        <v>38</v>
      </c>
    </row>
    <row r="276" spans="1:29" x14ac:dyDescent="0.3">
      <c r="A276" t="s">
        <v>611</v>
      </c>
      <c r="B276" t="s">
        <v>612</v>
      </c>
      <c r="C276" t="s">
        <v>86</v>
      </c>
      <c r="D276" s="2">
        <v>119300</v>
      </c>
      <c r="E276" s="3">
        <v>0.15</v>
      </c>
      <c r="F276" s="2">
        <v>17895</v>
      </c>
      <c r="G276" s="2">
        <v>101405</v>
      </c>
      <c r="H276" s="3">
        <v>0.15870000000000001</v>
      </c>
      <c r="I276">
        <v>24</v>
      </c>
      <c r="J276" s="3">
        <v>1.3225000000000001E-2</v>
      </c>
      <c r="K276" s="2">
        <v>4958.8077376457804</v>
      </c>
      <c r="L276" s="2">
        <v>119011.3857034987</v>
      </c>
      <c r="M276" s="2">
        <v>17606.385703498701</v>
      </c>
      <c r="N276" s="2">
        <v>1014.05</v>
      </c>
      <c r="O276" s="2">
        <v>13182.65</v>
      </c>
      <c r="P276" t="s">
        <v>52</v>
      </c>
      <c r="Q276" s="2">
        <v>0</v>
      </c>
      <c r="R276" s="2">
        <v>5437.785703498701</v>
      </c>
      <c r="S276" t="s">
        <v>77</v>
      </c>
      <c r="T276" t="s">
        <v>74</v>
      </c>
      <c r="U276" t="s">
        <v>48</v>
      </c>
      <c r="V276" t="s">
        <v>63</v>
      </c>
      <c r="W276" t="s">
        <v>37</v>
      </c>
      <c r="X276" s="2">
        <v>18620.435703498701</v>
      </c>
      <c r="Y276" s="2">
        <v>13182.65</v>
      </c>
      <c r="Z276" s="2">
        <v>5437.785703498701</v>
      </c>
      <c r="AA276" s="3">
        <v>5.3624433740926992E-2</v>
      </c>
      <c r="AB276" s="3">
        <v>0</v>
      </c>
      <c r="AC276" t="s">
        <v>38</v>
      </c>
    </row>
    <row r="277" spans="1:29" x14ac:dyDescent="0.3">
      <c r="A277" t="s">
        <v>613</v>
      </c>
      <c r="B277" t="s">
        <v>614</v>
      </c>
      <c r="C277" t="s">
        <v>86</v>
      </c>
      <c r="D277" s="2">
        <v>24000</v>
      </c>
      <c r="E277" s="3">
        <v>0.1</v>
      </c>
      <c r="F277" s="2">
        <v>2400</v>
      </c>
      <c r="G277" s="2">
        <v>21600</v>
      </c>
      <c r="H277" s="3">
        <v>0.1928</v>
      </c>
      <c r="I277">
        <v>6</v>
      </c>
      <c r="J277" s="3">
        <v>1.606666666666667E-2</v>
      </c>
      <c r="K277" s="2">
        <v>3805.1284820293749</v>
      </c>
      <c r="L277" s="2">
        <v>22830.77089217625</v>
      </c>
      <c r="M277" s="2">
        <v>1230.770892176253</v>
      </c>
      <c r="N277" s="2">
        <v>499</v>
      </c>
      <c r="O277" s="2">
        <v>702</v>
      </c>
      <c r="P277" t="s">
        <v>52</v>
      </c>
      <c r="Q277" s="2">
        <v>0</v>
      </c>
      <c r="R277" s="2">
        <v>1027.770892176253</v>
      </c>
      <c r="S277" t="s">
        <v>33</v>
      </c>
      <c r="T277" t="s">
        <v>70</v>
      </c>
      <c r="U277" t="s">
        <v>35</v>
      </c>
      <c r="V277" t="s">
        <v>63</v>
      </c>
      <c r="W277" t="s">
        <v>64</v>
      </c>
      <c r="X277" s="2">
        <v>1729.770892176253</v>
      </c>
      <c r="Y277" s="2">
        <v>702</v>
      </c>
      <c r="Z277" s="2">
        <v>1027.770892176253</v>
      </c>
      <c r="AA277" s="3">
        <v>4.7581985748900622E-2</v>
      </c>
      <c r="AB277" s="3">
        <v>0</v>
      </c>
      <c r="AC277" t="s">
        <v>38</v>
      </c>
    </row>
    <row r="278" spans="1:29" x14ac:dyDescent="0.3">
      <c r="A278" t="s">
        <v>615</v>
      </c>
      <c r="B278" t="s">
        <v>616</v>
      </c>
      <c r="C278" t="s">
        <v>56</v>
      </c>
      <c r="D278" s="2">
        <v>1367700</v>
      </c>
      <c r="E278" s="3">
        <v>0.3</v>
      </c>
      <c r="F278" s="2">
        <v>410310</v>
      </c>
      <c r="G278" s="2">
        <v>957390</v>
      </c>
      <c r="H278" s="3">
        <v>0.1123</v>
      </c>
      <c r="I278">
        <v>72</v>
      </c>
      <c r="J278" s="3">
        <v>9.3583333333333331E-3</v>
      </c>
      <c r="K278" s="2">
        <v>18336.020014043272</v>
      </c>
      <c r="L278" s="2">
        <v>1320193.441011115</v>
      </c>
      <c r="M278" s="2">
        <v>362803.44101111538</v>
      </c>
      <c r="N278" s="2">
        <v>9573.9</v>
      </c>
      <c r="O278" s="2">
        <v>373382.1</v>
      </c>
      <c r="P278" t="s">
        <v>32</v>
      </c>
      <c r="Q278" s="2">
        <v>0</v>
      </c>
      <c r="R278" s="2">
        <v>-1004.75898888451</v>
      </c>
      <c r="S278" t="s">
        <v>77</v>
      </c>
      <c r="T278" t="s">
        <v>67</v>
      </c>
      <c r="U278" t="s">
        <v>59</v>
      </c>
      <c r="V278" t="s">
        <v>36</v>
      </c>
      <c r="W278" t="s">
        <v>49</v>
      </c>
      <c r="X278" s="2">
        <v>372377.34101111552</v>
      </c>
      <c r="Y278" s="2">
        <v>373382.1</v>
      </c>
      <c r="Z278" s="2">
        <v>-1004.75898888451</v>
      </c>
      <c r="AA278" s="3">
        <v>-1.0494772129273451E-3</v>
      </c>
      <c r="AB278" s="3">
        <v>0</v>
      </c>
      <c r="AC278" t="s">
        <v>38</v>
      </c>
    </row>
    <row r="279" spans="1:29" x14ac:dyDescent="0.3">
      <c r="A279" t="s">
        <v>617</v>
      </c>
      <c r="B279" t="s">
        <v>618</v>
      </c>
      <c r="C279" t="s">
        <v>31</v>
      </c>
      <c r="D279" s="2">
        <v>248600</v>
      </c>
      <c r="E279" s="3">
        <v>0.2</v>
      </c>
      <c r="F279" s="2">
        <v>49720</v>
      </c>
      <c r="G279" s="2">
        <v>198880</v>
      </c>
      <c r="H279" s="3">
        <v>0.1255</v>
      </c>
      <c r="I279">
        <v>48</v>
      </c>
      <c r="J279" s="3">
        <v>1.045833333333333E-2</v>
      </c>
      <c r="K279" s="2">
        <v>5291.140476592378</v>
      </c>
      <c r="L279" s="2">
        <v>253974.74287643409</v>
      </c>
      <c r="M279" s="2">
        <v>55094.742876434153</v>
      </c>
      <c r="N279" s="2">
        <v>1988.8</v>
      </c>
      <c r="O279" s="2">
        <v>51708.800000000003</v>
      </c>
      <c r="P279" t="s">
        <v>52</v>
      </c>
      <c r="Q279" s="2">
        <v>0</v>
      </c>
      <c r="R279" s="2">
        <v>5374.7428764341457</v>
      </c>
      <c r="S279" t="s">
        <v>57</v>
      </c>
      <c r="T279" t="s">
        <v>47</v>
      </c>
      <c r="U279" t="s">
        <v>48</v>
      </c>
      <c r="V279" t="s">
        <v>36</v>
      </c>
      <c r="W279" t="s">
        <v>49</v>
      </c>
      <c r="X279" s="2">
        <v>57083.542876434149</v>
      </c>
      <c r="Y279" s="2">
        <v>51708.800000000003</v>
      </c>
      <c r="Z279" s="2">
        <v>5374.7428764341457</v>
      </c>
      <c r="AA279" s="3">
        <v>2.702505468842591E-2</v>
      </c>
      <c r="AB279" s="3">
        <v>0</v>
      </c>
      <c r="AC279" t="s">
        <v>38</v>
      </c>
    </row>
    <row r="280" spans="1:29" x14ac:dyDescent="0.3">
      <c r="A280" t="s">
        <v>619</v>
      </c>
      <c r="B280" t="s">
        <v>620</v>
      </c>
      <c r="C280" t="s">
        <v>31</v>
      </c>
      <c r="D280" s="2">
        <v>173600</v>
      </c>
      <c r="E280" s="3">
        <v>0.1</v>
      </c>
      <c r="F280" s="2">
        <v>17360</v>
      </c>
      <c r="G280" s="2">
        <v>156240</v>
      </c>
      <c r="H280" s="3">
        <v>0.16789999999999999</v>
      </c>
      <c r="I280">
        <v>36</v>
      </c>
      <c r="J280" s="3">
        <v>1.399166666666667E-2</v>
      </c>
      <c r="K280" s="2">
        <v>5554.0666296885338</v>
      </c>
      <c r="L280" s="2">
        <v>199946.39866878721</v>
      </c>
      <c r="M280" s="2">
        <v>43706.398668787209</v>
      </c>
      <c r="N280" s="2">
        <v>1562.4</v>
      </c>
      <c r="O280" s="2">
        <v>30466.799999999999</v>
      </c>
      <c r="P280" t="s">
        <v>32</v>
      </c>
      <c r="Q280" s="2">
        <v>0</v>
      </c>
      <c r="R280" s="2">
        <v>14801.99866878721</v>
      </c>
      <c r="S280" t="s">
        <v>33</v>
      </c>
      <c r="T280" t="s">
        <v>70</v>
      </c>
      <c r="U280" t="s">
        <v>48</v>
      </c>
      <c r="V280" t="s">
        <v>63</v>
      </c>
      <c r="W280" t="s">
        <v>37</v>
      </c>
      <c r="X280" s="2">
        <v>45268.798668787211</v>
      </c>
      <c r="Y280" s="2">
        <v>30466.799999999999</v>
      </c>
      <c r="Z280" s="2">
        <v>14801.99866878721</v>
      </c>
      <c r="AA280" s="3">
        <v>9.4738854766943215E-2</v>
      </c>
      <c r="AB280" s="3">
        <v>0</v>
      </c>
      <c r="AC280" t="s">
        <v>38</v>
      </c>
    </row>
    <row r="281" spans="1:29" x14ac:dyDescent="0.3">
      <c r="A281" t="s">
        <v>621</v>
      </c>
      <c r="B281" t="s">
        <v>622</v>
      </c>
      <c r="C281" t="s">
        <v>41</v>
      </c>
      <c r="D281" s="2">
        <v>77100</v>
      </c>
      <c r="E281" s="3">
        <v>0.05</v>
      </c>
      <c r="F281" s="2">
        <v>3855</v>
      </c>
      <c r="G281" s="2">
        <v>73245</v>
      </c>
      <c r="H281" s="3">
        <v>0.16239999999999999</v>
      </c>
      <c r="I281">
        <v>18</v>
      </c>
      <c r="J281" s="3">
        <v>1.353333333333333E-2</v>
      </c>
      <c r="K281" s="2">
        <v>4612.2321048630238</v>
      </c>
      <c r="L281" s="2">
        <v>83020.177887534432</v>
      </c>
      <c r="M281" s="2">
        <v>9775.1778875344316</v>
      </c>
      <c r="N281" s="2">
        <v>732.45</v>
      </c>
      <c r="O281" s="2">
        <v>7141.3875000000007</v>
      </c>
      <c r="P281" t="s">
        <v>52</v>
      </c>
      <c r="Q281" s="2">
        <v>0</v>
      </c>
      <c r="R281" s="2">
        <v>3366.2403875344321</v>
      </c>
      <c r="S281" t="s">
        <v>77</v>
      </c>
      <c r="T281" t="s">
        <v>67</v>
      </c>
      <c r="U281" t="s">
        <v>35</v>
      </c>
      <c r="V281" t="s">
        <v>63</v>
      </c>
      <c r="W281" t="s">
        <v>37</v>
      </c>
      <c r="X281" s="2">
        <v>10507.627887534431</v>
      </c>
      <c r="Y281" s="2">
        <v>7141.3875000000007</v>
      </c>
      <c r="Z281" s="2">
        <v>3366.2403875344321</v>
      </c>
      <c r="AA281" s="3">
        <v>4.5958637279465239E-2</v>
      </c>
      <c r="AB281" s="3">
        <v>0</v>
      </c>
      <c r="AC281" t="s">
        <v>38</v>
      </c>
    </row>
    <row r="282" spans="1:29" x14ac:dyDescent="0.3">
      <c r="A282" t="s">
        <v>623</v>
      </c>
      <c r="B282" t="s">
        <v>624</v>
      </c>
      <c r="C282" t="s">
        <v>86</v>
      </c>
      <c r="D282" s="2">
        <v>58400</v>
      </c>
      <c r="E282" s="3">
        <v>0.2</v>
      </c>
      <c r="F282" s="2">
        <v>11680</v>
      </c>
      <c r="G282" s="2">
        <v>46720</v>
      </c>
      <c r="H282" s="3">
        <v>0.16969999999999999</v>
      </c>
      <c r="I282">
        <v>18</v>
      </c>
      <c r="J282" s="3">
        <v>1.414166666666667E-2</v>
      </c>
      <c r="K282" s="2">
        <v>2958.1167761772349</v>
      </c>
      <c r="L282" s="2">
        <v>53246.101971190234</v>
      </c>
      <c r="M282" s="2">
        <v>6526.1019711902263</v>
      </c>
      <c r="N282" s="2">
        <v>499</v>
      </c>
      <c r="O282" s="2">
        <v>4555.2000000000007</v>
      </c>
      <c r="P282" t="s">
        <v>32</v>
      </c>
      <c r="Q282" s="2">
        <v>0</v>
      </c>
      <c r="R282" s="2">
        <v>2469.901971190226</v>
      </c>
      <c r="S282" t="s">
        <v>33</v>
      </c>
      <c r="T282" t="s">
        <v>204</v>
      </c>
      <c r="U282" t="s">
        <v>35</v>
      </c>
      <c r="V282" t="s">
        <v>63</v>
      </c>
      <c r="W282" t="s">
        <v>37</v>
      </c>
      <c r="X282" s="2">
        <v>7025.1019711902263</v>
      </c>
      <c r="Y282" s="2">
        <v>4555.2000000000007</v>
      </c>
      <c r="Z282" s="2">
        <v>2469.901971190226</v>
      </c>
      <c r="AA282" s="3">
        <v>5.2866052465544211E-2</v>
      </c>
      <c r="AB282" s="3">
        <v>0</v>
      </c>
      <c r="AC282" t="s">
        <v>38</v>
      </c>
    </row>
    <row r="283" spans="1:29" x14ac:dyDescent="0.3">
      <c r="A283" t="s">
        <v>625</v>
      </c>
      <c r="B283" t="s">
        <v>626</v>
      </c>
      <c r="C283" t="s">
        <v>41</v>
      </c>
      <c r="D283" s="2">
        <v>100600</v>
      </c>
      <c r="E283" s="3">
        <v>0.05</v>
      </c>
      <c r="F283" s="2">
        <v>5030</v>
      </c>
      <c r="G283" s="2">
        <v>95570</v>
      </c>
      <c r="H283" s="3">
        <v>0.1232</v>
      </c>
      <c r="I283">
        <v>6</v>
      </c>
      <c r="J283" s="3">
        <v>1.026666666666667E-2</v>
      </c>
      <c r="K283" s="2">
        <v>16505.563006256922</v>
      </c>
      <c r="L283" s="2">
        <v>99033.378037541523</v>
      </c>
      <c r="M283" s="2">
        <v>3463.3780375415231</v>
      </c>
      <c r="N283" s="2">
        <v>955.7</v>
      </c>
      <c r="O283" s="2">
        <v>3106.0250000000001</v>
      </c>
      <c r="P283" t="s">
        <v>32</v>
      </c>
      <c r="Q283" s="2">
        <v>0</v>
      </c>
      <c r="R283" s="2">
        <v>1313.0530375415219</v>
      </c>
      <c r="S283" t="s">
        <v>43</v>
      </c>
      <c r="T283" t="s">
        <v>116</v>
      </c>
      <c r="U283" t="s">
        <v>35</v>
      </c>
      <c r="V283" t="s">
        <v>36</v>
      </c>
      <c r="W283" t="s">
        <v>64</v>
      </c>
      <c r="X283" s="2">
        <v>4419.0780375415216</v>
      </c>
      <c r="Y283" s="2">
        <v>3106.0250000000001</v>
      </c>
      <c r="Z283" s="2">
        <v>1313.0530375415219</v>
      </c>
      <c r="AA283" s="3">
        <v>1.3739175866291959E-2</v>
      </c>
      <c r="AB283" s="3">
        <v>0</v>
      </c>
      <c r="AC283" t="s">
        <v>38</v>
      </c>
    </row>
    <row r="284" spans="1:29" x14ac:dyDescent="0.3">
      <c r="A284" t="s">
        <v>627</v>
      </c>
      <c r="B284" t="s">
        <v>628</v>
      </c>
      <c r="C284" t="s">
        <v>86</v>
      </c>
      <c r="D284" s="2">
        <v>109600</v>
      </c>
      <c r="E284" s="3">
        <v>0</v>
      </c>
      <c r="F284" s="2">
        <v>0</v>
      </c>
      <c r="G284" s="2">
        <v>109600</v>
      </c>
      <c r="H284" s="3">
        <v>0.1643</v>
      </c>
      <c r="I284">
        <v>3</v>
      </c>
      <c r="J284" s="3">
        <v>1.369166666666667E-2</v>
      </c>
      <c r="K284" s="2">
        <v>37538.272398888483</v>
      </c>
      <c r="L284" s="2">
        <v>112614.8171966654</v>
      </c>
      <c r="M284" s="2">
        <v>3014.817196665419</v>
      </c>
      <c r="N284" s="2">
        <v>1096</v>
      </c>
      <c r="O284" s="2">
        <v>1781</v>
      </c>
      <c r="P284" t="s">
        <v>32</v>
      </c>
      <c r="Q284" s="2">
        <v>0</v>
      </c>
      <c r="R284" s="2">
        <v>2329.817196665419</v>
      </c>
      <c r="S284" t="s">
        <v>33</v>
      </c>
      <c r="T284" t="s">
        <v>44</v>
      </c>
      <c r="U284" t="s">
        <v>48</v>
      </c>
      <c r="V284" t="s">
        <v>63</v>
      </c>
      <c r="W284" t="s">
        <v>64</v>
      </c>
      <c r="X284" s="2">
        <v>4110.817196665419</v>
      </c>
      <c r="Y284" s="2">
        <v>1781</v>
      </c>
      <c r="Z284" s="2">
        <v>2329.817196665419</v>
      </c>
      <c r="AA284" s="3">
        <v>2.125745617395455E-2</v>
      </c>
      <c r="AB284" s="3">
        <v>0</v>
      </c>
      <c r="AC284" t="s">
        <v>38</v>
      </c>
    </row>
    <row r="285" spans="1:29" x14ac:dyDescent="0.3">
      <c r="A285" t="s">
        <v>629</v>
      </c>
      <c r="B285" t="s">
        <v>630</v>
      </c>
      <c r="C285" t="s">
        <v>56</v>
      </c>
      <c r="D285" s="2">
        <v>926800</v>
      </c>
      <c r="E285" s="3">
        <v>0.15</v>
      </c>
      <c r="F285" s="2">
        <v>139020</v>
      </c>
      <c r="G285" s="2">
        <v>787780</v>
      </c>
      <c r="H285" s="3">
        <v>9.2299999999999993E-2</v>
      </c>
      <c r="I285">
        <v>84</v>
      </c>
      <c r="J285" s="3">
        <v>7.6916666666666661E-3</v>
      </c>
      <c r="K285" s="2">
        <v>12766.80014049604</v>
      </c>
      <c r="L285" s="2">
        <v>1072411.211801667</v>
      </c>
      <c r="M285" s="2">
        <v>284631.21180166717</v>
      </c>
      <c r="N285" s="2">
        <v>7877.8</v>
      </c>
      <c r="O285" s="2">
        <v>358439.9</v>
      </c>
      <c r="P285" t="s">
        <v>32</v>
      </c>
      <c r="Q285" s="2">
        <v>0</v>
      </c>
      <c r="R285" s="2">
        <v>-65930.888198332803</v>
      </c>
      <c r="S285" t="s">
        <v>43</v>
      </c>
      <c r="T285" t="s">
        <v>70</v>
      </c>
      <c r="U285" t="s">
        <v>59</v>
      </c>
      <c r="V285" t="s">
        <v>71</v>
      </c>
      <c r="W285" t="s">
        <v>49</v>
      </c>
      <c r="X285" s="2">
        <v>292509.01180166722</v>
      </c>
      <c r="Y285" s="2">
        <v>358439.9</v>
      </c>
      <c r="Z285" s="2">
        <v>-65930.888198332803</v>
      </c>
      <c r="AA285" s="3">
        <v>-8.369200563397497E-2</v>
      </c>
      <c r="AB285" s="3">
        <v>0</v>
      </c>
      <c r="AC285" t="s">
        <v>38</v>
      </c>
    </row>
    <row r="286" spans="1:29" x14ac:dyDescent="0.3">
      <c r="A286" t="s">
        <v>631</v>
      </c>
      <c r="B286" t="s">
        <v>632</v>
      </c>
      <c r="C286" t="s">
        <v>41</v>
      </c>
      <c r="D286" s="2">
        <v>60400</v>
      </c>
      <c r="E286" s="3">
        <v>0.1</v>
      </c>
      <c r="F286" s="2">
        <v>6040</v>
      </c>
      <c r="G286" s="2">
        <v>54360</v>
      </c>
      <c r="H286" s="3">
        <v>0.1573</v>
      </c>
      <c r="I286">
        <v>36</v>
      </c>
      <c r="J286" s="3">
        <v>1.3108333333333329E-2</v>
      </c>
      <c r="K286" s="2">
        <v>1903.898058680049</v>
      </c>
      <c r="L286" s="2">
        <v>68540.330112481781</v>
      </c>
      <c r="M286" s="2">
        <v>14180.330112481781</v>
      </c>
      <c r="N286" s="2">
        <v>543.6</v>
      </c>
      <c r="O286" s="2">
        <v>10600.2</v>
      </c>
      <c r="P286" t="s">
        <v>52</v>
      </c>
      <c r="Q286" s="2">
        <v>0</v>
      </c>
      <c r="R286" s="2">
        <v>4123.7301124817805</v>
      </c>
      <c r="S286" t="s">
        <v>77</v>
      </c>
      <c r="T286" t="s">
        <v>70</v>
      </c>
      <c r="U286" t="s">
        <v>35</v>
      </c>
      <c r="V286" t="s">
        <v>63</v>
      </c>
      <c r="W286" t="s">
        <v>37</v>
      </c>
      <c r="X286" s="2">
        <v>14723.930112481779</v>
      </c>
      <c r="Y286" s="2">
        <v>10600.2</v>
      </c>
      <c r="Z286" s="2">
        <v>4123.7301124817805</v>
      </c>
      <c r="AA286" s="3">
        <v>7.5859641509966533E-2</v>
      </c>
      <c r="AB286" s="3">
        <v>0</v>
      </c>
      <c r="AC286" t="s">
        <v>38</v>
      </c>
    </row>
    <row r="287" spans="1:29" x14ac:dyDescent="0.3">
      <c r="A287" t="s">
        <v>633</v>
      </c>
      <c r="B287" t="s">
        <v>634</v>
      </c>
      <c r="C287" t="s">
        <v>56</v>
      </c>
      <c r="D287" s="2">
        <v>912600</v>
      </c>
      <c r="E287" s="3">
        <v>0.2</v>
      </c>
      <c r="F287" s="2">
        <v>182520</v>
      </c>
      <c r="G287" s="2">
        <v>730080</v>
      </c>
      <c r="H287" s="3">
        <v>0.1091</v>
      </c>
      <c r="I287">
        <v>72</v>
      </c>
      <c r="J287" s="3">
        <v>9.0916666666666663E-3</v>
      </c>
      <c r="K287" s="2">
        <v>13862.769166027971</v>
      </c>
      <c r="L287" s="2">
        <v>998119.37995401397</v>
      </c>
      <c r="M287" s="2">
        <v>268039.37995401397</v>
      </c>
      <c r="N287" s="2">
        <v>7300.8</v>
      </c>
      <c r="O287" s="2">
        <v>284731.2</v>
      </c>
      <c r="P287" t="s">
        <v>32</v>
      </c>
      <c r="Q287" s="2">
        <v>0</v>
      </c>
      <c r="R287" s="2">
        <v>-9391.0200459860498</v>
      </c>
      <c r="S287" t="s">
        <v>77</v>
      </c>
      <c r="T287" t="s">
        <v>53</v>
      </c>
      <c r="U287" t="s">
        <v>59</v>
      </c>
      <c r="V287" t="s">
        <v>36</v>
      </c>
      <c r="W287" t="s">
        <v>49</v>
      </c>
      <c r="X287" s="2">
        <v>275340.17995401402</v>
      </c>
      <c r="Y287" s="2">
        <v>284731.2</v>
      </c>
      <c r="Z287" s="2">
        <v>-9391.0200459860498</v>
      </c>
      <c r="AA287" s="3">
        <v>-1.2863001377912081E-2</v>
      </c>
      <c r="AB287" s="3">
        <v>0</v>
      </c>
      <c r="AC287" t="s">
        <v>38</v>
      </c>
    </row>
    <row r="288" spans="1:29" x14ac:dyDescent="0.3">
      <c r="A288" t="s">
        <v>635</v>
      </c>
      <c r="B288" t="s">
        <v>636</v>
      </c>
      <c r="C288" t="s">
        <v>41</v>
      </c>
      <c r="D288" s="2">
        <v>95300</v>
      </c>
      <c r="E288" s="3">
        <v>0</v>
      </c>
      <c r="F288" s="2">
        <v>0</v>
      </c>
      <c r="G288" s="2">
        <v>95300</v>
      </c>
      <c r="H288" s="3">
        <v>0.13769999999999999</v>
      </c>
      <c r="I288">
        <v>9</v>
      </c>
      <c r="J288" s="3">
        <v>1.1475000000000001E-2</v>
      </c>
      <c r="K288" s="2">
        <v>11205.667141297379</v>
      </c>
      <c r="L288" s="2">
        <v>100851.0042716764</v>
      </c>
      <c r="M288" s="2">
        <v>5551.0042716764146</v>
      </c>
      <c r="N288" s="2">
        <v>953</v>
      </c>
      <c r="O288" s="2">
        <v>4645.875</v>
      </c>
      <c r="P288" t="s">
        <v>52</v>
      </c>
      <c r="Q288" s="2">
        <v>0</v>
      </c>
      <c r="R288" s="2">
        <v>1858.1292716764151</v>
      </c>
      <c r="S288" t="s">
        <v>57</v>
      </c>
      <c r="T288" t="s">
        <v>204</v>
      </c>
      <c r="U288" t="s">
        <v>35</v>
      </c>
      <c r="V288" t="s">
        <v>36</v>
      </c>
      <c r="W288" t="s">
        <v>64</v>
      </c>
      <c r="X288" s="2">
        <v>6504.0042716764146</v>
      </c>
      <c r="Y288" s="2">
        <v>4645.875</v>
      </c>
      <c r="Z288" s="2">
        <v>1858.1292716764151</v>
      </c>
      <c r="AA288" s="3">
        <v>1.949768385809459E-2</v>
      </c>
      <c r="AB288" s="3">
        <v>0</v>
      </c>
      <c r="AC288" t="s">
        <v>38</v>
      </c>
    </row>
    <row r="289" spans="1:29" x14ac:dyDescent="0.3">
      <c r="A289" t="s">
        <v>637</v>
      </c>
      <c r="B289" t="s">
        <v>638</v>
      </c>
      <c r="C289" t="s">
        <v>86</v>
      </c>
      <c r="D289" s="2">
        <v>44900</v>
      </c>
      <c r="E289" s="3">
        <v>0.1</v>
      </c>
      <c r="F289" s="2">
        <v>4490</v>
      </c>
      <c r="G289" s="2">
        <v>40410</v>
      </c>
      <c r="H289" s="3">
        <v>0.1704</v>
      </c>
      <c r="I289">
        <v>6</v>
      </c>
      <c r="J289" s="3">
        <v>1.4200000000000001E-2</v>
      </c>
      <c r="K289" s="2">
        <v>7073.6621241962184</v>
      </c>
      <c r="L289" s="2">
        <v>42441.972745177307</v>
      </c>
      <c r="M289" s="2">
        <v>2031.9727451773069</v>
      </c>
      <c r="N289" s="2">
        <v>499</v>
      </c>
      <c r="O289" s="2">
        <v>1313.325</v>
      </c>
      <c r="P289" t="s">
        <v>32</v>
      </c>
      <c r="Q289" s="2">
        <v>0</v>
      </c>
      <c r="R289" s="2">
        <v>1217.6477451773069</v>
      </c>
      <c r="S289" t="s">
        <v>77</v>
      </c>
      <c r="T289" t="s">
        <v>204</v>
      </c>
      <c r="U289" t="s">
        <v>35</v>
      </c>
      <c r="V289" t="s">
        <v>63</v>
      </c>
      <c r="W289" t="s">
        <v>64</v>
      </c>
      <c r="X289" s="2">
        <v>2530.9727451773069</v>
      </c>
      <c r="Y289" s="2">
        <v>1313.325</v>
      </c>
      <c r="Z289" s="2">
        <v>1217.6477451773069</v>
      </c>
      <c r="AA289" s="3">
        <v>3.0132337173405271E-2</v>
      </c>
      <c r="AB289" s="3">
        <v>0</v>
      </c>
      <c r="AC289" t="s">
        <v>38</v>
      </c>
    </row>
    <row r="290" spans="1:29" x14ac:dyDescent="0.3">
      <c r="A290" t="s">
        <v>639</v>
      </c>
      <c r="B290" t="s">
        <v>640</v>
      </c>
      <c r="C290" t="s">
        <v>31</v>
      </c>
      <c r="D290" s="2">
        <v>177300</v>
      </c>
      <c r="E290" s="3">
        <v>0.2</v>
      </c>
      <c r="F290" s="2">
        <v>35460</v>
      </c>
      <c r="G290" s="2">
        <v>141840</v>
      </c>
      <c r="H290" s="3">
        <v>0.15790000000000001</v>
      </c>
      <c r="I290">
        <v>48</v>
      </c>
      <c r="J290" s="3">
        <v>1.3158333333333329E-2</v>
      </c>
      <c r="K290" s="2">
        <v>4004.5466134557319</v>
      </c>
      <c r="L290" s="2">
        <v>192218.23744587519</v>
      </c>
      <c r="M290" s="2">
        <v>50378.237445875158</v>
      </c>
      <c r="N290" s="2">
        <v>1418.4</v>
      </c>
      <c r="O290" s="2">
        <v>36878.400000000001</v>
      </c>
      <c r="P290" t="s">
        <v>52</v>
      </c>
      <c r="Q290" s="2">
        <v>0</v>
      </c>
      <c r="R290" s="2">
        <v>14918.23744587516</v>
      </c>
      <c r="S290" t="s">
        <v>77</v>
      </c>
      <c r="T290" t="s">
        <v>47</v>
      </c>
      <c r="U290" t="s">
        <v>48</v>
      </c>
      <c r="V290" t="s">
        <v>63</v>
      </c>
      <c r="W290" t="s">
        <v>49</v>
      </c>
      <c r="X290" s="2">
        <v>51796.63744587516</v>
      </c>
      <c r="Y290" s="2">
        <v>36878.400000000001</v>
      </c>
      <c r="Z290" s="2">
        <v>14918.23744587516</v>
      </c>
      <c r="AA290" s="3">
        <v>0.10517651893595011</v>
      </c>
      <c r="AB290" s="3">
        <v>0</v>
      </c>
      <c r="AC290" t="s">
        <v>38</v>
      </c>
    </row>
    <row r="291" spans="1:29" x14ac:dyDescent="0.3">
      <c r="A291" t="s">
        <v>641</v>
      </c>
      <c r="B291" t="s">
        <v>642</v>
      </c>
      <c r="C291" t="s">
        <v>86</v>
      </c>
      <c r="D291" s="2">
        <v>69200</v>
      </c>
      <c r="E291" s="3">
        <v>0.2</v>
      </c>
      <c r="F291" s="2">
        <v>13840</v>
      </c>
      <c r="G291" s="2">
        <v>55360</v>
      </c>
      <c r="H291" s="3">
        <v>0.1547</v>
      </c>
      <c r="I291">
        <v>18</v>
      </c>
      <c r="J291" s="3">
        <v>1.2891666666666669E-2</v>
      </c>
      <c r="K291" s="2">
        <v>3465.879588157457</v>
      </c>
      <c r="L291" s="2">
        <v>62385.832586834207</v>
      </c>
      <c r="M291" s="2">
        <v>7025.8325868342145</v>
      </c>
      <c r="N291" s="2">
        <v>553.6</v>
      </c>
      <c r="O291" s="2">
        <v>5397.6</v>
      </c>
      <c r="P291" t="s">
        <v>32</v>
      </c>
      <c r="Q291" s="2">
        <v>0</v>
      </c>
      <c r="R291" s="2">
        <v>2181.832586834214</v>
      </c>
      <c r="S291" t="s">
        <v>33</v>
      </c>
      <c r="T291" t="s">
        <v>58</v>
      </c>
      <c r="U291" t="s">
        <v>35</v>
      </c>
      <c r="V291" t="s">
        <v>63</v>
      </c>
      <c r="W291" t="s">
        <v>37</v>
      </c>
      <c r="X291" s="2">
        <v>7579.4325868342148</v>
      </c>
      <c r="Y291" s="2">
        <v>5397.6</v>
      </c>
      <c r="Z291" s="2">
        <v>2181.832586834214</v>
      </c>
      <c r="AA291" s="3">
        <v>3.9411715802641148E-2</v>
      </c>
      <c r="AB291" s="3">
        <v>0</v>
      </c>
      <c r="AC291" t="s">
        <v>38</v>
      </c>
    </row>
    <row r="292" spans="1:29" x14ac:dyDescent="0.3">
      <c r="A292" t="s">
        <v>643</v>
      </c>
      <c r="B292" t="s">
        <v>644</v>
      </c>
      <c r="C292" t="s">
        <v>56</v>
      </c>
      <c r="D292" s="2">
        <v>1135000</v>
      </c>
      <c r="E292" s="3">
        <v>0.15</v>
      </c>
      <c r="F292" s="2">
        <v>170250</v>
      </c>
      <c r="G292" s="2">
        <v>964750</v>
      </c>
      <c r="H292" s="3">
        <v>0.1079</v>
      </c>
      <c r="I292">
        <v>72</v>
      </c>
      <c r="J292" s="3">
        <v>8.9916666666666669E-3</v>
      </c>
      <c r="K292" s="2">
        <v>18259.527052071269</v>
      </c>
      <c r="L292" s="2">
        <v>1314685.9477491321</v>
      </c>
      <c r="M292" s="2">
        <v>349935.94774913159</v>
      </c>
      <c r="N292" s="2">
        <v>9647.5</v>
      </c>
      <c r="O292" s="2">
        <v>376252.5</v>
      </c>
      <c r="P292" t="s">
        <v>32</v>
      </c>
      <c r="Q292" s="2">
        <v>0</v>
      </c>
      <c r="R292" s="2">
        <v>-16669.052250868412</v>
      </c>
      <c r="S292" t="s">
        <v>43</v>
      </c>
      <c r="T292" t="s">
        <v>58</v>
      </c>
      <c r="U292" t="s">
        <v>59</v>
      </c>
      <c r="V292" t="s">
        <v>36</v>
      </c>
      <c r="W292" t="s">
        <v>49</v>
      </c>
      <c r="X292" s="2">
        <v>359583.44774913159</v>
      </c>
      <c r="Y292" s="2">
        <v>376252.5</v>
      </c>
      <c r="Z292" s="2">
        <v>-16669.052250868412</v>
      </c>
      <c r="AA292" s="3">
        <v>-1.7278105468637891E-2</v>
      </c>
      <c r="AB292" s="3">
        <v>0</v>
      </c>
      <c r="AC292" t="s">
        <v>38</v>
      </c>
    </row>
    <row r="293" spans="1:29" x14ac:dyDescent="0.3">
      <c r="A293" t="s">
        <v>645</v>
      </c>
      <c r="B293" t="s">
        <v>646</v>
      </c>
      <c r="C293" t="s">
        <v>31</v>
      </c>
      <c r="D293" s="2">
        <v>62200</v>
      </c>
      <c r="E293" s="3">
        <v>0.05</v>
      </c>
      <c r="F293" s="2">
        <v>3110</v>
      </c>
      <c r="G293" s="2">
        <v>59090</v>
      </c>
      <c r="H293" s="3">
        <v>0.14050000000000001</v>
      </c>
      <c r="I293">
        <v>36</v>
      </c>
      <c r="J293" s="3">
        <v>1.1708333333333329E-2</v>
      </c>
      <c r="K293" s="2">
        <v>2020.9914126563881</v>
      </c>
      <c r="L293" s="2">
        <v>72755.690855629975</v>
      </c>
      <c r="M293" s="2">
        <v>13665.69085562997</v>
      </c>
      <c r="N293" s="2">
        <v>590.9</v>
      </c>
      <c r="O293" s="2">
        <v>11522.55</v>
      </c>
      <c r="P293" t="s">
        <v>32</v>
      </c>
      <c r="Q293" s="2">
        <v>0</v>
      </c>
      <c r="R293" s="2">
        <v>2734.0408556299749</v>
      </c>
      <c r="S293" t="s">
        <v>57</v>
      </c>
      <c r="T293" t="s">
        <v>67</v>
      </c>
      <c r="U293" t="s">
        <v>35</v>
      </c>
      <c r="V293" t="s">
        <v>36</v>
      </c>
      <c r="W293" t="s">
        <v>37</v>
      </c>
      <c r="X293" s="2">
        <v>14256.590855629969</v>
      </c>
      <c r="Y293" s="2">
        <v>11522.55</v>
      </c>
      <c r="Z293" s="2">
        <v>2734.0408556299749</v>
      </c>
      <c r="AA293" s="3">
        <v>4.6269095542900242E-2</v>
      </c>
      <c r="AB293" s="3">
        <v>0</v>
      </c>
      <c r="AC293" t="s">
        <v>38</v>
      </c>
    </row>
    <row r="294" spans="1:29" x14ac:dyDescent="0.3">
      <c r="A294" t="s">
        <v>647</v>
      </c>
      <c r="B294" t="s">
        <v>648</v>
      </c>
      <c r="C294" t="s">
        <v>41</v>
      </c>
      <c r="D294" s="2">
        <v>25800</v>
      </c>
      <c r="E294" s="3">
        <v>0</v>
      </c>
      <c r="F294" s="2">
        <v>0</v>
      </c>
      <c r="G294" s="2">
        <v>25800</v>
      </c>
      <c r="H294" s="3">
        <v>0.1641</v>
      </c>
      <c r="I294">
        <v>6</v>
      </c>
      <c r="J294" s="3">
        <v>1.3675E-2</v>
      </c>
      <c r="K294" s="2">
        <v>4508.1379555499889</v>
      </c>
      <c r="L294" s="2">
        <v>27048.827733299939</v>
      </c>
      <c r="M294" s="2">
        <v>1248.8277332999351</v>
      </c>
      <c r="N294" s="2">
        <v>499</v>
      </c>
      <c r="O294" s="2">
        <v>838.5</v>
      </c>
      <c r="P294" t="s">
        <v>32</v>
      </c>
      <c r="Q294" s="2">
        <v>0</v>
      </c>
      <c r="R294" s="2">
        <v>909.32773329993506</v>
      </c>
      <c r="S294" t="s">
        <v>77</v>
      </c>
      <c r="T294" t="s">
        <v>70</v>
      </c>
      <c r="U294" t="s">
        <v>35</v>
      </c>
      <c r="V294" t="s">
        <v>63</v>
      </c>
      <c r="W294" t="s">
        <v>64</v>
      </c>
      <c r="X294" s="2">
        <v>1747.8277332999351</v>
      </c>
      <c r="Y294" s="2">
        <v>838.5</v>
      </c>
      <c r="Z294" s="2">
        <v>909.32773329993506</v>
      </c>
      <c r="AA294" s="3">
        <v>3.5245260980617643E-2</v>
      </c>
      <c r="AB294" s="3">
        <v>0</v>
      </c>
      <c r="AC294" t="s">
        <v>38</v>
      </c>
    </row>
    <row r="295" spans="1:29" x14ac:dyDescent="0.3">
      <c r="A295" t="s">
        <v>649</v>
      </c>
      <c r="B295" t="s">
        <v>650</v>
      </c>
      <c r="C295" t="s">
        <v>56</v>
      </c>
      <c r="D295" s="2">
        <v>418900</v>
      </c>
      <c r="E295" s="3">
        <v>0.15</v>
      </c>
      <c r="F295" s="2">
        <v>62835</v>
      </c>
      <c r="G295" s="2">
        <v>356065</v>
      </c>
      <c r="H295" s="3">
        <v>0.1094</v>
      </c>
      <c r="I295">
        <v>72</v>
      </c>
      <c r="J295" s="3">
        <v>9.116666666666667E-3</v>
      </c>
      <c r="K295" s="2">
        <v>6766.4320281546879</v>
      </c>
      <c r="L295" s="2">
        <v>487183.10602713749</v>
      </c>
      <c r="M295" s="2">
        <v>131118.10602713749</v>
      </c>
      <c r="N295" s="2">
        <v>3560.65</v>
      </c>
      <c r="O295" s="2">
        <v>138865.35</v>
      </c>
      <c r="P295" t="s">
        <v>52</v>
      </c>
      <c r="Q295" s="2">
        <v>0</v>
      </c>
      <c r="R295" s="2">
        <v>-4186.5939728624653</v>
      </c>
      <c r="S295" t="s">
        <v>33</v>
      </c>
      <c r="T295" t="s">
        <v>70</v>
      </c>
      <c r="U295" t="s">
        <v>151</v>
      </c>
      <c r="V295" t="s">
        <v>36</v>
      </c>
      <c r="W295" t="s">
        <v>49</v>
      </c>
      <c r="X295" s="2">
        <v>134678.75602713751</v>
      </c>
      <c r="Y295" s="2">
        <v>138865.35</v>
      </c>
      <c r="Z295" s="2">
        <v>-4186.5939728624653</v>
      </c>
      <c r="AA295" s="3">
        <v>-1.1757948612928721E-2</v>
      </c>
      <c r="AB295" s="3">
        <v>0</v>
      </c>
      <c r="AC295" t="s">
        <v>38</v>
      </c>
    </row>
    <row r="296" spans="1:29" x14ac:dyDescent="0.3">
      <c r="A296" t="s">
        <v>651</v>
      </c>
      <c r="B296" t="s">
        <v>652</v>
      </c>
      <c r="C296" t="s">
        <v>86</v>
      </c>
      <c r="D296" s="2">
        <v>29500</v>
      </c>
      <c r="E296" s="3">
        <v>0.05</v>
      </c>
      <c r="F296" s="2">
        <v>1475</v>
      </c>
      <c r="G296" s="2">
        <v>28025</v>
      </c>
      <c r="H296" s="3">
        <v>0.18210000000000001</v>
      </c>
      <c r="I296">
        <v>9</v>
      </c>
      <c r="J296" s="3">
        <v>1.5174999999999999E-2</v>
      </c>
      <c r="K296" s="2">
        <v>3354.898284451539</v>
      </c>
      <c r="L296" s="2">
        <v>30194.084560063849</v>
      </c>
      <c r="M296" s="2">
        <v>2169.0845600638459</v>
      </c>
      <c r="N296" s="2">
        <v>499</v>
      </c>
      <c r="O296" s="2">
        <v>1366.21875</v>
      </c>
      <c r="P296" t="s">
        <v>32</v>
      </c>
      <c r="Q296" s="2">
        <v>0</v>
      </c>
      <c r="R296" s="2">
        <v>1301.8658100638461</v>
      </c>
      <c r="S296" t="s">
        <v>33</v>
      </c>
      <c r="T296" t="s">
        <v>53</v>
      </c>
      <c r="U296" t="s">
        <v>35</v>
      </c>
      <c r="V296" t="s">
        <v>63</v>
      </c>
      <c r="W296" t="s">
        <v>64</v>
      </c>
      <c r="X296" s="2">
        <v>2668.0845600638459</v>
      </c>
      <c r="Y296" s="2">
        <v>1366.21875</v>
      </c>
      <c r="Z296" s="2">
        <v>1301.8658100638461</v>
      </c>
      <c r="AA296" s="3">
        <v>4.6453730956783082E-2</v>
      </c>
      <c r="AB296" s="3">
        <v>0</v>
      </c>
      <c r="AC296" t="s">
        <v>38</v>
      </c>
    </row>
    <row r="297" spans="1:29" x14ac:dyDescent="0.3">
      <c r="A297" t="s">
        <v>653</v>
      </c>
      <c r="B297" t="s">
        <v>654</v>
      </c>
      <c r="C297" t="s">
        <v>56</v>
      </c>
      <c r="D297" s="2">
        <v>904900</v>
      </c>
      <c r="E297" s="3">
        <v>0.2</v>
      </c>
      <c r="F297" s="2">
        <v>180980</v>
      </c>
      <c r="G297" s="2">
        <v>723920</v>
      </c>
      <c r="H297" s="3">
        <v>9.2299999999999993E-2</v>
      </c>
      <c r="I297">
        <v>48</v>
      </c>
      <c r="J297" s="3">
        <v>7.6916666666666661E-3</v>
      </c>
      <c r="K297" s="2">
        <v>18093.94430508916</v>
      </c>
      <c r="L297" s="2">
        <v>868509.32664427976</v>
      </c>
      <c r="M297" s="2">
        <v>144589.32664427979</v>
      </c>
      <c r="N297" s="2">
        <v>7239.2</v>
      </c>
      <c r="O297" s="2">
        <v>188219.2</v>
      </c>
      <c r="P297" t="s">
        <v>32</v>
      </c>
      <c r="Q297" s="2">
        <v>0</v>
      </c>
      <c r="R297" s="2">
        <v>-36390.673355720239</v>
      </c>
      <c r="S297" t="s">
        <v>33</v>
      </c>
      <c r="T297" t="s">
        <v>67</v>
      </c>
      <c r="U297" t="s">
        <v>59</v>
      </c>
      <c r="V297" t="s">
        <v>71</v>
      </c>
      <c r="W297" t="s">
        <v>49</v>
      </c>
      <c r="X297" s="2">
        <v>151828.5266442798</v>
      </c>
      <c r="Y297" s="2">
        <v>188219.2</v>
      </c>
      <c r="Z297" s="2">
        <v>-36390.673355720239</v>
      </c>
      <c r="AA297" s="3">
        <v>-5.0268915564869378E-2</v>
      </c>
      <c r="AB297" s="3">
        <v>0</v>
      </c>
      <c r="AC297" t="s">
        <v>38</v>
      </c>
    </row>
    <row r="298" spans="1:29" x14ac:dyDescent="0.3">
      <c r="A298" t="s">
        <v>655</v>
      </c>
      <c r="B298" t="s">
        <v>656</v>
      </c>
      <c r="C298" t="s">
        <v>56</v>
      </c>
      <c r="D298" s="2">
        <v>1114900</v>
      </c>
      <c r="E298" s="3">
        <v>0.25</v>
      </c>
      <c r="F298" s="2">
        <v>278725</v>
      </c>
      <c r="G298" s="2">
        <v>836175</v>
      </c>
      <c r="H298" s="3">
        <v>8.5999999999999993E-2</v>
      </c>
      <c r="I298">
        <v>72</v>
      </c>
      <c r="J298" s="3">
        <v>7.1666666666666658E-3</v>
      </c>
      <c r="K298" s="2">
        <v>14907.03914865307</v>
      </c>
      <c r="L298" s="2">
        <v>1073306.8187030209</v>
      </c>
      <c r="M298" s="2">
        <v>237131.81870302089</v>
      </c>
      <c r="N298" s="2">
        <v>8361.75</v>
      </c>
      <c r="O298" s="2">
        <v>326108.25</v>
      </c>
      <c r="P298" t="s">
        <v>32</v>
      </c>
      <c r="Q298" s="2">
        <v>0</v>
      </c>
      <c r="R298" s="2">
        <v>-80614.681296979077</v>
      </c>
      <c r="S298" t="s">
        <v>57</v>
      </c>
      <c r="T298" t="s">
        <v>62</v>
      </c>
      <c r="U298" t="s">
        <v>59</v>
      </c>
      <c r="V298" t="s">
        <v>71</v>
      </c>
      <c r="W298" t="s">
        <v>49</v>
      </c>
      <c r="X298" s="2">
        <v>245493.56870302089</v>
      </c>
      <c r="Y298" s="2">
        <v>326108.25</v>
      </c>
      <c r="Z298" s="2">
        <v>-80614.681296979077</v>
      </c>
      <c r="AA298" s="3">
        <v>-9.6408863332411374E-2</v>
      </c>
      <c r="AB298" s="3">
        <v>0</v>
      </c>
      <c r="AC298" t="s">
        <v>38</v>
      </c>
    </row>
    <row r="299" spans="1:29" x14ac:dyDescent="0.3">
      <c r="A299" t="s">
        <v>657</v>
      </c>
      <c r="B299" t="s">
        <v>658</v>
      </c>
      <c r="C299" t="s">
        <v>31</v>
      </c>
      <c r="D299" s="2">
        <v>228700</v>
      </c>
      <c r="E299" s="3">
        <v>0.15</v>
      </c>
      <c r="F299" s="2">
        <v>34305</v>
      </c>
      <c r="G299" s="2">
        <v>194395</v>
      </c>
      <c r="H299" s="3">
        <v>0.1066</v>
      </c>
      <c r="I299">
        <v>48</v>
      </c>
      <c r="J299" s="3">
        <v>8.8833333333333334E-3</v>
      </c>
      <c r="K299" s="2">
        <v>4992.2033913841788</v>
      </c>
      <c r="L299" s="2">
        <v>239625.76278644061</v>
      </c>
      <c r="M299" s="2">
        <v>45230.76278644058</v>
      </c>
      <c r="N299" s="2">
        <v>1943.95</v>
      </c>
      <c r="O299" s="2">
        <v>50542.7</v>
      </c>
      <c r="P299" t="s">
        <v>32</v>
      </c>
      <c r="Q299" s="2">
        <v>0</v>
      </c>
      <c r="R299" s="2">
        <v>-3367.9872135594269</v>
      </c>
      <c r="S299" t="s">
        <v>33</v>
      </c>
      <c r="T299" t="s">
        <v>70</v>
      </c>
      <c r="U299" t="s">
        <v>48</v>
      </c>
      <c r="V299" t="s">
        <v>36</v>
      </c>
      <c r="W299" t="s">
        <v>49</v>
      </c>
      <c r="X299" s="2">
        <v>47174.712786440577</v>
      </c>
      <c r="Y299" s="2">
        <v>50542.7</v>
      </c>
      <c r="Z299" s="2">
        <v>-3367.9872135594269</v>
      </c>
      <c r="AA299" s="3">
        <v>-1.7325482721054691E-2</v>
      </c>
      <c r="AB299" s="3">
        <v>0</v>
      </c>
      <c r="AC299" t="s">
        <v>38</v>
      </c>
    </row>
    <row r="300" spans="1:29" x14ac:dyDescent="0.3">
      <c r="A300" t="s">
        <v>659</v>
      </c>
      <c r="B300" t="s">
        <v>660</v>
      </c>
      <c r="C300" t="s">
        <v>56</v>
      </c>
      <c r="D300" s="2">
        <v>652700</v>
      </c>
      <c r="E300" s="3">
        <v>0.25</v>
      </c>
      <c r="F300" s="2">
        <v>163175</v>
      </c>
      <c r="G300" s="2">
        <v>489525</v>
      </c>
      <c r="H300" s="3">
        <v>0.112</v>
      </c>
      <c r="I300">
        <v>84</v>
      </c>
      <c r="J300" s="3">
        <v>9.3333333333333341E-3</v>
      </c>
      <c r="K300" s="2">
        <v>8433.4268524363015</v>
      </c>
      <c r="L300" s="2">
        <v>708407.85560464929</v>
      </c>
      <c r="M300" s="2">
        <v>218882.85560464929</v>
      </c>
      <c r="N300" s="2">
        <v>4895.25</v>
      </c>
      <c r="O300" s="2">
        <v>222733.875</v>
      </c>
      <c r="P300" t="s">
        <v>52</v>
      </c>
      <c r="Q300" s="2">
        <v>0</v>
      </c>
      <c r="R300" s="2">
        <v>1044.230604649289</v>
      </c>
      <c r="S300" t="s">
        <v>33</v>
      </c>
      <c r="T300" t="s">
        <v>67</v>
      </c>
      <c r="U300" t="s">
        <v>151</v>
      </c>
      <c r="V300" t="s">
        <v>36</v>
      </c>
      <c r="W300" t="s">
        <v>49</v>
      </c>
      <c r="X300" s="2">
        <v>223778.10560464929</v>
      </c>
      <c r="Y300" s="2">
        <v>222733.875</v>
      </c>
      <c r="Z300" s="2">
        <v>1044.230604649289</v>
      </c>
      <c r="AA300" s="3">
        <v>2.13315071681587E-3</v>
      </c>
      <c r="AB300" s="3">
        <v>0</v>
      </c>
      <c r="AC300" t="s">
        <v>38</v>
      </c>
    </row>
    <row r="301" spans="1:29" x14ac:dyDescent="0.3">
      <c r="A301" t="s">
        <v>661</v>
      </c>
      <c r="B301" t="s">
        <v>662</v>
      </c>
      <c r="C301" t="s">
        <v>56</v>
      </c>
      <c r="D301" s="2">
        <v>1389200</v>
      </c>
      <c r="E301" s="3">
        <v>0.15</v>
      </c>
      <c r="F301" s="2">
        <v>208380</v>
      </c>
      <c r="G301" s="2">
        <v>1180820</v>
      </c>
      <c r="H301" s="3">
        <v>0.1019</v>
      </c>
      <c r="I301">
        <v>36</v>
      </c>
      <c r="J301" s="3">
        <v>8.4916666666666665E-3</v>
      </c>
      <c r="K301" s="2">
        <v>38207.160592653221</v>
      </c>
      <c r="L301" s="2">
        <v>1375457.7813355159</v>
      </c>
      <c r="M301" s="2">
        <v>194637.7813355159</v>
      </c>
      <c r="N301" s="2">
        <v>11808.2</v>
      </c>
      <c r="O301" s="2">
        <v>230259.9</v>
      </c>
      <c r="P301" t="s">
        <v>32</v>
      </c>
      <c r="Q301" s="2">
        <v>0</v>
      </c>
      <c r="R301" s="2">
        <v>-23813.91866448411</v>
      </c>
      <c r="S301" t="s">
        <v>77</v>
      </c>
      <c r="T301" t="s">
        <v>62</v>
      </c>
      <c r="U301" t="s">
        <v>59</v>
      </c>
      <c r="V301" t="s">
        <v>36</v>
      </c>
      <c r="W301" t="s">
        <v>37</v>
      </c>
      <c r="X301" s="2">
        <v>206445.98133551591</v>
      </c>
      <c r="Y301" s="2">
        <v>230259.9</v>
      </c>
      <c r="Z301" s="2">
        <v>-23813.91866448411</v>
      </c>
      <c r="AA301" s="3">
        <v>-2.0167272458532299E-2</v>
      </c>
      <c r="AB301" s="3">
        <v>0</v>
      </c>
      <c r="AC301" t="s">
        <v>38</v>
      </c>
    </row>
    <row r="302" spans="1:29" x14ac:dyDescent="0.3">
      <c r="A302" t="s">
        <v>663</v>
      </c>
      <c r="B302" t="s">
        <v>664</v>
      </c>
      <c r="C302" t="s">
        <v>56</v>
      </c>
      <c r="D302" s="2">
        <v>1045700</v>
      </c>
      <c r="E302" s="3">
        <v>0.1</v>
      </c>
      <c r="F302" s="2">
        <v>104570</v>
      </c>
      <c r="G302" s="2">
        <v>941130</v>
      </c>
      <c r="H302" s="3">
        <v>0.1076</v>
      </c>
      <c r="I302">
        <v>72</v>
      </c>
      <c r="J302" s="3">
        <v>8.9666666666666662E-3</v>
      </c>
      <c r="K302" s="2">
        <v>17798.06752907308</v>
      </c>
      <c r="L302" s="2">
        <v>1281460.862093261</v>
      </c>
      <c r="M302" s="2">
        <v>340330.86209326138</v>
      </c>
      <c r="N302" s="2">
        <v>9411.3000000000011</v>
      </c>
      <c r="O302" s="2">
        <v>367040.7</v>
      </c>
      <c r="P302" t="s">
        <v>32</v>
      </c>
      <c r="Q302" s="2">
        <v>0</v>
      </c>
      <c r="R302" s="2">
        <v>-17298.53790673858</v>
      </c>
      <c r="S302" t="s">
        <v>43</v>
      </c>
      <c r="T302" t="s">
        <v>34</v>
      </c>
      <c r="U302" t="s">
        <v>59</v>
      </c>
      <c r="V302" t="s">
        <v>36</v>
      </c>
      <c r="W302" t="s">
        <v>49</v>
      </c>
      <c r="X302" s="2">
        <v>349742.16209326137</v>
      </c>
      <c r="Y302" s="2">
        <v>367040.7</v>
      </c>
      <c r="Z302" s="2">
        <v>-17298.53790673858</v>
      </c>
      <c r="AA302" s="3">
        <v>-1.838060406823561E-2</v>
      </c>
      <c r="AB302" s="3">
        <v>0</v>
      </c>
      <c r="AC302" t="s">
        <v>38</v>
      </c>
    </row>
    <row r="303" spans="1:29" x14ac:dyDescent="0.3">
      <c r="A303" t="s">
        <v>665</v>
      </c>
      <c r="B303" t="s">
        <v>666</v>
      </c>
      <c r="C303" t="s">
        <v>56</v>
      </c>
      <c r="D303" s="2">
        <v>828100</v>
      </c>
      <c r="E303" s="3">
        <v>0.25</v>
      </c>
      <c r="F303" s="2">
        <v>207025</v>
      </c>
      <c r="G303" s="2">
        <v>621075</v>
      </c>
      <c r="H303" s="3">
        <v>0.1119</v>
      </c>
      <c r="I303">
        <v>60</v>
      </c>
      <c r="J303" s="3">
        <v>9.325E-3</v>
      </c>
      <c r="K303" s="2">
        <v>13562.599650163491</v>
      </c>
      <c r="L303" s="2">
        <v>813755.97900980909</v>
      </c>
      <c r="M303" s="2">
        <v>192680.97900980909</v>
      </c>
      <c r="N303" s="2">
        <v>6210.75</v>
      </c>
      <c r="O303" s="2">
        <v>201849.375</v>
      </c>
      <c r="P303" t="s">
        <v>32</v>
      </c>
      <c r="Q303" s="2">
        <v>0</v>
      </c>
      <c r="R303" s="2">
        <v>-2957.6459901909111</v>
      </c>
      <c r="S303" t="s">
        <v>43</v>
      </c>
      <c r="T303" t="s">
        <v>44</v>
      </c>
      <c r="U303" t="s">
        <v>59</v>
      </c>
      <c r="V303" t="s">
        <v>36</v>
      </c>
      <c r="W303" t="s">
        <v>49</v>
      </c>
      <c r="X303" s="2">
        <v>198891.72900980909</v>
      </c>
      <c r="Y303" s="2">
        <v>201849.375</v>
      </c>
      <c r="Z303" s="2">
        <v>-2957.6459901909111</v>
      </c>
      <c r="AA303" s="3">
        <v>-4.7621398223900678E-3</v>
      </c>
      <c r="AB303" s="3">
        <v>0</v>
      </c>
      <c r="AC303" t="s">
        <v>38</v>
      </c>
    </row>
    <row r="304" spans="1:29" x14ac:dyDescent="0.3">
      <c r="A304" t="s">
        <v>667</v>
      </c>
      <c r="B304" t="s">
        <v>668</v>
      </c>
      <c r="C304" t="s">
        <v>31</v>
      </c>
      <c r="D304" s="2">
        <v>180200</v>
      </c>
      <c r="E304" s="3">
        <v>0.05</v>
      </c>
      <c r="F304" s="2">
        <v>9010</v>
      </c>
      <c r="G304" s="2">
        <v>171190</v>
      </c>
      <c r="H304" s="3">
        <v>0.1779</v>
      </c>
      <c r="I304">
        <v>12</v>
      </c>
      <c r="J304" s="3">
        <v>1.4825E-2</v>
      </c>
      <c r="K304" s="2">
        <v>15677.594021140771</v>
      </c>
      <c r="L304" s="2">
        <v>188131.1282536893</v>
      </c>
      <c r="M304" s="2">
        <v>16941.128253689301</v>
      </c>
      <c r="N304" s="2">
        <v>1711.9</v>
      </c>
      <c r="O304" s="2">
        <v>11127.35</v>
      </c>
      <c r="P304" t="s">
        <v>32</v>
      </c>
      <c r="Q304" s="2">
        <v>0</v>
      </c>
      <c r="R304" s="2">
        <v>7525.6782536892988</v>
      </c>
      <c r="S304" t="s">
        <v>33</v>
      </c>
      <c r="T304" t="s">
        <v>53</v>
      </c>
      <c r="U304" t="s">
        <v>48</v>
      </c>
      <c r="V304" t="s">
        <v>63</v>
      </c>
      <c r="W304" t="s">
        <v>64</v>
      </c>
      <c r="X304" s="2">
        <v>18653.028253689299</v>
      </c>
      <c r="Y304" s="2">
        <v>11127.35</v>
      </c>
      <c r="Z304" s="2">
        <v>7525.6782536892988</v>
      </c>
      <c r="AA304" s="3">
        <v>4.3960968828140073E-2</v>
      </c>
      <c r="AB304" s="3">
        <v>0</v>
      </c>
      <c r="AC304" t="s">
        <v>38</v>
      </c>
    </row>
    <row r="305" spans="1:29" x14ac:dyDescent="0.3">
      <c r="A305" t="s">
        <v>669</v>
      </c>
      <c r="B305" t="s">
        <v>670</v>
      </c>
      <c r="C305" t="s">
        <v>31</v>
      </c>
      <c r="D305" s="2">
        <v>207300</v>
      </c>
      <c r="E305" s="3">
        <v>0.05</v>
      </c>
      <c r="F305" s="2">
        <v>10365</v>
      </c>
      <c r="G305" s="2">
        <v>196935</v>
      </c>
      <c r="H305" s="3">
        <v>0.14760000000000001</v>
      </c>
      <c r="I305">
        <v>36</v>
      </c>
      <c r="J305" s="3">
        <v>1.23E-2</v>
      </c>
      <c r="K305" s="2">
        <v>6803.6936196199467</v>
      </c>
      <c r="L305" s="2">
        <v>244932.97030631811</v>
      </c>
      <c r="M305" s="2">
        <v>47997.970306318079</v>
      </c>
      <c r="N305" s="2">
        <v>1969.35</v>
      </c>
      <c r="O305" s="2">
        <v>38402.324999999997</v>
      </c>
      <c r="P305" t="s">
        <v>32</v>
      </c>
      <c r="Q305" s="2">
        <v>0</v>
      </c>
      <c r="R305" s="2">
        <v>11564.99530631808</v>
      </c>
      <c r="S305" t="s">
        <v>57</v>
      </c>
      <c r="T305" t="s">
        <v>116</v>
      </c>
      <c r="U305" t="s">
        <v>48</v>
      </c>
      <c r="V305" t="s">
        <v>36</v>
      </c>
      <c r="W305" t="s">
        <v>37</v>
      </c>
      <c r="X305" s="2">
        <v>49967.320306318077</v>
      </c>
      <c r="Y305" s="2">
        <v>38402.324999999997</v>
      </c>
      <c r="Z305" s="2">
        <v>11564.99530631808</v>
      </c>
      <c r="AA305" s="3">
        <v>5.8724936178526317E-2</v>
      </c>
      <c r="AB305" s="3">
        <v>0</v>
      </c>
      <c r="AC305" t="s">
        <v>38</v>
      </c>
    </row>
    <row r="306" spans="1:29" x14ac:dyDescent="0.3">
      <c r="A306" t="s">
        <v>671</v>
      </c>
      <c r="B306" t="s">
        <v>672</v>
      </c>
      <c r="C306" t="s">
        <v>86</v>
      </c>
      <c r="D306" s="2">
        <v>69900</v>
      </c>
      <c r="E306" s="3">
        <v>0.2</v>
      </c>
      <c r="F306" s="2">
        <v>13980</v>
      </c>
      <c r="G306" s="2">
        <v>55920</v>
      </c>
      <c r="H306" s="3">
        <v>0.17</v>
      </c>
      <c r="I306">
        <v>6</v>
      </c>
      <c r="J306" s="3">
        <v>1.4166666666666669E-2</v>
      </c>
      <c r="K306" s="2">
        <v>9787.5332673826888</v>
      </c>
      <c r="L306" s="2">
        <v>58725.199604296133</v>
      </c>
      <c r="M306" s="2">
        <v>2805.1996042961332</v>
      </c>
      <c r="N306" s="2">
        <v>559.20000000000005</v>
      </c>
      <c r="O306" s="2">
        <v>1817.4</v>
      </c>
      <c r="P306" t="s">
        <v>32</v>
      </c>
      <c r="Q306" s="2">
        <v>0</v>
      </c>
      <c r="R306" s="2">
        <v>1546.999604296132</v>
      </c>
      <c r="S306" t="s">
        <v>57</v>
      </c>
      <c r="T306" t="s">
        <v>58</v>
      </c>
      <c r="U306" t="s">
        <v>35</v>
      </c>
      <c r="V306" t="s">
        <v>63</v>
      </c>
      <c r="W306" t="s">
        <v>64</v>
      </c>
      <c r="X306" s="2">
        <v>3364.399604296133</v>
      </c>
      <c r="Y306" s="2">
        <v>1817.4</v>
      </c>
      <c r="Z306" s="2">
        <v>1546.999604296132</v>
      </c>
      <c r="AA306" s="3">
        <v>2.7664513667670469E-2</v>
      </c>
      <c r="AB306" s="3">
        <v>0</v>
      </c>
      <c r="AC306" t="s">
        <v>38</v>
      </c>
    </row>
    <row r="307" spans="1:29" x14ac:dyDescent="0.3">
      <c r="A307" t="s">
        <v>673</v>
      </c>
      <c r="B307" t="s">
        <v>674</v>
      </c>
      <c r="C307" t="s">
        <v>31</v>
      </c>
      <c r="D307" s="2">
        <v>130900</v>
      </c>
      <c r="E307" s="3">
        <v>0.05</v>
      </c>
      <c r="F307" s="2">
        <v>6545</v>
      </c>
      <c r="G307" s="2">
        <v>124355</v>
      </c>
      <c r="H307" s="3">
        <v>0.1197</v>
      </c>
      <c r="I307">
        <v>12</v>
      </c>
      <c r="J307" s="3">
        <v>9.9749999999999995E-3</v>
      </c>
      <c r="K307" s="2">
        <v>11047.045960648449</v>
      </c>
      <c r="L307" s="2">
        <v>132564.55152778141</v>
      </c>
      <c r="M307" s="2">
        <v>8209.5515277813829</v>
      </c>
      <c r="N307" s="2">
        <v>1243.55</v>
      </c>
      <c r="O307" s="2">
        <v>8083.0750000000007</v>
      </c>
      <c r="P307" t="s">
        <v>52</v>
      </c>
      <c r="Q307" s="2">
        <v>0</v>
      </c>
      <c r="R307" s="2">
        <v>1370.026527781381</v>
      </c>
      <c r="S307" t="s">
        <v>57</v>
      </c>
      <c r="T307" t="s">
        <v>44</v>
      </c>
      <c r="U307" t="s">
        <v>48</v>
      </c>
      <c r="V307" t="s">
        <v>36</v>
      </c>
      <c r="W307" t="s">
        <v>64</v>
      </c>
      <c r="X307" s="2">
        <v>9453.1015277813822</v>
      </c>
      <c r="Y307" s="2">
        <v>8083.0750000000007</v>
      </c>
      <c r="Z307" s="2">
        <v>1370.026527781381</v>
      </c>
      <c r="AA307" s="3">
        <v>1.1017060253157339E-2</v>
      </c>
      <c r="AB307" s="3">
        <v>0</v>
      </c>
      <c r="AC307" t="s">
        <v>38</v>
      </c>
    </row>
    <row r="308" spans="1:29" x14ac:dyDescent="0.3">
      <c r="A308" t="s">
        <v>675</v>
      </c>
      <c r="B308" t="s">
        <v>676</v>
      </c>
      <c r="C308" t="s">
        <v>56</v>
      </c>
      <c r="D308" s="2">
        <v>569700</v>
      </c>
      <c r="E308" s="3">
        <v>0.1</v>
      </c>
      <c r="F308" s="2">
        <v>56970</v>
      </c>
      <c r="G308" s="2">
        <v>512730</v>
      </c>
      <c r="H308" s="3">
        <v>9.6699999999999994E-2</v>
      </c>
      <c r="I308">
        <v>60</v>
      </c>
      <c r="J308" s="3">
        <v>8.0583333333333323E-3</v>
      </c>
      <c r="K308" s="2">
        <v>10810.93036497482</v>
      </c>
      <c r="L308" s="2">
        <v>648655.82189848914</v>
      </c>
      <c r="M308" s="2">
        <v>135925.82189848911</v>
      </c>
      <c r="N308" s="2">
        <v>5127.3</v>
      </c>
      <c r="O308" s="2">
        <v>166637.25</v>
      </c>
      <c r="P308" t="s">
        <v>52</v>
      </c>
      <c r="Q308" s="2">
        <v>0</v>
      </c>
      <c r="R308" s="2">
        <v>-25584.128101510902</v>
      </c>
      <c r="S308" t="s">
        <v>77</v>
      </c>
      <c r="T308" t="s">
        <v>116</v>
      </c>
      <c r="U308" t="s">
        <v>59</v>
      </c>
      <c r="V308" t="s">
        <v>71</v>
      </c>
      <c r="W308" t="s">
        <v>49</v>
      </c>
      <c r="X308" s="2">
        <v>141053.1218984891</v>
      </c>
      <c r="Y308" s="2">
        <v>166637.25</v>
      </c>
      <c r="Z308" s="2">
        <v>-25584.128101510902</v>
      </c>
      <c r="AA308" s="3">
        <v>-4.9897856769666099E-2</v>
      </c>
      <c r="AB308" s="3">
        <v>0</v>
      </c>
      <c r="AC308" t="s">
        <v>38</v>
      </c>
    </row>
    <row r="309" spans="1:29" x14ac:dyDescent="0.3">
      <c r="A309" t="s">
        <v>677</v>
      </c>
      <c r="B309" t="s">
        <v>678</v>
      </c>
      <c r="C309" t="s">
        <v>41</v>
      </c>
      <c r="D309" s="2">
        <v>58700</v>
      </c>
      <c r="E309" s="3">
        <v>0.15</v>
      </c>
      <c r="F309" s="2">
        <v>8805</v>
      </c>
      <c r="G309" s="2">
        <v>49895</v>
      </c>
      <c r="H309" s="3">
        <v>0.13059999999999999</v>
      </c>
      <c r="I309">
        <v>9</v>
      </c>
      <c r="J309" s="3">
        <v>1.088333333333333E-2</v>
      </c>
      <c r="K309" s="2">
        <v>5849.9222062466733</v>
      </c>
      <c r="L309" s="2">
        <v>52649.299856220059</v>
      </c>
      <c r="M309" s="2">
        <v>2754.2998562200592</v>
      </c>
      <c r="N309" s="2">
        <v>499</v>
      </c>
      <c r="O309" s="2">
        <v>2432.3812499999999</v>
      </c>
      <c r="P309" t="s">
        <v>32</v>
      </c>
      <c r="Q309" s="2">
        <v>0</v>
      </c>
      <c r="R309" s="2">
        <v>820.91860622005879</v>
      </c>
      <c r="S309" t="s">
        <v>57</v>
      </c>
      <c r="T309" t="s">
        <v>58</v>
      </c>
      <c r="U309" t="s">
        <v>35</v>
      </c>
      <c r="V309" t="s">
        <v>36</v>
      </c>
      <c r="W309" t="s">
        <v>64</v>
      </c>
      <c r="X309" s="2">
        <v>3253.2998562200592</v>
      </c>
      <c r="Y309" s="2">
        <v>2432.3812499999999</v>
      </c>
      <c r="Z309" s="2">
        <v>820.91860622005879</v>
      </c>
      <c r="AA309" s="3">
        <v>1.645292326325401E-2</v>
      </c>
      <c r="AB309" s="3">
        <v>0</v>
      </c>
      <c r="AC309" t="s">
        <v>38</v>
      </c>
    </row>
    <row r="310" spans="1:29" x14ac:dyDescent="0.3">
      <c r="A310" t="s">
        <v>679</v>
      </c>
      <c r="B310" t="s">
        <v>680</v>
      </c>
      <c r="C310" t="s">
        <v>86</v>
      </c>
      <c r="D310" s="2">
        <v>47600</v>
      </c>
      <c r="E310" s="3">
        <v>0.05</v>
      </c>
      <c r="F310" s="2">
        <v>2380</v>
      </c>
      <c r="G310" s="2">
        <v>45220</v>
      </c>
      <c r="H310" s="3">
        <v>0.1474</v>
      </c>
      <c r="I310">
        <v>18</v>
      </c>
      <c r="J310" s="3">
        <v>1.228333333333333E-2</v>
      </c>
      <c r="K310" s="2">
        <v>2815.509912468875</v>
      </c>
      <c r="L310" s="2">
        <v>50679.178424439757</v>
      </c>
      <c r="M310" s="2">
        <v>5459.1784244397568</v>
      </c>
      <c r="N310" s="2">
        <v>499</v>
      </c>
      <c r="O310" s="2">
        <v>4408.9500000000007</v>
      </c>
      <c r="P310" t="s">
        <v>32</v>
      </c>
      <c r="Q310" s="2">
        <v>0</v>
      </c>
      <c r="R310" s="2">
        <v>1549.2284244397561</v>
      </c>
      <c r="S310" t="s">
        <v>33</v>
      </c>
      <c r="T310" t="s">
        <v>204</v>
      </c>
      <c r="U310" t="s">
        <v>35</v>
      </c>
      <c r="V310" t="s">
        <v>36</v>
      </c>
      <c r="W310" t="s">
        <v>37</v>
      </c>
      <c r="X310" s="2">
        <v>5958.1784244397568</v>
      </c>
      <c r="Y310" s="2">
        <v>4408.9500000000007</v>
      </c>
      <c r="Z310" s="2">
        <v>1549.2284244397561</v>
      </c>
      <c r="AA310" s="3">
        <v>3.4259805936305968E-2</v>
      </c>
      <c r="AB310" s="3">
        <v>0</v>
      </c>
      <c r="AC310" t="s">
        <v>38</v>
      </c>
    </row>
    <row r="311" spans="1:29" x14ac:dyDescent="0.3">
      <c r="A311" t="s">
        <v>681</v>
      </c>
      <c r="B311" t="s">
        <v>682</v>
      </c>
      <c r="C311" t="s">
        <v>41</v>
      </c>
      <c r="D311" s="2">
        <v>122400</v>
      </c>
      <c r="E311" s="3">
        <v>0.05</v>
      </c>
      <c r="F311" s="2">
        <v>6120</v>
      </c>
      <c r="G311" s="2">
        <v>116280</v>
      </c>
      <c r="H311" s="3">
        <v>0.17799999999999999</v>
      </c>
      <c r="I311">
        <v>24</v>
      </c>
      <c r="J311" s="3">
        <v>1.483333333333333E-2</v>
      </c>
      <c r="K311" s="2">
        <v>5793.9440231711451</v>
      </c>
      <c r="L311" s="2">
        <v>139054.65655610751</v>
      </c>
      <c r="M311" s="2">
        <v>22774.656556107479</v>
      </c>
      <c r="N311" s="2">
        <v>1162.8</v>
      </c>
      <c r="O311" s="2">
        <v>15116.4</v>
      </c>
      <c r="P311" t="s">
        <v>32</v>
      </c>
      <c r="Q311" s="2">
        <v>0</v>
      </c>
      <c r="R311" s="2">
        <v>8821.0565561074818</v>
      </c>
      <c r="S311" t="s">
        <v>43</v>
      </c>
      <c r="T311" t="s">
        <v>67</v>
      </c>
      <c r="U311" t="s">
        <v>48</v>
      </c>
      <c r="V311" t="s">
        <v>63</v>
      </c>
      <c r="W311" t="s">
        <v>37</v>
      </c>
      <c r="X311" s="2">
        <v>23937.456556107481</v>
      </c>
      <c r="Y311" s="2">
        <v>15116.4</v>
      </c>
      <c r="Z311" s="2">
        <v>8821.0565561074818</v>
      </c>
      <c r="AA311" s="3">
        <v>7.5860479498688349E-2</v>
      </c>
      <c r="AB311" s="3">
        <v>0</v>
      </c>
      <c r="AC311" t="s">
        <v>38</v>
      </c>
    </row>
    <row r="312" spans="1:29" x14ac:dyDescent="0.3">
      <c r="A312" t="s">
        <v>683</v>
      </c>
      <c r="B312" t="s">
        <v>684</v>
      </c>
      <c r="C312" t="s">
        <v>41</v>
      </c>
      <c r="D312" s="2">
        <v>42400</v>
      </c>
      <c r="E312" s="3">
        <v>0.05</v>
      </c>
      <c r="F312" s="2">
        <v>2120</v>
      </c>
      <c r="G312" s="2">
        <v>40280</v>
      </c>
      <c r="H312" s="3">
        <v>0.14410000000000001</v>
      </c>
      <c r="I312">
        <v>18</v>
      </c>
      <c r="J312" s="3">
        <v>1.2008333333333329E-2</v>
      </c>
      <c r="K312" s="2">
        <v>2501.6888865029332</v>
      </c>
      <c r="L312" s="2">
        <v>45030.399957052789</v>
      </c>
      <c r="M312" s="2">
        <v>4750.3999570527894</v>
      </c>
      <c r="N312" s="2">
        <v>499</v>
      </c>
      <c r="O312" s="2">
        <v>3927.3</v>
      </c>
      <c r="P312" t="s">
        <v>52</v>
      </c>
      <c r="Q312" s="2">
        <v>0</v>
      </c>
      <c r="R312" s="2">
        <v>1322.0999570527881</v>
      </c>
      <c r="S312" t="s">
        <v>57</v>
      </c>
      <c r="T312" t="s">
        <v>204</v>
      </c>
      <c r="U312" t="s">
        <v>35</v>
      </c>
      <c r="V312" t="s">
        <v>36</v>
      </c>
      <c r="W312" t="s">
        <v>37</v>
      </c>
      <c r="X312" s="2">
        <v>5249.3999570527894</v>
      </c>
      <c r="Y312" s="2">
        <v>3927.3</v>
      </c>
      <c r="Z312" s="2">
        <v>1322.0999570527881</v>
      </c>
      <c r="AA312" s="3">
        <v>3.2822739748083127E-2</v>
      </c>
      <c r="AB312" s="3">
        <v>0</v>
      </c>
      <c r="AC312" t="s">
        <v>38</v>
      </c>
    </row>
    <row r="313" spans="1:29" x14ac:dyDescent="0.3">
      <c r="A313" t="s">
        <v>685</v>
      </c>
      <c r="B313" t="s">
        <v>686</v>
      </c>
      <c r="C313" t="s">
        <v>41</v>
      </c>
      <c r="D313" s="2">
        <v>85500</v>
      </c>
      <c r="E313" s="3">
        <v>0.05</v>
      </c>
      <c r="F313" s="2">
        <v>4275</v>
      </c>
      <c r="G313" s="2">
        <v>81225</v>
      </c>
      <c r="H313" s="3">
        <v>0.12620000000000001</v>
      </c>
      <c r="I313">
        <v>12</v>
      </c>
      <c r="J313" s="3">
        <v>1.0516666666666671E-2</v>
      </c>
      <c r="K313" s="2">
        <v>7240.32266049598</v>
      </c>
      <c r="L313" s="2">
        <v>86883.871925951767</v>
      </c>
      <c r="M313" s="2">
        <v>5658.8719259517666</v>
      </c>
      <c r="N313" s="2">
        <v>812.25</v>
      </c>
      <c r="O313" s="2">
        <v>5279.625</v>
      </c>
      <c r="P313" t="s">
        <v>32</v>
      </c>
      <c r="Q313" s="2">
        <v>0</v>
      </c>
      <c r="R313" s="2">
        <v>1191.496925951767</v>
      </c>
      <c r="S313" t="s">
        <v>57</v>
      </c>
      <c r="T313" t="s">
        <v>34</v>
      </c>
      <c r="U313" t="s">
        <v>35</v>
      </c>
      <c r="V313" t="s">
        <v>36</v>
      </c>
      <c r="W313" t="s">
        <v>64</v>
      </c>
      <c r="X313" s="2">
        <v>6471.1219259517666</v>
      </c>
      <c r="Y313" s="2">
        <v>5279.625</v>
      </c>
      <c r="Z313" s="2">
        <v>1191.496925951767</v>
      </c>
      <c r="AA313" s="3">
        <v>1.466909111667304E-2</v>
      </c>
      <c r="AB313" s="3">
        <v>0</v>
      </c>
      <c r="AC313" t="s">
        <v>38</v>
      </c>
    </row>
    <row r="314" spans="1:29" x14ac:dyDescent="0.3">
      <c r="A314" t="s">
        <v>687</v>
      </c>
      <c r="B314" t="s">
        <v>688</v>
      </c>
      <c r="C314" t="s">
        <v>31</v>
      </c>
      <c r="D314" s="2">
        <v>169900</v>
      </c>
      <c r="E314" s="3">
        <v>0.2</v>
      </c>
      <c r="F314" s="2">
        <v>33980</v>
      </c>
      <c r="G314" s="2">
        <v>135920</v>
      </c>
      <c r="H314" s="3">
        <v>0.1108</v>
      </c>
      <c r="I314">
        <v>12</v>
      </c>
      <c r="J314" s="3">
        <v>9.233333333333333E-3</v>
      </c>
      <c r="K314" s="2">
        <v>12017.907619442491</v>
      </c>
      <c r="L314" s="2">
        <v>144214.89143330991</v>
      </c>
      <c r="M314" s="2">
        <v>8294.891433309851</v>
      </c>
      <c r="N314" s="2">
        <v>1359.2</v>
      </c>
      <c r="O314" s="2">
        <v>8834.8000000000011</v>
      </c>
      <c r="P314" t="s">
        <v>52</v>
      </c>
      <c r="Q314" s="2">
        <v>0</v>
      </c>
      <c r="R314" s="2">
        <v>819.29143330985062</v>
      </c>
      <c r="S314" t="s">
        <v>57</v>
      </c>
      <c r="T314" t="s">
        <v>53</v>
      </c>
      <c r="U314" t="s">
        <v>48</v>
      </c>
      <c r="V314" t="s">
        <v>36</v>
      </c>
      <c r="W314" t="s">
        <v>64</v>
      </c>
      <c r="X314" s="2">
        <v>9654.0914333098517</v>
      </c>
      <c r="Y314" s="2">
        <v>8834.8000000000011</v>
      </c>
      <c r="Z314" s="2">
        <v>819.29143330985062</v>
      </c>
      <c r="AA314" s="3">
        <v>6.0277474493073179E-3</v>
      </c>
      <c r="AB314" s="3">
        <v>0</v>
      </c>
      <c r="AC314" t="s">
        <v>38</v>
      </c>
    </row>
    <row r="315" spans="1:29" x14ac:dyDescent="0.3">
      <c r="A315" t="s">
        <v>689</v>
      </c>
      <c r="B315" t="s">
        <v>690</v>
      </c>
      <c r="C315" t="s">
        <v>41</v>
      </c>
      <c r="D315" s="2">
        <v>78800</v>
      </c>
      <c r="E315" s="3">
        <v>0.2</v>
      </c>
      <c r="F315" s="2">
        <v>15760</v>
      </c>
      <c r="G315" s="2">
        <v>63040</v>
      </c>
      <c r="H315" s="3">
        <v>0.18590000000000001</v>
      </c>
      <c r="I315">
        <v>36</v>
      </c>
      <c r="J315" s="3">
        <v>1.5491666666666669E-2</v>
      </c>
      <c r="K315" s="2">
        <v>2297.748525826823</v>
      </c>
      <c r="L315" s="2">
        <v>82718.946929765603</v>
      </c>
      <c r="M315" s="2">
        <v>19678.9469297656</v>
      </c>
      <c r="N315" s="2">
        <v>630.4</v>
      </c>
      <c r="O315" s="2">
        <v>12292.8</v>
      </c>
      <c r="P315" t="s">
        <v>52</v>
      </c>
      <c r="Q315" s="2">
        <v>0</v>
      </c>
      <c r="R315" s="2">
        <v>8016.5469297656036</v>
      </c>
      <c r="S315" t="s">
        <v>77</v>
      </c>
      <c r="T315" t="s">
        <v>34</v>
      </c>
      <c r="U315" t="s">
        <v>35</v>
      </c>
      <c r="V315" t="s">
        <v>63</v>
      </c>
      <c r="W315" t="s">
        <v>37</v>
      </c>
      <c r="X315" s="2">
        <v>20309.346929765601</v>
      </c>
      <c r="Y315" s="2">
        <v>12292.8</v>
      </c>
      <c r="Z315" s="2">
        <v>8016.5469297656036</v>
      </c>
      <c r="AA315" s="3">
        <v>0.1271660363224239</v>
      </c>
      <c r="AB315" s="3">
        <v>0</v>
      </c>
      <c r="AC315" t="s">
        <v>38</v>
      </c>
    </row>
    <row r="316" spans="1:29" x14ac:dyDescent="0.3">
      <c r="A316" t="s">
        <v>691</v>
      </c>
      <c r="B316" t="s">
        <v>692</v>
      </c>
      <c r="C316" t="s">
        <v>56</v>
      </c>
      <c r="D316" s="2">
        <v>620900</v>
      </c>
      <c r="E316" s="3">
        <v>0.2</v>
      </c>
      <c r="F316" s="2">
        <v>124180</v>
      </c>
      <c r="G316" s="2">
        <v>496720</v>
      </c>
      <c r="H316" s="3">
        <v>9.4399999999999998E-2</v>
      </c>
      <c r="I316">
        <v>72</v>
      </c>
      <c r="J316" s="3">
        <v>7.8666666666666659E-3</v>
      </c>
      <c r="K316" s="2">
        <v>9062.5009130103263</v>
      </c>
      <c r="L316" s="2">
        <v>652500.06573674351</v>
      </c>
      <c r="M316" s="2">
        <v>155780.06573674351</v>
      </c>
      <c r="N316" s="2">
        <v>4967.2</v>
      </c>
      <c r="O316" s="2">
        <v>193720.8</v>
      </c>
      <c r="P316" t="s">
        <v>32</v>
      </c>
      <c r="Q316" s="2">
        <v>0</v>
      </c>
      <c r="R316" s="2">
        <v>-32973.534263256501</v>
      </c>
      <c r="S316" t="s">
        <v>57</v>
      </c>
      <c r="T316" t="s">
        <v>34</v>
      </c>
      <c r="U316" t="s">
        <v>151</v>
      </c>
      <c r="V316" t="s">
        <v>71</v>
      </c>
      <c r="W316" t="s">
        <v>49</v>
      </c>
      <c r="X316" s="2">
        <v>160747.26573674349</v>
      </c>
      <c r="Y316" s="2">
        <v>193720.8</v>
      </c>
      <c r="Z316" s="2">
        <v>-32973.534263256501</v>
      </c>
      <c r="AA316" s="3">
        <v>-6.6382537975633149E-2</v>
      </c>
      <c r="AB316" s="3">
        <v>0</v>
      </c>
      <c r="AC316" t="s">
        <v>38</v>
      </c>
    </row>
    <row r="317" spans="1:29" x14ac:dyDescent="0.3">
      <c r="A317" t="s">
        <v>693</v>
      </c>
      <c r="B317" t="s">
        <v>694</v>
      </c>
      <c r="C317" t="s">
        <v>56</v>
      </c>
      <c r="D317" s="2">
        <v>758500</v>
      </c>
      <c r="E317" s="3">
        <v>0.2</v>
      </c>
      <c r="F317" s="2">
        <v>151700</v>
      </c>
      <c r="G317" s="2">
        <v>606800</v>
      </c>
      <c r="H317" s="3">
        <v>9.3399999999999997E-2</v>
      </c>
      <c r="I317">
        <v>72</v>
      </c>
      <c r="J317" s="3">
        <v>7.7833333333333331E-3</v>
      </c>
      <c r="K317" s="2">
        <v>11040.570899152861</v>
      </c>
      <c r="L317" s="2">
        <v>794921.10473900556</v>
      </c>
      <c r="M317" s="2">
        <v>188121.10473900559</v>
      </c>
      <c r="N317" s="2">
        <v>6068</v>
      </c>
      <c r="O317" s="2">
        <v>236652</v>
      </c>
      <c r="P317" t="s">
        <v>52</v>
      </c>
      <c r="Q317" s="2">
        <v>0</v>
      </c>
      <c r="R317" s="2">
        <v>-42462.895260994439</v>
      </c>
      <c r="S317" t="s">
        <v>43</v>
      </c>
      <c r="T317" t="s">
        <v>34</v>
      </c>
      <c r="U317" t="s">
        <v>59</v>
      </c>
      <c r="V317" t="s">
        <v>71</v>
      </c>
      <c r="W317" t="s">
        <v>49</v>
      </c>
      <c r="X317" s="2">
        <v>194189.10473900559</v>
      </c>
      <c r="Y317" s="2">
        <v>236652</v>
      </c>
      <c r="Z317" s="2">
        <v>-42462.895260994439</v>
      </c>
      <c r="AA317" s="3">
        <v>-6.9978403528336258E-2</v>
      </c>
      <c r="AB317" s="3">
        <v>0</v>
      </c>
      <c r="AC317" t="s">
        <v>38</v>
      </c>
    </row>
    <row r="318" spans="1:29" x14ac:dyDescent="0.3">
      <c r="A318" t="s">
        <v>695</v>
      </c>
      <c r="B318" t="s">
        <v>696</v>
      </c>
      <c r="C318" t="s">
        <v>56</v>
      </c>
      <c r="D318" s="2">
        <v>597900</v>
      </c>
      <c r="E318" s="3">
        <v>0.25</v>
      </c>
      <c r="F318" s="2">
        <v>149475</v>
      </c>
      <c r="G318" s="2">
        <v>448425</v>
      </c>
      <c r="H318" s="3">
        <v>0.108</v>
      </c>
      <c r="I318">
        <v>36</v>
      </c>
      <c r="J318" s="3">
        <v>8.9999999999999993E-3</v>
      </c>
      <c r="K318" s="2">
        <v>14638.42412878492</v>
      </c>
      <c r="L318" s="2">
        <v>526983.26863625715</v>
      </c>
      <c r="M318" s="2">
        <v>78558.268636257155</v>
      </c>
      <c r="N318" s="2">
        <v>4484.25</v>
      </c>
      <c r="O318" s="2">
        <v>87442.875</v>
      </c>
      <c r="P318" t="s">
        <v>32</v>
      </c>
      <c r="Q318" s="2">
        <v>0</v>
      </c>
      <c r="R318" s="2">
        <v>-4400.3563637428451</v>
      </c>
      <c r="S318" t="s">
        <v>43</v>
      </c>
      <c r="T318" t="s">
        <v>116</v>
      </c>
      <c r="U318" t="s">
        <v>151</v>
      </c>
      <c r="V318" t="s">
        <v>36</v>
      </c>
      <c r="W318" t="s">
        <v>37</v>
      </c>
      <c r="X318" s="2">
        <v>83042.518636257155</v>
      </c>
      <c r="Y318" s="2">
        <v>87442.875</v>
      </c>
      <c r="Z318" s="2">
        <v>-4400.3563637428451</v>
      </c>
      <c r="AA318" s="3">
        <v>-9.8129148993540624E-3</v>
      </c>
      <c r="AB318" s="3">
        <v>0</v>
      </c>
      <c r="AC318" t="s">
        <v>38</v>
      </c>
    </row>
    <row r="319" spans="1:29" x14ac:dyDescent="0.3">
      <c r="A319" t="s">
        <v>697</v>
      </c>
      <c r="B319" t="s">
        <v>698</v>
      </c>
      <c r="C319" t="s">
        <v>56</v>
      </c>
      <c r="D319" s="2">
        <v>1314400</v>
      </c>
      <c r="E319" s="3">
        <v>0.25</v>
      </c>
      <c r="F319" s="2">
        <v>328600</v>
      </c>
      <c r="G319" s="2">
        <v>985800</v>
      </c>
      <c r="H319" s="3">
        <v>8.7099999999999997E-2</v>
      </c>
      <c r="I319">
        <v>72</v>
      </c>
      <c r="J319" s="3">
        <v>7.2583333333333328E-3</v>
      </c>
      <c r="K319" s="2">
        <v>17628.02085739774</v>
      </c>
      <c r="L319" s="2">
        <v>1269217.5017326381</v>
      </c>
      <c r="M319" s="2">
        <v>283417.50173263758</v>
      </c>
      <c r="N319" s="2">
        <v>9858</v>
      </c>
      <c r="O319" s="2">
        <v>384462</v>
      </c>
      <c r="P319" t="s">
        <v>52</v>
      </c>
      <c r="Q319" s="2">
        <v>0</v>
      </c>
      <c r="R319" s="2">
        <v>-91186.49826736236</v>
      </c>
      <c r="S319" t="s">
        <v>77</v>
      </c>
      <c r="T319" t="s">
        <v>74</v>
      </c>
      <c r="U319" t="s">
        <v>59</v>
      </c>
      <c r="V319" t="s">
        <v>71</v>
      </c>
      <c r="W319" t="s">
        <v>49</v>
      </c>
      <c r="X319" s="2">
        <v>293275.50173263758</v>
      </c>
      <c r="Y319" s="2">
        <v>384462</v>
      </c>
      <c r="Z319" s="2">
        <v>-91186.49826736236</v>
      </c>
      <c r="AA319" s="3">
        <v>-9.2499998242404499E-2</v>
      </c>
      <c r="AB319" s="3">
        <v>0</v>
      </c>
      <c r="AC319" t="s">
        <v>38</v>
      </c>
    </row>
    <row r="320" spans="1:29" x14ac:dyDescent="0.3">
      <c r="A320" t="s">
        <v>699</v>
      </c>
      <c r="B320" t="s">
        <v>700</v>
      </c>
      <c r="C320" t="s">
        <v>86</v>
      </c>
      <c r="D320" s="2">
        <v>25300</v>
      </c>
      <c r="E320" s="3">
        <v>0</v>
      </c>
      <c r="F320" s="2">
        <v>0</v>
      </c>
      <c r="G320" s="2">
        <v>25300</v>
      </c>
      <c r="H320" s="3">
        <v>0.1739</v>
      </c>
      <c r="I320">
        <v>12</v>
      </c>
      <c r="J320" s="3">
        <v>1.449166666666667E-2</v>
      </c>
      <c r="K320" s="2">
        <v>2312.1653792408529</v>
      </c>
      <c r="L320" s="2">
        <v>27745.98455089024</v>
      </c>
      <c r="M320" s="2">
        <v>2445.9845508902399</v>
      </c>
      <c r="N320" s="2">
        <v>499</v>
      </c>
      <c r="O320" s="2">
        <v>1644.5</v>
      </c>
      <c r="P320" t="s">
        <v>32</v>
      </c>
      <c r="Q320" s="2">
        <v>0</v>
      </c>
      <c r="R320" s="2">
        <v>1300.4845508902399</v>
      </c>
      <c r="S320" t="s">
        <v>57</v>
      </c>
      <c r="T320" t="s">
        <v>34</v>
      </c>
      <c r="U320" t="s">
        <v>35</v>
      </c>
      <c r="V320" t="s">
        <v>63</v>
      </c>
      <c r="W320" t="s">
        <v>64</v>
      </c>
      <c r="X320" s="2">
        <v>2944.9845508902399</v>
      </c>
      <c r="Y320" s="2">
        <v>1644.5</v>
      </c>
      <c r="Z320" s="2">
        <v>1300.4845508902399</v>
      </c>
      <c r="AA320" s="3">
        <v>5.1402551418586559E-2</v>
      </c>
      <c r="AB320" s="3">
        <v>0</v>
      </c>
      <c r="AC320" t="s">
        <v>38</v>
      </c>
    </row>
    <row r="321" spans="1:29" x14ac:dyDescent="0.3">
      <c r="A321" t="s">
        <v>701</v>
      </c>
      <c r="B321" t="s">
        <v>702</v>
      </c>
      <c r="C321" t="s">
        <v>41</v>
      </c>
      <c r="D321" s="2">
        <v>88300</v>
      </c>
      <c r="E321" s="3">
        <v>0.15</v>
      </c>
      <c r="F321" s="2">
        <v>13245</v>
      </c>
      <c r="G321" s="2">
        <v>75055</v>
      </c>
      <c r="H321" s="3">
        <v>0.19359999999999999</v>
      </c>
      <c r="I321">
        <v>36</v>
      </c>
      <c r="J321" s="3">
        <v>1.6133333333333329E-2</v>
      </c>
      <c r="K321" s="2">
        <v>2764.897856541897</v>
      </c>
      <c r="L321" s="2">
        <v>99536.322835508312</v>
      </c>
      <c r="M321" s="2">
        <v>24481.322835508308</v>
      </c>
      <c r="N321" s="2">
        <v>750.55000000000007</v>
      </c>
      <c r="O321" s="2">
        <v>14635.725</v>
      </c>
      <c r="P321" t="s">
        <v>32</v>
      </c>
      <c r="Q321" s="2">
        <v>0</v>
      </c>
      <c r="R321" s="2">
        <v>10596.147835508311</v>
      </c>
      <c r="S321" t="s">
        <v>77</v>
      </c>
      <c r="T321" t="s">
        <v>44</v>
      </c>
      <c r="U321" t="s">
        <v>35</v>
      </c>
      <c r="V321" t="s">
        <v>63</v>
      </c>
      <c r="W321" t="s">
        <v>37</v>
      </c>
      <c r="X321" s="2">
        <v>25231.872835508311</v>
      </c>
      <c r="Y321" s="2">
        <v>14635.725</v>
      </c>
      <c r="Z321" s="2">
        <v>10596.147835508311</v>
      </c>
      <c r="AA321" s="3">
        <v>0.14117844028390261</v>
      </c>
      <c r="AB321" s="3">
        <v>0</v>
      </c>
      <c r="AC321" t="s">
        <v>38</v>
      </c>
    </row>
    <row r="322" spans="1:29" x14ac:dyDescent="0.3">
      <c r="A322" t="s">
        <v>703</v>
      </c>
      <c r="B322" t="s">
        <v>704</v>
      </c>
      <c r="C322" t="s">
        <v>56</v>
      </c>
      <c r="D322" s="2">
        <v>990600</v>
      </c>
      <c r="E322" s="3">
        <v>0.1</v>
      </c>
      <c r="F322" s="2">
        <v>99060</v>
      </c>
      <c r="G322" s="2">
        <v>891540</v>
      </c>
      <c r="H322" s="3">
        <v>0.1041</v>
      </c>
      <c r="I322">
        <v>36</v>
      </c>
      <c r="J322" s="3">
        <v>8.6750000000000004E-3</v>
      </c>
      <c r="K322" s="2">
        <v>28939.408233339109</v>
      </c>
      <c r="L322" s="2">
        <v>1041818.696400208</v>
      </c>
      <c r="M322" s="2">
        <v>150278.69640020779</v>
      </c>
      <c r="N322" s="2">
        <v>8915.4</v>
      </c>
      <c r="O322" s="2">
        <v>173850.3</v>
      </c>
      <c r="P322" t="s">
        <v>32</v>
      </c>
      <c r="Q322" s="2">
        <v>0</v>
      </c>
      <c r="R322" s="2">
        <v>-14656.203599792179</v>
      </c>
      <c r="S322" t="s">
        <v>77</v>
      </c>
      <c r="T322" t="s">
        <v>47</v>
      </c>
      <c r="U322" t="s">
        <v>59</v>
      </c>
      <c r="V322" t="s">
        <v>36</v>
      </c>
      <c r="W322" t="s">
        <v>37</v>
      </c>
      <c r="X322" s="2">
        <v>159194.09640020781</v>
      </c>
      <c r="Y322" s="2">
        <v>173850.3</v>
      </c>
      <c r="Z322" s="2">
        <v>-14656.203599792179</v>
      </c>
      <c r="AA322" s="3">
        <v>-1.6439199138336111E-2</v>
      </c>
      <c r="AB322" s="3">
        <v>0</v>
      </c>
      <c r="AC322" t="s">
        <v>38</v>
      </c>
    </row>
    <row r="323" spans="1:29" x14ac:dyDescent="0.3">
      <c r="A323" t="s">
        <v>705</v>
      </c>
      <c r="B323" t="s">
        <v>706</v>
      </c>
      <c r="C323" t="s">
        <v>31</v>
      </c>
      <c r="D323" s="2">
        <v>70600</v>
      </c>
      <c r="E323" s="3">
        <v>0.15</v>
      </c>
      <c r="F323" s="2">
        <v>10590</v>
      </c>
      <c r="G323" s="2">
        <v>60010</v>
      </c>
      <c r="H323" s="3">
        <v>0.1787</v>
      </c>
      <c r="I323">
        <v>48</v>
      </c>
      <c r="J323" s="3">
        <v>1.4891666666666669E-2</v>
      </c>
      <c r="K323" s="2">
        <v>1758.7198234976081</v>
      </c>
      <c r="L323" s="2">
        <v>84418.551527885196</v>
      </c>
      <c r="M323" s="2">
        <v>24408.5515278852</v>
      </c>
      <c r="N323" s="2">
        <v>600.1</v>
      </c>
      <c r="O323" s="2">
        <v>15602.6</v>
      </c>
      <c r="P323" t="s">
        <v>32</v>
      </c>
      <c r="Q323" s="2">
        <v>0</v>
      </c>
      <c r="R323" s="2">
        <v>9406.0515278851944</v>
      </c>
      <c r="S323" t="s">
        <v>57</v>
      </c>
      <c r="T323" t="s">
        <v>58</v>
      </c>
      <c r="U323" t="s">
        <v>35</v>
      </c>
      <c r="V323" t="s">
        <v>63</v>
      </c>
      <c r="W323" t="s">
        <v>49</v>
      </c>
      <c r="X323" s="2">
        <v>25008.651527885191</v>
      </c>
      <c r="Y323" s="2">
        <v>15602.6</v>
      </c>
      <c r="Z323" s="2">
        <v>9406.0515278851944</v>
      </c>
      <c r="AA323" s="3">
        <v>0.1567414018977703</v>
      </c>
      <c r="AB323" s="3">
        <v>0</v>
      </c>
      <c r="AC323" t="s">
        <v>38</v>
      </c>
    </row>
    <row r="324" spans="1:29" x14ac:dyDescent="0.3">
      <c r="A324" t="s">
        <v>707</v>
      </c>
      <c r="B324" t="s">
        <v>708</v>
      </c>
      <c r="C324" t="s">
        <v>86</v>
      </c>
      <c r="D324" s="2">
        <v>37000</v>
      </c>
      <c r="E324" s="3">
        <v>0.15</v>
      </c>
      <c r="F324" s="2">
        <v>5550</v>
      </c>
      <c r="G324" s="2">
        <v>31450</v>
      </c>
      <c r="H324" s="3">
        <v>0.18090000000000001</v>
      </c>
      <c r="I324">
        <v>18</v>
      </c>
      <c r="J324" s="3">
        <v>1.5075E-2</v>
      </c>
      <c r="K324" s="2">
        <v>2008.041380368747</v>
      </c>
      <c r="L324" s="2">
        <v>36144.744846637448</v>
      </c>
      <c r="M324" s="2">
        <v>4694.7448466374481</v>
      </c>
      <c r="N324" s="2">
        <v>499</v>
      </c>
      <c r="O324" s="2">
        <v>3066.375</v>
      </c>
      <c r="P324" t="s">
        <v>32</v>
      </c>
      <c r="Q324" s="2">
        <v>0</v>
      </c>
      <c r="R324" s="2">
        <v>2127.3698466374481</v>
      </c>
      <c r="S324" t="s">
        <v>43</v>
      </c>
      <c r="T324" t="s">
        <v>116</v>
      </c>
      <c r="U324" t="s">
        <v>35</v>
      </c>
      <c r="V324" t="s">
        <v>63</v>
      </c>
      <c r="W324" t="s">
        <v>37</v>
      </c>
      <c r="X324" s="2">
        <v>5193.7448466374481</v>
      </c>
      <c r="Y324" s="2">
        <v>3066.375</v>
      </c>
      <c r="Z324" s="2">
        <v>2127.3698466374481</v>
      </c>
      <c r="AA324" s="3">
        <v>6.7642920401826651E-2</v>
      </c>
      <c r="AB324" s="3">
        <v>0</v>
      </c>
      <c r="AC324" t="s">
        <v>38</v>
      </c>
    </row>
    <row r="325" spans="1:29" x14ac:dyDescent="0.3">
      <c r="A325" t="s">
        <v>709</v>
      </c>
      <c r="B325" t="s">
        <v>710</v>
      </c>
      <c r="C325" t="s">
        <v>41</v>
      </c>
      <c r="D325" s="2">
        <v>82900</v>
      </c>
      <c r="E325" s="3">
        <v>0.2</v>
      </c>
      <c r="F325" s="2">
        <v>16580</v>
      </c>
      <c r="G325" s="2">
        <v>66320</v>
      </c>
      <c r="H325" s="3">
        <v>0.1744</v>
      </c>
      <c r="I325">
        <v>36</v>
      </c>
      <c r="J325" s="3">
        <v>1.453333333333333E-2</v>
      </c>
      <c r="K325" s="2">
        <v>2379.037201607433</v>
      </c>
      <c r="L325" s="2">
        <v>85645.339257867585</v>
      </c>
      <c r="M325" s="2">
        <v>19325.339257867581</v>
      </c>
      <c r="N325" s="2">
        <v>663.2</v>
      </c>
      <c r="O325" s="2">
        <v>12932.4</v>
      </c>
      <c r="P325" t="s">
        <v>52</v>
      </c>
      <c r="Q325" s="2">
        <v>0</v>
      </c>
      <c r="R325" s="2">
        <v>7056.1392578675841</v>
      </c>
      <c r="S325" t="s">
        <v>33</v>
      </c>
      <c r="T325" t="s">
        <v>116</v>
      </c>
      <c r="U325" t="s">
        <v>35</v>
      </c>
      <c r="V325" t="s">
        <v>63</v>
      </c>
      <c r="W325" t="s">
        <v>37</v>
      </c>
      <c r="X325" s="2">
        <v>19988.539257867589</v>
      </c>
      <c r="Y325" s="2">
        <v>12932.4</v>
      </c>
      <c r="Z325" s="2">
        <v>7056.1392578675841</v>
      </c>
      <c r="AA325" s="3">
        <v>0.106395344660247</v>
      </c>
      <c r="AB325" s="3">
        <v>0</v>
      </c>
      <c r="AC325" t="s">
        <v>38</v>
      </c>
    </row>
    <row r="326" spans="1:29" x14ac:dyDescent="0.3">
      <c r="A326" t="s">
        <v>711</v>
      </c>
      <c r="B326" t="s">
        <v>712</v>
      </c>
      <c r="C326" t="s">
        <v>86</v>
      </c>
      <c r="D326" s="2">
        <v>54600</v>
      </c>
      <c r="E326" s="3">
        <v>0.2</v>
      </c>
      <c r="F326" s="2">
        <v>10920</v>
      </c>
      <c r="G326" s="2">
        <v>43680</v>
      </c>
      <c r="H326" s="3">
        <v>0.21690000000000001</v>
      </c>
      <c r="I326">
        <v>3</v>
      </c>
      <c r="J326" s="3">
        <v>1.8075000000000001E-2</v>
      </c>
      <c r="K326" s="2">
        <v>15089.48673533333</v>
      </c>
      <c r="L326" s="2">
        <v>45268.460205999989</v>
      </c>
      <c r="M326" s="2">
        <v>1588.4602059999891</v>
      </c>
      <c r="N326" s="2">
        <v>499</v>
      </c>
      <c r="O326" s="2">
        <v>709.80000000000007</v>
      </c>
      <c r="P326" t="s">
        <v>52</v>
      </c>
      <c r="Q326" s="2">
        <v>0</v>
      </c>
      <c r="R326" s="2">
        <v>1377.6602059999891</v>
      </c>
      <c r="S326" t="s">
        <v>77</v>
      </c>
      <c r="T326" t="s">
        <v>53</v>
      </c>
      <c r="U326" t="s">
        <v>35</v>
      </c>
      <c r="V326" t="s">
        <v>63</v>
      </c>
      <c r="W326" t="s">
        <v>64</v>
      </c>
      <c r="X326" s="2">
        <v>2087.4602059999888</v>
      </c>
      <c r="Y326" s="2">
        <v>709.80000000000007</v>
      </c>
      <c r="Z326" s="2">
        <v>1377.6602059999891</v>
      </c>
      <c r="AA326" s="3">
        <v>3.1539839880952117E-2</v>
      </c>
      <c r="AB326" s="3">
        <v>0</v>
      </c>
      <c r="AC326" t="s">
        <v>38</v>
      </c>
    </row>
    <row r="327" spans="1:29" x14ac:dyDescent="0.3">
      <c r="A327" t="s">
        <v>713</v>
      </c>
      <c r="B327" t="s">
        <v>714</v>
      </c>
      <c r="C327" t="s">
        <v>41</v>
      </c>
      <c r="D327" s="2">
        <v>50900</v>
      </c>
      <c r="E327" s="3">
        <v>0</v>
      </c>
      <c r="F327" s="2">
        <v>0</v>
      </c>
      <c r="G327" s="2">
        <v>50900</v>
      </c>
      <c r="H327" s="3">
        <v>0.15859999999999999</v>
      </c>
      <c r="I327">
        <v>18</v>
      </c>
      <c r="J327" s="3">
        <v>1.321666666666667E-2</v>
      </c>
      <c r="K327" s="2">
        <v>3196.025104851919</v>
      </c>
      <c r="L327" s="2">
        <v>57528.451887334537</v>
      </c>
      <c r="M327" s="2">
        <v>6628.4518873345369</v>
      </c>
      <c r="N327" s="2">
        <v>509</v>
      </c>
      <c r="O327" s="2">
        <v>4962.75</v>
      </c>
      <c r="P327" t="s">
        <v>32</v>
      </c>
      <c r="Q327" s="2">
        <v>0</v>
      </c>
      <c r="R327" s="2">
        <v>2174.7018873345369</v>
      </c>
      <c r="S327" t="s">
        <v>57</v>
      </c>
      <c r="T327" t="s">
        <v>53</v>
      </c>
      <c r="U327" t="s">
        <v>35</v>
      </c>
      <c r="V327" t="s">
        <v>63</v>
      </c>
      <c r="W327" t="s">
        <v>37</v>
      </c>
      <c r="X327" s="2">
        <v>7137.4518873345369</v>
      </c>
      <c r="Y327" s="2">
        <v>4962.75</v>
      </c>
      <c r="Z327" s="2">
        <v>2174.7018873345369</v>
      </c>
      <c r="AA327" s="3">
        <v>4.2724987963350433E-2</v>
      </c>
      <c r="AB327" s="3">
        <v>0</v>
      </c>
      <c r="AC327" t="s">
        <v>38</v>
      </c>
    </row>
    <row r="328" spans="1:29" x14ac:dyDescent="0.3">
      <c r="A328" t="s">
        <v>715</v>
      </c>
      <c r="B328" t="s">
        <v>716</v>
      </c>
      <c r="C328" t="s">
        <v>86</v>
      </c>
      <c r="D328" s="2">
        <v>13000</v>
      </c>
      <c r="E328" s="3">
        <v>0.05</v>
      </c>
      <c r="F328" s="2">
        <v>650</v>
      </c>
      <c r="G328" s="2">
        <v>12350</v>
      </c>
      <c r="H328" s="3">
        <v>0.19689999999999999</v>
      </c>
      <c r="I328">
        <v>3</v>
      </c>
      <c r="J328" s="3">
        <v>1.640833333333333E-2</v>
      </c>
      <c r="K328" s="2">
        <v>4252.4948116870592</v>
      </c>
      <c r="L328" s="2">
        <v>12757.48443506118</v>
      </c>
      <c r="M328" s="2">
        <v>407.48443506117837</v>
      </c>
      <c r="N328" s="2">
        <v>499</v>
      </c>
      <c r="O328" s="2">
        <v>200.6875</v>
      </c>
      <c r="P328" t="s">
        <v>32</v>
      </c>
      <c r="Q328" s="2">
        <v>0</v>
      </c>
      <c r="R328" s="2">
        <v>705.79693506117837</v>
      </c>
      <c r="S328" t="s">
        <v>43</v>
      </c>
      <c r="T328" t="s">
        <v>44</v>
      </c>
      <c r="U328" t="s">
        <v>35</v>
      </c>
      <c r="V328" t="s">
        <v>63</v>
      </c>
      <c r="W328" t="s">
        <v>64</v>
      </c>
      <c r="X328" s="2">
        <v>906.48443506117837</v>
      </c>
      <c r="Y328" s="2">
        <v>200.6875</v>
      </c>
      <c r="Z328" s="2">
        <v>705.79693506117837</v>
      </c>
      <c r="AA328" s="3">
        <v>5.7149549397666262E-2</v>
      </c>
      <c r="AB328" s="3">
        <v>0</v>
      </c>
      <c r="AC328" t="s">
        <v>38</v>
      </c>
    </row>
    <row r="329" spans="1:29" x14ac:dyDescent="0.3">
      <c r="A329" t="s">
        <v>717</v>
      </c>
      <c r="B329" t="s">
        <v>718</v>
      </c>
      <c r="C329" t="s">
        <v>86</v>
      </c>
      <c r="D329" s="2">
        <v>27500</v>
      </c>
      <c r="E329" s="3">
        <v>0.1</v>
      </c>
      <c r="F329" s="2">
        <v>2750</v>
      </c>
      <c r="G329" s="2">
        <v>24750</v>
      </c>
      <c r="H329" s="3">
        <v>0.15279999999999999</v>
      </c>
      <c r="I329">
        <v>18</v>
      </c>
      <c r="J329" s="3">
        <v>1.2733333333333329E-2</v>
      </c>
      <c r="K329" s="2">
        <v>1547.2869050173681</v>
      </c>
      <c r="L329" s="2">
        <v>27851.16429031263</v>
      </c>
      <c r="M329" s="2">
        <v>3101.1642903126299</v>
      </c>
      <c r="N329" s="2">
        <v>499</v>
      </c>
      <c r="O329" s="2">
        <v>2413.125</v>
      </c>
      <c r="P329" t="s">
        <v>32</v>
      </c>
      <c r="Q329" s="2">
        <v>0</v>
      </c>
      <c r="R329" s="2">
        <v>1187.0392903126301</v>
      </c>
      <c r="S329" t="s">
        <v>43</v>
      </c>
      <c r="T329" t="s">
        <v>107</v>
      </c>
      <c r="U329" t="s">
        <v>35</v>
      </c>
      <c r="V329" t="s">
        <v>63</v>
      </c>
      <c r="W329" t="s">
        <v>37</v>
      </c>
      <c r="X329" s="2">
        <v>3600.1642903126299</v>
      </c>
      <c r="Y329" s="2">
        <v>2413.125</v>
      </c>
      <c r="Z329" s="2">
        <v>1187.0392903126301</v>
      </c>
      <c r="AA329" s="3">
        <v>4.7961183446974961E-2</v>
      </c>
      <c r="AB329" s="3">
        <v>0</v>
      </c>
      <c r="AC329" t="s">
        <v>38</v>
      </c>
    </row>
    <row r="330" spans="1:29" x14ac:dyDescent="0.3">
      <c r="A330" t="s">
        <v>719</v>
      </c>
      <c r="B330" t="s">
        <v>720</v>
      </c>
      <c r="C330" t="s">
        <v>31</v>
      </c>
      <c r="D330" s="2">
        <v>104700</v>
      </c>
      <c r="E330" s="3">
        <v>0.05</v>
      </c>
      <c r="F330" s="2">
        <v>5235</v>
      </c>
      <c r="G330" s="2">
        <v>99465</v>
      </c>
      <c r="H330" s="3">
        <v>0.15260000000000001</v>
      </c>
      <c r="I330">
        <v>48</v>
      </c>
      <c r="J330" s="3">
        <v>1.271666666666667E-2</v>
      </c>
      <c r="K330" s="2">
        <v>2781.3121339129721</v>
      </c>
      <c r="L330" s="2">
        <v>133502.9824278226</v>
      </c>
      <c r="M330" s="2">
        <v>34037.98242782263</v>
      </c>
      <c r="N330" s="2">
        <v>994.65</v>
      </c>
      <c r="O330" s="2">
        <v>25860.9</v>
      </c>
      <c r="P330" t="s">
        <v>32</v>
      </c>
      <c r="Q330" s="2">
        <v>0</v>
      </c>
      <c r="R330" s="2">
        <v>9171.7324278226297</v>
      </c>
      <c r="S330" t="s">
        <v>43</v>
      </c>
      <c r="T330" t="s">
        <v>116</v>
      </c>
      <c r="U330" t="s">
        <v>35</v>
      </c>
      <c r="V330" t="s">
        <v>63</v>
      </c>
      <c r="W330" t="s">
        <v>49</v>
      </c>
      <c r="X330" s="2">
        <v>35032.632427822631</v>
      </c>
      <c r="Y330" s="2">
        <v>25860.9</v>
      </c>
      <c r="Z330" s="2">
        <v>9171.7324278226297</v>
      </c>
      <c r="AA330" s="3">
        <v>9.221065126248057E-2</v>
      </c>
      <c r="AB330" s="3">
        <v>0</v>
      </c>
      <c r="AC330" t="s">
        <v>38</v>
      </c>
    </row>
    <row r="331" spans="1:29" x14ac:dyDescent="0.3">
      <c r="A331" t="s">
        <v>721</v>
      </c>
      <c r="B331" t="s">
        <v>722</v>
      </c>
      <c r="C331" t="s">
        <v>31</v>
      </c>
      <c r="D331" s="2">
        <v>153300</v>
      </c>
      <c r="E331" s="3">
        <v>0.15</v>
      </c>
      <c r="F331" s="2">
        <v>22995</v>
      </c>
      <c r="G331" s="2">
        <v>130305</v>
      </c>
      <c r="H331" s="3">
        <v>0.15640000000000001</v>
      </c>
      <c r="I331">
        <v>24</v>
      </c>
      <c r="J331" s="3">
        <v>1.3033333333333331E-2</v>
      </c>
      <c r="K331" s="2">
        <v>6357.7469149637845</v>
      </c>
      <c r="L331" s="2">
        <v>152585.92595913089</v>
      </c>
      <c r="M331" s="2">
        <v>22280.925959130869</v>
      </c>
      <c r="N331" s="2">
        <v>1303.05</v>
      </c>
      <c r="O331" s="2">
        <v>16939.650000000001</v>
      </c>
      <c r="P331" t="s">
        <v>32</v>
      </c>
      <c r="Q331" s="2">
        <v>0</v>
      </c>
      <c r="R331" s="2">
        <v>6644.3259591308633</v>
      </c>
      <c r="S331" t="s">
        <v>33</v>
      </c>
      <c r="T331" t="s">
        <v>34</v>
      </c>
      <c r="U331" t="s">
        <v>48</v>
      </c>
      <c r="V331" t="s">
        <v>63</v>
      </c>
      <c r="W331" t="s">
        <v>37</v>
      </c>
      <c r="X331" s="2">
        <v>23583.975959130861</v>
      </c>
      <c r="Y331" s="2">
        <v>16939.650000000001</v>
      </c>
      <c r="Z331" s="2">
        <v>6644.3259591308633</v>
      </c>
      <c r="AA331" s="3">
        <v>5.0990567968465239E-2</v>
      </c>
      <c r="AB331" s="3">
        <v>0</v>
      </c>
      <c r="AC331" t="s">
        <v>38</v>
      </c>
    </row>
    <row r="332" spans="1:29" x14ac:dyDescent="0.3">
      <c r="A332" t="s">
        <v>723</v>
      </c>
      <c r="B332" t="s">
        <v>724</v>
      </c>
      <c r="C332" t="s">
        <v>86</v>
      </c>
      <c r="D332" s="2">
        <v>105700</v>
      </c>
      <c r="E332" s="3">
        <v>0</v>
      </c>
      <c r="F332" s="2">
        <v>0</v>
      </c>
      <c r="G332" s="2">
        <v>105700</v>
      </c>
      <c r="H332" s="3">
        <v>0.155</v>
      </c>
      <c r="I332">
        <v>9</v>
      </c>
      <c r="J332" s="3">
        <v>1.291666666666667E-2</v>
      </c>
      <c r="K332" s="2">
        <v>12515.91622432133</v>
      </c>
      <c r="L332" s="2">
        <v>112643.24601889199</v>
      </c>
      <c r="M332" s="2">
        <v>6943.2460188919786</v>
      </c>
      <c r="N332" s="2">
        <v>1057</v>
      </c>
      <c r="O332" s="2">
        <v>5152.875</v>
      </c>
      <c r="P332" t="s">
        <v>32</v>
      </c>
      <c r="Q332" s="2">
        <v>0</v>
      </c>
      <c r="R332" s="2">
        <v>2847.371018891979</v>
      </c>
      <c r="S332" t="s">
        <v>77</v>
      </c>
      <c r="T332" t="s">
        <v>67</v>
      </c>
      <c r="U332" t="s">
        <v>48</v>
      </c>
      <c r="V332" t="s">
        <v>63</v>
      </c>
      <c r="W332" t="s">
        <v>64</v>
      </c>
      <c r="X332" s="2">
        <v>8000.2460188919786</v>
      </c>
      <c r="Y332" s="2">
        <v>5152.875</v>
      </c>
      <c r="Z332" s="2">
        <v>2847.371018891979</v>
      </c>
      <c r="AA332" s="3">
        <v>2.6938231020737741E-2</v>
      </c>
      <c r="AB332" s="3">
        <v>0</v>
      </c>
      <c r="AC332" t="s">
        <v>38</v>
      </c>
    </row>
    <row r="333" spans="1:29" x14ac:dyDescent="0.3">
      <c r="A333" t="s">
        <v>725</v>
      </c>
      <c r="B333" t="s">
        <v>726</v>
      </c>
      <c r="C333" t="s">
        <v>56</v>
      </c>
      <c r="D333" s="2">
        <v>980500</v>
      </c>
      <c r="E333" s="3">
        <v>0.25</v>
      </c>
      <c r="F333" s="2">
        <v>245125</v>
      </c>
      <c r="G333" s="2">
        <v>735375</v>
      </c>
      <c r="H333" s="3">
        <v>0.1042</v>
      </c>
      <c r="I333">
        <v>84</v>
      </c>
      <c r="J333" s="3">
        <v>8.6833333333333328E-3</v>
      </c>
      <c r="K333" s="2">
        <v>12368.273398817049</v>
      </c>
      <c r="L333" s="2">
        <v>1038934.965500632</v>
      </c>
      <c r="M333" s="2">
        <v>303559.96550063242</v>
      </c>
      <c r="N333" s="2">
        <v>7353.75</v>
      </c>
      <c r="O333" s="2">
        <v>334595.625</v>
      </c>
      <c r="P333" t="s">
        <v>32</v>
      </c>
      <c r="Q333" s="2">
        <v>0</v>
      </c>
      <c r="R333" s="2">
        <v>-23681.909499367579</v>
      </c>
      <c r="S333" t="s">
        <v>33</v>
      </c>
      <c r="T333" t="s">
        <v>53</v>
      </c>
      <c r="U333" t="s">
        <v>59</v>
      </c>
      <c r="V333" t="s">
        <v>36</v>
      </c>
      <c r="W333" t="s">
        <v>49</v>
      </c>
      <c r="X333" s="2">
        <v>310913.71550063242</v>
      </c>
      <c r="Y333" s="2">
        <v>334595.625</v>
      </c>
      <c r="Z333" s="2">
        <v>-23681.909499367579</v>
      </c>
      <c r="AA333" s="3">
        <v>-3.2203854495145449E-2</v>
      </c>
      <c r="AB333" s="3">
        <v>0</v>
      </c>
      <c r="AC333" t="s">
        <v>38</v>
      </c>
    </row>
    <row r="334" spans="1:29" x14ac:dyDescent="0.3">
      <c r="A334" t="s">
        <v>727</v>
      </c>
      <c r="B334" t="s">
        <v>728</v>
      </c>
      <c r="C334" t="s">
        <v>41</v>
      </c>
      <c r="D334" s="2">
        <v>82200</v>
      </c>
      <c r="E334" s="3">
        <v>0.1</v>
      </c>
      <c r="F334" s="2">
        <v>8220</v>
      </c>
      <c r="G334" s="2">
        <v>73980</v>
      </c>
      <c r="H334" s="3">
        <v>0.1338</v>
      </c>
      <c r="I334">
        <v>36</v>
      </c>
      <c r="J334" s="3">
        <v>1.115E-2</v>
      </c>
      <c r="K334" s="2">
        <v>2506.2407997868781</v>
      </c>
      <c r="L334" s="2">
        <v>90224.668792327604</v>
      </c>
      <c r="M334" s="2">
        <v>16244.6687923276</v>
      </c>
      <c r="N334" s="2">
        <v>739.80000000000007</v>
      </c>
      <c r="O334" s="2">
        <v>14426.1</v>
      </c>
      <c r="P334" t="s">
        <v>32</v>
      </c>
      <c r="Q334" s="2">
        <v>0</v>
      </c>
      <c r="R334" s="2">
        <v>2558.3687923276052</v>
      </c>
      <c r="S334" t="s">
        <v>33</v>
      </c>
      <c r="T334" t="s">
        <v>67</v>
      </c>
      <c r="U334" t="s">
        <v>35</v>
      </c>
      <c r="V334" t="s">
        <v>36</v>
      </c>
      <c r="W334" t="s">
        <v>37</v>
      </c>
      <c r="X334" s="2">
        <v>16984.4687923276</v>
      </c>
      <c r="Y334" s="2">
        <v>14426.1</v>
      </c>
      <c r="Z334" s="2">
        <v>2558.3687923276052</v>
      </c>
      <c r="AA334" s="3">
        <v>3.4581897706509927E-2</v>
      </c>
      <c r="AB334" s="3">
        <v>0</v>
      </c>
      <c r="AC334" t="s">
        <v>38</v>
      </c>
    </row>
    <row r="335" spans="1:29" x14ac:dyDescent="0.3">
      <c r="A335" t="s">
        <v>729</v>
      </c>
      <c r="B335" t="s">
        <v>730</v>
      </c>
      <c r="C335" t="s">
        <v>86</v>
      </c>
      <c r="D335" s="2">
        <v>21200</v>
      </c>
      <c r="E335" s="3">
        <v>0.05</v>
      </c>
      <c r="F335" s="2">
        <v>1060</v>
      </c>
      <c r="G335" s="2">
        <v>20140</v>
      </c>
      <c r="H335" s="3">
        <v>0.16439999999999999</v>
      </c>
      <c r="I335">
        <v>6</v>
      </c>
      <c r="J335" s="3">
        <v>1.37E-2</v>
      </c>
      <c r="K335" s="2">
        <v>3519.4436888876799</v>
      </c>
      <c r="L335" s="2">
        <v>21116.662133326081</v>
      </c>
      <c r="M335" s="2">
        <v>976.66213332608095</v>
      </c>
      <c r="N335" s="2">
        <v>499</v>
      </c>
      <c r="O335" s="2">
        <v>654.55000000000007</v>
      </c>
      <c r="P335" t="s">
        <v>32</v>
      </c>
      <c r="Q335" s="2">
        <v>0</v>
      </c>
      <c r="R335" s="2">
        <v>821.11213332608088</v>
      </c>
      <c r="S335" t="s">
        <v>57</v>
      </c>
      <c r="T335" t="s">
        <v>107</v>
      </c>
      <c r="U335" t="s">
        <v>35</v>
      </c>
      <c r="V335" t="s">
        <v>63</v>
      </c>
      <c r="W335" t="s">
        <v>64</v>
      </c>
      <c r="X335" s="2">
        <v>1475.6621333260809</v>
      </c>
      <c r="Y335" s="2">
        <v>654.55000000000007</v>
      </c>
      <c r="Z335" s="2">
        <v>821.11213332608088</v>
      </c>
      <c r="AA335" s="3">
        <v>4.0770215160182761E-2</v>
      </c>
      <c r="AB335" s="3">
        <v>0</v>
      </c>
      <c r="AC335" t="s">
        <v>38</v>
      </c>
    </row>
    <row r="336" spans="1:29" x14ac:dyDescent="0.3">
      <c r="A336" t="s">
        <v>731</v>
      </c>
      <c r="B336" t="s">
        <v>732</v>
      </c>
      <c r="C336" t="s">
        <v>31</v>
      </c>
      <c r="D336" s="2">
        <v>198000</v>
      </c>
      <c r="E336" s="3">
        <v>0.25</v>
      </c>
      <c r="F336" s="2">
        <v>49500</v>
      </c>
      <c r="G336" s="2">
        <v>148500</v>
      </c>
      <c r="H336" s="3">
        <v>0.1338</v>
      </c>
      <c r="I336">
        <v>48</v>
      </c>
      <c r="J336" s="3">
        <v>1.115E-2</v>
      </c>
      <c r="K336" s="2">
        <v>4011.9477771414372</v>
      </c>
      <c r="L336" s="2">
        <v>192573.49330278899</v>
      </c>
      <c r="M336" s="2">
        <v>44073.493302788993</v>
      </c>
      <c r="N336" s="2">
        <v>1485</v>
      </c>
      <c r="O336" s="2">
        <v>38610</v>
      </c>
      <c r="P336" t="s">
        <v>32</v>
      </c>
      <c r="Q336" s="2">
        <v>0</v>
      </c>
      <c r="R336" s="2">
        <v>6948.4933027889929</v>
      </c>
      <c r="S336" t="s">
        <v>43</v>
      </c>
      <c r="T336" t="s">
        <v>70</v>
      </c>
      <c r="U336" t="s">
        <v>48</v>
      </c>
      <c r="V336" t="s">
        <v>36</v>
      </c>
      <c r="W336" t="s">
        <v>49</v>
      </c>
      <c r="X336" s="2">
        <v>45558.493302788993</v>
      </c>
      <c r="Y336" s="2">
        <v>38610</v>
      </c>
      <c r="Z336" s="2">
        <v>6948.4933027889929</v>
      </c>
      <c r="AA336" s="3">
        <v>4.6791200692181768E-2</v>
      </c>
      <c r="AB336" s="3">
        <v>0</v>
      </c>
      <c r="AC336" t="s">
        <v>38</v>
      </c>
    </row>
    <row r="337" spans="1:29" x14ac:dyDescent="0.3">
      <c r="A337" t="s">
        <v>733</v>
      </c>
      <c r="B337" t="s">
        <v>734</v>
      </c>
      <c r="C337" t="s">
        <v>86</v>
      </c>
      <c r="D337" s="2">
        <v>40300</v>
      </c>
      <c r="E337" s="3">
        <v>0.15</v>
      </c>
      <c r="F337" s="2">
        <v>6045</v>
      </c>
      <c r="G337" s="2">
        <v>34255</v>
      </c>
      <c r="H337" s="3">
        <v>0.155</v>
      </c>
      <c r="I337">
        <v>12</v>
      </c>
      <c r="J337" s="3">
        <v>1.291666666666667E-2</v>
      </c>
      <c r="K337" s="2">
        <v>3099.8862332285571</v>
      </c>
      <c r="L337" s="2">
        <v>37198.634798742678</v>
      </c>
      <c r="M337" s="2">
        <v>2943.634798742678</v>
      </c>
      <c r="N337" s="2">
        <v>499</v>
      </c>
      <c r="O337" s="2">
        <v>2226.5749999999998</v>
      </c>
      <c r="P337" t="s">
        <v>42</v>
      </c>
      <c r="Q337" s="2">
        <v>13702</v>
      </c>
      <c r="R337" s="2">
        <v>-12485.940201257319</v>
      </c>
      <c r="S337" t="s">
        <v>77</v>
      </c>
      <c r="T337" t="s">
        <v>62</v>
      </c>
      <c r="U337" t="s">
        <v>35</v>
      </c>
      <c r="V337" t="s">
        <v>63</v>
      </c>
      <c r="W337" t="s">
        <v>64</v>
      </c>
      <c r="X337" s="2">
        <v>3442.634798742678</v>
      </c>
      <c r="Y337" s="2">
        <v>15928.575000000001</v>
      </c>
      <c r="Z337" s="2">
        <v>-12485.940201257319</v>
      </c>
      <c r="AA337" s="3">
        <v>-0.36449978692912932</v>
      </c>
      <c r="AB337" s="3">
        <v>0.4</v>
      </c>
      <c r="AC337" t="s">
        <v>38</v>
      </c>
    </row>
    <row r="338" spans="1:29" x14ac:dyDescent="0.3">
      <c r="A338" t="s">
        <v>735</v>
      </c>
      <c r="B338" t="s">
        <v>736</v>
      </c>
      <c r="C338" t="s">
        <v>41</v>
      </c>
      <c r="D338" s="2">
        <v>49400</v>
      </c>
      <c r="E338" s="3">
        <v>0.2</v>
      </c>
      <c r="F338" s="2">
        <v>9880</v>
      </c>
      <c r="G338" s="2">
        <v>39520</v>
      </c>
      <c r="H338" s="3">
        <v>0.1507</v>
      </c>
      <c r="I338">
        <v>24</v>
      </c>
      <c r="J338" s="3">
        <v>1.2558333333333329E-2</v>
      </c>
      <c r="K338" s="2">
        <v>1917.5069493322401</v>
      </c>
      <c r="L338" s="2">
        <v>46020.166783973757</v>
      </c>
      <c r="M338" s="2">
        <v>6500.1667839737574</v>
      </c>
      <c r="N338" s="2">
        <v>499</v>
      </c>
      <c r="O338" s="2">
        <v>5137.6000000000004</v>
      </c>
      <c r="P338" t="s">
        <v>32</v>
      </c>
      <c r="Q338" s="2">
        <v>0</v>
      </c>
      <c r="R338" s="2">
        <v>1861.5667839737559</v>
      </c>
      <c r="S338" t="s">
        <v>57</v>
      </c>
      <c r="T338" t="s">
        <v>67</v>
      </c>
      <c r="U338" t="s">
        <v>35</v>
      </c>
      <c r="V338" t="s">
        <v>63</v>
      </c>
      <c r="W338" t="s">
        <v>37</v>
      </c>
      <c r="X338" s="2">
        <v>6999.1667839737574</v>
      </c>
      <c r="Y338" s="2">
        <v>5137.6000000000004</v>
      </c>
      <c r="Z338" s="2">
        <v>1861.5667839737559</v>
      </c>
      <c r="AA338" s="3">
        <v>4.7104422671400713E-2</v>
      </c>
      <c r="AB338" s="3">
        <v>0</v>
      </c>
      <c r="AC338" t="s">
        <v>38</v>
      </c>
    </row>
    <row r="339" spans="1:29" x14ac:dyDescent="0.3">
      <c r="A339" t="s">
        <v>737</v>
      </c>
      <c r="B339" t="s">
        <v>738</v>
      </c>
      <c r="C339" t="s">
        <v>41</v>
      </c>
      <c r="D339" s="2">
        <v>113800</v>
      </c>
      <c r="E339" s="3">
        <v>0</v>
      </c>
      <c r="F339" s="2">
        <v>0</v>
      </c>
      <c r="G339" s="2">
        <v>113800</v>
      </c>
      <c r="H339" s="3">
        <v>0.1555</v>
      </c>
      <c r="I339">
        <v>9</v>
      </c>
      <c r="J339" s="3">
        <v>1.295833333333333E-2</v>
      </c>
      <c r="K339" s="2">
        <v>13477.759861054959</v>
      </c>
      <c r="L339" s="2">
        <v>121299.83874949469</v>
      </c>
      <c r="M339" s="2">
        <v>7499.8387494946664</v>
      </c>
      <c r="N339" s="2">
        <v>1138</v>
      </c>
      <c r="O339" s="2">
        <v>5547.75</v>
      </c>
      <c r="P339" t="s">
        <v>32</v>
      </c>
      <c r="Q339" s="2">
        <v>0</v>
      </c>
      <c r="R339" s="2">
        <v>3090.088749494666</v>
      </c>
      <c r="S339" t="s">
        <v>43</v>
      </c>
      <c r="T339" t="s">
        <v>204</v>
      </c>
      <c r="U339" t="s">
        <v>48</v>
      </c>
      <c r="V339" t="s">
        <v>63</v>
      </c>
      <c r="W339" t="s">
        <v>64</v>
      </c>
      <c r="X339" s="2">
        <v>8637.8387494946655</v>
      </c>
      <c r="Y339" s="2">
        <v>5547.75</v>
      </c>
      <c r="Z339" s="2">
        <v>3090.088749494666</v>
      </c>
      <c r="AA339" s="3">
        <v>2.7153679696789682E-2</v>
      </c>
      <c r="AB339" s="3">
        <v>0</v>
      </c>
      <c r="AC339" t="s">
        <v>38</v>
      </c>
    </row>
    <row r="340" spans="1:29" x14ac:dyDescent="0.3">
      <c r="A340" t="s">
        <v>739</v>
      </c>
      <c r="B340" t="s">
        <v>740</v>
      </c>
      <c r="C340" t="s">
        <v>86</v>
      </c>
      <c r="D340" s="2">
        <v>33200</v>
      </c>
      <c r="E340" s="3">
        <v>0.15</v>
      </c>
      <c r="F340" s="2">
        <v>4980</v>
      </c>
      <c r="G340" s="2">
        <v>28220</v>
      </c>
      <c r="H340" s="3">
        <v>0.16309999999999999</v>
      </c>
      <c r="I340">
        <v>12</v>
      </c>
      <c r="J340" s="3">
        <v>1.359166666666667E-2</v>
      </c>
      <c r="K340" s="2">
        <v>2564.566462380094</v>
      </c>
      <c r="L340" s="2">
        <v>30774.79754856112</v>
      </c>
      <c r="M340" s="2">
        <v>2554.7975485611241</v>
      </c>
      <c r="N340" s="2">
        <v>499</v>
      </c>
      <c r="O340" s="2">
        <v>1834.3</v>
      </c>
      <c r="P340" t="s">
        <v>32</v>
      </c>
      <c r="Q340" s="2">
        <v>0</v>
      </c>
      <c r="R340" s="2">
        <v>1219.4975485611239</v>
      </c>
      <c r="S340" t="s">
        <v>57</v>
      </c>
      <c r="T340" t="s">
        <v>70</v>
      </c>
      <c r="U340" t="s">
        <v>35</v>
      </c>
      <c r="V340" t="s">
        <v>63</v>
      </c>
      <c r="W340" t="s">
        <v>64</v>
      </c>
      <c r="X340" s="2">
        <v>3053.7975485611241</v>
      </c>
      <c r="Y340" s="2">
        <v>1834.3</v>
      </c>
      <c r="Z340" s="2">
        <v>1219.4975485611239</v>
      </c>
      <c r="AA340" s="3">
        <v>4.3213945732144723E-2</v>
      </c>
      <c r="AB340" s="3">
        <v>0</v>
      </c>
      <c r="AC340" t="s">
        <v>38</v>
      </c>
    </row>
    <row r="341" spans="1:29" x14ac:dyDescent="0.3">
      <c r="A341" t="s">
        <v>741</v>
      </c>
      <c r="B341" t="s">
        <v>742</v>
      </c>
      <c r="C341" t="s">
        <v>41</v>
      </c>
      <c r="D341" s="2">
        <v>96600</v>
      </c>
      <c r="E341" s="3">
        <v>0.1</v>
      </c>
      <c r="F341" s="2">
        <v>9660</v>
      </c>
      <c r="G341" s="2">
        <v>86940</v>
      </c>
      <c r="H341" s="3">
        <v>0.1414</v>
      </c>
      <c r="I341">
        <v>24</v>
      </c>
      <c r="J341" s="3">
        <v>1.178333333333333E-2</v>
      </c>
      <c r="K341" s="2">
        <v>4179.9924066197609</v>
      </c>
      <c r="L341" s="2">
        <v>100319.8177588743</v>
      </c>
      <c r="M341" s="2">
        <v>13379.817758874269</v>
      </c>
      <c r="N341" s="2">
        <v>869.4</v>
      </c>
      <c r="O341" s="2">
        <v>11302.2</v>
      </c>
      <c r="P341" t="s">
        <v>32</v>
      </c>
      <c r="Q341" s="2">
        <v>0</v>
      </c>
      <c r="R341" s="2">
        <v>2947.0177588742681</v>
      </c>
      <c r="S341" t="s">
        <v>33</v>
      </c>
      <c r="T341" t="s">
        <v>44</v>
      </c>
      <c r="U341" t="s">
        <v>35</v>
      </c>
      <c r="V341" t="s">
        <v>36</v>
      </c>
      <c r="W341" t="s">
        <v>37</v>
      </c>
      <c r="X341" s="2">
        <v>14249.217758874271</v>
      </c>
      <c r="Y341" s="2">
        <v>11302.2</v>
      </c>
      <c r="Z341" s="2">
        <v>2947.0177588742681</v>
      </c>
      <c r="AA341" s="3">
        <v>3.3897144684544148E-2</v>
      </c>
      <c r="AB341" s="3">
        <v>0</v>
      </c>
      <c r="AC341" t="s">
        <v>38</v>
      </c>
    </row>
    <row r="342" spans="1:29" x14ac:dyDescent="0.3">
      <c r="A342" t="s">
        <v>743</v>
      </c>
      <c r="B342" t="s">
        <v>744</v>
      </c>
      <c r="C342" t="s">
        <v>41</v>
      </c>
      <c r="D342" s="2">
        <v>52300</v>
      </c>
      <c r="E342" s="3">
        <v>0.05</v>
      </c>
      <c r="F342" s="2">
        <v>2615</v>
      </c>
      <c r="G342" s="2">
        <v>49685</v>
      </c>
      <c r="H342" s="3">
        <v>0.154</v>
      </c>
      <c r="I342">
        <v>36</v>
      </c>
      <c r="J342" s="3">
        <v>1.283333333333333E-2</v>
      </c>
      <c r="K342" s="2">
        <v>1732.0951426572351</v>
      </c>
      <c r="L342" s="2">
        <v>62355.425135660473</v>
      </c>
      <c r="M342" s="2">
        <v>12670.425135660469</v>
      </c>
      <c r="N342" s="2">
        <v>499</v>
      </c>
      <c r="O342" s="2">
        <v>9688.5750000000007</v>
      </c>
      <c r="P342" t="s">
        <v>52</v>
      </c>
      <c r="Q342" s="2">
        <v>0</v>
      </c>
      <c r="R342" s="2">
        <v>3480.850135660472</v>
      </c>
      <c r="S342" t="s">
        <v>33</v>
      </c>
      <c r="T342" t="s">
        <v>116</v>
      </c>
      <c r="U342" t="s">
        <v>35</v>
      </c>
      <c r="V342" t="s">
        <v>63</v>
      </c>
      <c r="W342" t="s">
        <v>37</v>
      </c>
      <c r="X342" s="2">
        <v>13169.425135660469</v>
      </c>
      <c r="Y342" s="2">
        <v>9688.5750000000007</v>
      </c>
      <c r="Z342" s="2">
        <v>3480.850135660472</v>
      </c>
      <c r="AA342" s="3">
        <v>7.0058370447025703E-2</v>
      </c>
      <c r="AB342" s="3">
        <v>0</v>
      </c>
      <c r="AC342" t="s">
        <v>38</v>
      </c>
    </row>
    <row r="343" spans="1:29" x14ac:dyDescent="0.3">
      <c r="A343" t="s">
        <v>745</v>
      </c>
      <c r="B343" t="s">
        <v>746</v>
      </c>
      <c r="C343" t="s">
        <v>86</v>
      </c>
      <c r="D343" s="2">
        <v>104600</v>
      </c>
      <c r="E343" s="3">
        <v>0</v>
      </c>
      <c r="F343" s="2">
        <v>0</v>
      </c>
      <c r="G343" s="2">
        <v>104600</v>
      </c>
      <c r="H343" s="3">
        <v>0.14699999999999999</v>
      </c>
      <c r="I343">
        <v>3</v>
      </c>
      <c r="J343" s="3">
        <v>1.225E-2</v>
      </c>
      <c r="K343" s="2">
        <v>35724.366841947864</v>
      </c>
      <c r="L343" s="2">
        <v>107173.10052584361</v>
      </c>
      <c r="M343" s="2">
        <v>2573.1005258435621</v>
      </c>
      <c r="N343" s="2">
        <v>1046</v>
      </c>
      <c r="O343" s="2">
        <v>1699.75</v>
      </c>
      <c r="P343" t="s">
        <v>52</v>
      </c>
      <c r="Q343" s="2">
        <v>0</v>
      </c>
      <c r="R343" s="2">
        <v>1919.3505258435621</v>
      </c>
      <c r="S343" t="s">
        <v>77</v>
      </c>
      <c r="T343" t="s">
        <v>44</v>
      </c>
      <c r="U343" t="s">
        <v>48</v>
      </c>
      <c r="V343" t="s">
        <v>36</v>
      </c>
      <c r="W343" t="s">
        <v>64</v>
      </c>
      <c r="X343" s="2">
        <v>3619.1005258435621</v>
      </c>
      <c r="Y343" s="2">
        <v>1699.75</v>
      </c>
      <c r="Z343" s="2">
        <v>1919.3505258435621</v>
      </c>
      <c r="AA343" s="3">
        <v>1.8349431413418368E-2</v>
      </c>
      <c r="AB343" s="3">
        <v>0</v>
      </c>
      <c r="AC343" t="s">
        <v>38</v>
      </c>
    </row>
    <row r="344" spans="1:29" x14ac:dyDescent="0.3">
      <c r="A344" t="s">
        <v>747</v>
      </c>
      <c r="B344" t="s">
        <v>748</v>
      </c>
      <c r="C344" t="s">
        <v>31</v>
      </c>
      <c r="D344" s="2">
        <v>162800</v>
      </c>
      <c r="E344" s="3">
        <v>0.1</v>
      </c>
      <c r="F344" s="2">
        <v>16280</v>
      </c>
      <c r="G344" s="2">
        <v>146520</v>
      </c>
      <c r="H344" s="3">
        <v>0.14929999999999999</v>
      </c>
      <c r="I344">
        <v>24</v>
      </c>
      <c r="J344" s="3">
        <v>1.244166666666667E-2</v>
      </c>
      <c r="K344" s="2">
        <v>7099.391673808178</v>
      </c>
      <c r="L344" s="2">
        <v>170385.40017139629</v>
      </c>
      <c r="M344" s="2">
        <v>23865.400171396261</v>
      </c>
      <c r="N344" s="2">
        <v>1465.2</v>
      </c>
      <c r="O344" s="2">
        <v>19047.599999999999</v>
      </c>
      <c r="P344" t="s">
        <v>32</v>
      </c>
      <c r="Q344" s="2">
        <v>0</v>
      </c>
      <c r="R344" s="2">
        <v>6283.0001713962629</v>
      </c>
      <c r="S344" t="s">
        <v>77</v>
      </c>
      <c r="T344" t="s">
        <v>70</v>
      </c>
      <c r="U344" t="s">
        <v>48</v>
      </c>
      <c r="V344" t="s">
        <v>36</v>
      </c>
      <c r="W344" t="s">
        <v>37</v>
      </c>
      <c r="X344" s="2">
        <v>25330.600171396269</v>
      </c>
      <c r="Y344" s="2">
        <v>19047.599999999999</v>
      </c>
      <c r="Z344" s="2">
        <v>6283.0001713962629</v>
      </c>
      <c r="AA344" s="3">
        <v>4.2881519051298549E-2</v>
      </c>
      <c r="AB344" s="3">
        <v>0</v>
      </c>
      <c r="AC344" t="s">
        <v>38</v>
      </c>
    </row>
    <row r="345" spans="1:29" x14ac:dyDescent="0.3">
      <c r="A345" t="s">
        <v>749</v>
      </c>
      <c r="B345" t="s">
        <v>750</v>
      </c>
      <c r="C345" t="s">
        <v>86</v>
      </c>
      <c r="D345" s="2">
        <v>68300</v>
      </c>
      <c r="E345" s="3">
        <v>0.05</v>
      </c>
      <c r="F345" s="2">
        <v>3415</v>
      </c>
      <c r="G345" s="2">
        <v>64885</v>
      </c>
      <c r="H345" s="3">
        <v>0.16589999999999999</v>
      </c>
      <c r="I345">
        <v>24</v>
      </c>
      <c r="J345" s="3">
        <v>1.3825E-2</v>
      </c>
      <c r="K345" s="2">
        <v>3195.2933633250932</v>
      </c>
      <c r="L345" s="2">
        <v>76687.040719802229</v>
      </c>
      <c r="M345" s="2">
        <v>11802.040719802229</v>
      </c>
      <c r="N345" s="2">
        <v>648.85</v>
      </c>
      <c r="O345" s="2">
        <v>8435.0500000000011</v>
      </c>
      <c r="P345" t="s">
        <v>52</v>
      </c>
      <c r="Q345" s="2">
        <v>0</v>
      </c>
      <c r="R345" s="2">
        <v>4015.8407198022292</v>
      </c>
      <c r="S345" t="s">
        <v>77</v>
      </c>
      <c r="T345" t="s">
        <v>70</v>
      </c>
      <c r="U345" t="s">
        <v>35</v>
      </c>
      <c r="V345" t="s">
        <v>63</v>
      </c>
      <c r="W345" t="s">
        <v>37</v>
      </c>
      <c r="X345" s="2">
        <v>12450.89071980223</v>
      </c>
      <c r="Y345" s="2">
        <v>8435.0500000000011</v>
      </c>
      <c r="Z345" s="2">
        <v>4015.8407198022292</v>
      </c>
      <c r="AA345" s="3">
        <v>6.1891665559100389E-2</v>
      </c>
      <c r="AB345" s="3">
        <v>0</v>
      </c>
      <c r="AC345" t="s">
        <v>38</v>
      </c>
    </row>
    <row r="346" spans="1:29" x14ac:dyDescent="0.3">
      <c r="A346" t="s">
        <v>751</v>
      </c>
      <c r="B346" t="s">
        <v>752</v>
      </c>
      <c r="C346" t="s">
        <v>56</v>
      </c>
      <c r="D346" s="2">
        <v>1147200</v>
      </c>
      <c r="E346" s="3">
        <v>0.1</v>
      </c>
      <c r="F346" s="2">
        <v>114720</v>
      </c>
      <c r="G346" s="2">
        <v>1032480</v>
      </c>
      <c r="H346" s="3">
        <v>8.7900000000000006E-2</v>
      </c>
      <c r="I346">
        <v>72</v>
      </c>
      <c r="J346" s="3">
        <v>7.3250000000000008E-3</v>
      </c>
      <c r="K346" s="2">
        <v>18503.57888609383</v>
      </c>
      <c r="L346" s="2">
        <v>1332257.679798756</v>
      </c>
      <c r="M346" s="2">
        <v>299777.67979875603</v>
      </c>
      <c r="N346" s="2">
        <v>10324.799999999999</v>
      </c>
      <c r="O346" s="2">
        <v>402667.2</v>
      </c>
      <c r="P346" t="s">
        <v>32</v>
      </c>
      <c r="Q346" s="2">
        <v>0</v>
      </c>
      <c r="R346" s="2">
        <v>-92564.720201243937</v>
      </c>
      <c r="S346" t="s">
        <v>43</v>
      </c>
      <c r="T346" t="s">
        <v>44</v>
      </c>
      <c r="U346" t="s">
        <v>59</v>
      </c>
      <c r="V346" t="s">
        <v>71</v>
      </c>
      <c r="W346" t="s">
        <v>49</v>
      </c>
      <c r="X346" s="2">
        <v>310102.47979875602</v>
      </c>
      <c r="Y346" s="2">
        <v>402667.2</v>
      </c>
      <c r="Z346" s="2">
        <v>-92564.720201243937</v>
      </c>
      <c r="AA346" s="3">
        <v>-8.96527973435262E-2</v>
      </c>
      <c r="AB346" s="3">
        <v>0</v>
      </c>
      <c r="AC346" t="s">
        <v>38</v>
      </c>
    </row>
    <row r="347" spans="1:29" x14ac:dyDescent="0.3">
      <c r="A347" t="s">
        <v>753</v>
      </c>
      <c r="B347" t="s">
        <v>754</v>
      </c>
      <c r="C347" t="s">
        <v>56</v>
      </c>
      <c r="D347" s="2">
        <v>674600</v>
      </c>
      <c r="E347" s="3">
        <v>0.25</v>
      </c>
      <c r="F347" s="2">
        <v>168650</v>
      </c>
      <c r="G347" s="2">
        <v>505950</v>
      </c>
      <c r="H347" s="3">
        <v>0.10630000000000001</v>
      </c>
      <c r="I347">
        <v>48</v>
      </c>
      <c r="J347" s="3">
        <v>8.8583333333333344E-3</v>
      </c>
      <c r="K347" s="2">
        <v>12985.8176754548</v>
      </c>
      <c r="L347" s="2">
        <v>623319.24842183047</v>
      </c>
      <c r="M347" s="2">
        <v>117369.2484218305</v>
      </c>
      <c r="N347" s="2">
        <v>5059.5</v>
      </c>
      <c r="O347" s="2">
        <v>131547</v>
      </c>
      <c r="P347" t="s">
        <v>32</v>
      </c>
      <c r="Q347" s="2">
        <v>0</v>
      </c>
      <c r="R347" s="2">
        <v>-9118.2515781695256</v>
      </c>
      <c r="S347" t="s">
        <v>77</v>
      </c>
      <c r="T347" t="s">
        <v>67</v>
      </c>
      <c r="U347" t="s">
        <v>59</v>
      </c>
      <c r="V347" t="s">
        <v>36</v>
      </c>
      <c r="W347" t="s">
        <v>49</v>
      </c>
      <c r="X347" s="2">
        <v>122428.7484218305</v>
      </c>
      <c r="Y347" s="2">
        <v>131547</v>
      </c>
      <c r="Z347" s="2">
        <v>-9118.2515781695256</v>
      </c>
      <c r="AA347" s="3">
        <v>-1.8022040869986211E-2</v>
      </c>
      <c r="AB347" s="3">
        <v>0</v>
      </c>
      <c r="AC347" t="s">
        <v>38</v>
      </c>
    </row>
    <row r="348" spans="1:29" x14ac:dyDescent="0.3">
      <c r="A348" t="s">
        <v>755</v>
      </c>
      <c r="B348" t="s">
        <v>756</v>
      </c>
      <c r="C348" t="s">
        <v>41</v>
      </c>
      <c r="D348" s="2">
        <v>81500</v>
      </c>
      <c r="E348" s="3">
        <v>0.15</v>
      </c>
      <c r="F348" s="2">
        <v>12225</v>
      </c>
      <c r="G348" s="2">
        <v>69275</v>
      </c>
      <c r="H348" s="3">
        <v>0.17069999999999999</v>
      </c>
      <c r="I348">
        <v>6</v>
      </c>
      <c r="J348" s="3">
        <v>1.4225E-2</v>
      </c>
      <c r="K348" s="2">
        <v>12127.436894243439</v>
      </c>
      <c r="L348" s="2">
        <v>72764.621365460654</v>
      </c>
      <c r="M348" s="2">
        <v>3489.621365460654</v>
      </c>
      <c r="N348" s="2">
        <v>692.75</v>
      </c>
      <c r="O348" s="2">
        <v>2251.4375</v>
      </c>
      <c r="P348" t="s">
        <v>32</v>
      </c>
      <c r="Q348" s="2">
        <v>0</v>
      </c>
      <c r="R348" s="2">
        <v>1930.933865460654</v>
      </c>
      <c r="S348" t="s">
        <v>77</v>
      </c>
      <c r="T348" t="s">
        <v>44</v>
      </c>
      <c r="U348" t="s">
        <v>35</v>
      </c>
      <c r="V348" t="s">
        <v>63</v>
      </c>
      <c r="W348" t="s">
        <v>64</v>
      </c>
      <c r="X348" s="2">
        <v>4182.3713654606536</v>
      </c>
      <c r="Y348" s="2">
        <v>2251.4375</v>
      </c>
      <c r="Z348" s="2">
        <v>1930.933865460654</v>
      </c>
      <c r="AA348" s="3">
        <v>2.787345890235517E-2</v>
      </c>
      <c r="AB348" s="3">
        <v>0</v>
      </c>
      <c r="AC348" t="s">
        <v>38</v>
      </c>
    </row>
    <row r="349" spans="1:29" x14ac:dyDescent="0.3">
      <c r="A349" t="s">
        <v>757</v>
      </c>
      <c r="B349" t="s">
        <v>758</v>
      </c>
      <c r="C349" t="s">
        <v>56</v>
      </c>
      <c r="D349" s="2">
        <v>806000</v>
      </c>
      <c r="E349" s="3">
        <v>0.3</v>
      </c>
      <c r="F349" s="2">
        <v>241800</v>
      </c>
      <c r="G349" s="2">
        <v>564200</v>
      </c>
      <c r="H349" s="3">
        <v>0.1135</v>
      </c>
      <c r="I349">
        <v>60</v>
      </c>
      <c r="J349" s="3">
        <v>9.4583333333333342E-3</v>
      </c>
      <c r="K349" s="2">
        <v>12365.784636644659</v>
      </c>
      <c r="L349" s="2">
        <v>741947.07819867984</v>
      </c>
      <c r="M349" s="2">
        <v>177747.07819867981</v>
      </c>
      <c r="N349" s="2">
        <v>5642</v>
      </c>
      <c r="O349" s="2">
        <v>183365</v>
      </c>
      <c r="P349" t="s">
        <v>42</v>
      </c>
      <c r="Q349" s="2">
        <v>225680</v>
      </c>
      <c r="R349" s="2">
        <v>-225655.92180132019</v>
      </c>
      <c r="S349" t="s">
        <v>33</v>
      </c>
      <c r="T349" t="s">
        <v>44</v>
      </c>
      <c r="U349" t="s">
        <v>59</v>
      </c>
      <c r="V349" t="s">
        <v>36</v>
      </c>
      <c r="W349" t="s">
        <v>49</v>
      </c>
      <c r="X349" s="2">
        <v>183389.07819867981</v>
      </c>
      <c r="Y349" s="2">
        <v>409045</v>
      </c>
      <c r="Z349" s="2">
        <v>-225655.92180132019</v>
      </c>
      <c r="AA349" s="3">
        <v>-0.39995732329195349</v>
      </c>
      <c r="AB349" s="3">
        <v>0.4</v>
      </c>
      <c r="AC349" t="s">
        <v>38</v>
      </c>
    </row>
    <row r="350" spans="1:29" x14ac:dyDescent="0.3">
      <c r="A350" t="s">
        <v>759</v>
      </c>
      <c r="B350" t="s">
        <v>760</v>
      </c>
      <c r="C350" t="s">
        <v>56</v>
      </c>
      <c r="D350" s="2">
        <v>1098300</v>
      </c>
      <c r="E350" s="3">
        <v>0.3</v>
      </c>
      <c r="F350" s="2">
        <v>329490</v>
      </c>
      <c r="G350" s="2">
        <v>768810</v>
      </c>
      <c r="H350" s="3">
        <v>0.10589999999999999</v>
      </c>
      <c r="I350">
        <v>36</v>
      </c>
      <c r="J350" s="3">
        <v>8.8249999999999995E-3</v>
      </c>
      <c r="K350" s="2">
        <v>25020.842819106001</v>
      </c>
      <c r="L350" s="2">
        <v>900750.34148781619</v>
      </c>
      <c r="M350" s="2">
        <v>131940.34148781619</v>
      </c>
      <c r="N350" s="2">
        <v>7688.1</v>
      </c>
      <c r="O350" s="2">
        <v>149917.95000000001</v>
      </c>
      <c r="P350" t="s">
        <v>32</v>
      </c>
      <c r="Q350" s="2">
        <v>0</v>
      </c>
      <c r="R350" s="2">
        <v>-10289.50851218382</v>
      </c>
      <c r="S350" t="s">
        <v>57</v>
      </c>
      <c r="T350" t="s">
        <v>74</v>
      </c>
      <c r="U350" t="s">
        <v>59</v>
      </c>
      <c r="V350" t="s">
        <v>36</v>
      </c>
      <c r="W350" t="s">
        <v>37</v>
      </c>
      <c r="X350" s="2">
        <v>139628.44148781619</v>
      </c>
      <c r="Y350" s="2">
        <v>149917.95000000001</v>
      </c>
      <c r="Z350" s="2">
        <v>-10289.50851218382</v>
      </c>
      <c r="AA350" s="3">
        <v>-1.338368193986007E-2</v>
      </c>
      <c r="AB350" s="3">
        <v>0</v>
      </c>
      <c r="AC350" t="s">
        <v>38</v>
      </c>
    </row>
    <row r="351" spans="1:29" x14ac:dyDescent="0.3">
      <c r="A351" t="s">
        <v>761</v>
      </c>
      <c r="B351" t="s">
        <v>762</v>
      </c>
      <c r="C351" t="s">
        <v>41</v>
      </c>
      <c r="D351" s="2">
        <v>65400</v>
      </c>
      <c r="E351" s="3">
        <v>0.2</v>
      </c>
      <c r="F351" s="2">
        <v>13080</v>
      </c>
      <c r="G351" s="2">
        <v>52320</v>
      </c>
      <c r="H351" s="3">
        <v>0.14269999999999999</v>
      </c>
      <c r="I351">
        <v>24</v>
      </c>
      <c r="J351" s="3">
        <v>1.189166666666667E-2</v>
      </c>
      <c r="K351" s="2">
        <v>2518.712714474756</v>
      </c>
      <c r="L351" s="2">
        <v>60449.105147394133</v>
      </c>
      <c r="M351" s="2">
        <v>8129.1051473941334</v>
      </c>
      <c r="N351" s="2">
        <v>523.20000000000005</v>
      </c>
      <c r="O351" s="2">
        <v>6801.6</v>
      </c>
      <c r="P351" t="s">
        <v>52</v>
      </c>
      <c r="Q351" s="2">
        <v>0</v>
      </c>
      <c r="R351" s="2">
        <v>1850.705147394134</v>
      </c>
      <c r="S351" t="s">
        <v>57</v>
      </c>
      <c r="T351" t="s">
        <v>53</v>
      </c>
      <c r="U351" t="s">
        <v>35</v>
      </c>
      <c r="V351" t="s">
        <v>36</v>
      </c>
      <c r="W351" t="s">
        <v>37</v>
      </c>
      <c r="X351" s="2">
        <v>8652.3051473941341</v>
      </c>
      <c r="Y351" s="2">
        <v>6801.6</v>
      </c>
      <c r="Z351" s="2">
        <v>1850.705147394134</v>
      </c>
      <c r="AA351" s="3">
        <v>3.5372804804933752E-2</v>
      </c>
      <c r="AB351" s="3">
        <v>0</v>
      </c>
      <c r="AC351" t="s">
        <v>38</v>
      </c>
    </row>
    <row r="352" spans="1:29" x14ac:dyDescent="0.3">
      <c r="A352" t="s">
        <v>763</v>
      </c>
      <c r="B352" t="s">
        <v>764</v>
      </c>
      <c r="C352" t="s">
        <v>56</v>
      </c>
      <c r="D352" s="2">
        <v>1238500</v>
      </c>
      <c r="E352" s="3">
        <v>0.1</v>
      </c>
      <c r="F352" s="2">
        <v>123850</v>
      </c>
      <c r="G352" s="2">
        <v>1114650</v>
      </c>
      <c r="H352" s="3">
        <v>8.6400000000000005E-2</v>
      </c>
      <c r="I352">
        <v>72</v>
      </c>
      <c r="J352" s="3">
        <v>7.2000000000000007E-3</v>
      </c>
      <c r="K352" s="2">
        <v>19893.587894378819</v>
      </c>
      <c r="L352" s="2">
        <v>1432338.3283952749</v>
      </c>
      <c r="M352" s="2">
        <v>317688.3283952747</v>
      </c>
      <c r="N352" s="2">
        <v>11146.5</v>
      </c>
      <c r="O352" s="2">
        <v>434713.5</v>
      </c>
      <c r="P352" t="s">
        <v>52</v>
      </c>
      <c r="Q352" s="2">
        <v>0</v>
      </c>
      <c r="R352" s="2">
        <v>-105878.6716047253</v>
      </c>
      <c r="S352" t="s">
        <v>43</v>
      </c>
      <c r="T352" t="s">
        <v>116</v>
      </c>
      <c r="U352" t="s">
        <v>59</v>
      </c>
      <c r="V352" t="s">
        <v>71</v>
      </c>
      <c r="W352" t="s">
        <v>49</v>
      </c>
      <c r="X352" s="2">
        <v>328834.8283952747</v>
      </c>
      <c r="Y352" s="2">
        <v>434713.5</v>
      </c>
      <c r="Z352" s="2">
        <v>-105878.6716047253</v>
      </c>
      <c r="AA352" s="3">
        <v>-9.4988266814448746E-2</v>
      </c>
      <c r="AB352" s="3">
        <v>0</v>
      </c>
      <c r="AC352" t="s">
        <v>38</v>
      </c>
    </row>
    <row r="353" spans="1:29" x14ac:dyDescent="0.3">
      <c r="A353" t="s">
        <v>765</v>
      </c>
      <c r="B353" t="s">
        <v>766</v>
      </c>
      <c r="C353" t="s">
        <v>41</v>
      </c>
      <c r="D353" s="2">
        <v>149000</v>
      </c>
      <c r="E353" s="3">
        <v>0.05</v>
      </c>
      <c r="F353" s="2">
        <v>7450</v>
      </c>
      <c r="G353" s="2">
        <v>141550</v>
      </c>
      <c r="H353" s="3">
        <v>0.1542</v>
      </c>
      <c r="I353">
        <v>36</v>
      </c>
      <c r="J353" s="3">
        <v>1.285E-2</v>
      </c>
      <c r="K353" s="2">
        <v>4936.0406401698192</v>
      </c>
      <c r="L353" s="2">
        <v>177697.46304611349</v>
      </c>
      <c r="M353" s="2">
        <v>36147.463046113488</v>
      </c>
      <c r="N353" s="2">
        <v>1415.5</v>
      </c>
      <c r="O353" s="2">
        <v>27602.25</v>
      </c>
      <c r="P353" t="s">
        <v>32</v>
      </c>
      <c r="Q353" s="2">
        <v>0</v>
      </c>
      <c r="R353" s="2">
        <v>9960.7130461134948</v>
      </c>
      <c r="S353" t="s">
        <v>77</v>
      </c>
      <c r="T353" t="s">
        <v>47</v>
      </c>
      <c r="U353" t="s">
        <v>48</v>
      </c>
      <c r="V353" t="s">
        <v>63</v>
      </c>
      <c r="W353" t="s">
        <v>37</v>
      </c>
      <c r="X353" s="2">
        <v>37562.963046113488</v>
      </c>
      <c r="Y353" s="2">
        <v>27602.25</v>
      </c>
      <c r="Z353" s="2">
        <v>9960.7130461134948</v>
      </c>
      <c r="AA353" s="3">
        <v>7.0368866450819467E-2</v>
      </c>
      <c r="AB353" s="3">
        <v>0</v>
      </c>
      <c r="AC353" t="s">
        <v>38</v>
      </c>
    </row>
    <row r="354" spans="1:29" x14ac:dyDescent="0.3">
      <c r="A354" t="s">
        <v>767</v>
      </c>
      <c r="B354" t="s">
        <v>768</v>
      </c>
      <c r="C354" t="s">
        <v>56</v>
      </c>
      <c r="D354" s="2">
        <v>1364300</v>
      </c>
      <c r="E354" s="3">
        <v>0.2</v>
      </c>
      <c r="F354" s="2">
        <v>272860</v>
      </c>
      <c r="G354" s="2">
        <v>1091440</v>
      </c>
      <c r="H354" s="3">
        <v>8.7800000000000003E-2</v>
      </c>
      <c r="I354">
        <v>60</v>
      </c>
      <c r="J354" s="3">
        <v>7.3166666666666666E-3</v>
      </c>
      <c r="K354" s="2">
        <v>22540.140764322761</v>
      </c>
      <c r="L354" s="2">
        <v>1352408.4458593661</v>
      </c>
      <c r="M354" s="2">
        <v>260968.4458593656</v>
      </c>
      <c r="N354" s="2">
        <v>10914.4</v>
      </c>
      <c r="O354" s="2">
        <v>354718</v>
      </c>
      <c r="P354" t="s">
        <v>52</v>
      </c>
      <c r="Q354" s="2">
        <v>0</v>
      </c>
      <c r="R354" s="2">
        <v>-82835.154140634346</v>
      </c>
      <c r="S354" t="s">
        <v>43</v>
      </c>
      <c r="T354" t="s">
        <v>62</v>
      </c>
      <c r="U354" t="s">
        <v>59</v>
      </c>
      <c r="V354" t="s">
        <v>71</v>
      </c>
      <c r="W354" t="s">
        <v>49</v>
      </c>
      <c r="X354" s="2">
        <v>271882.84585936571</v>
      </c>
      <c r="Y354" s="2">
        <v>354718</v>
      </c>
      <c r="Z354" s="2">
        <v>-82835.154140634346</v>
      </c>
      <c r="AA354" s="3">
        <v>-7.5895288921639617E-2</v>
      </c>
      <c r="AB354" s="3">
        <v>0</v>
      </c>
      <c r="AC354" t="s">
        <v>38</v>
      </c>
    </row>
    <row r="355" spans="1:29" x14ac:dyDescent="0.3">
      <c r="A355" t="s">
        <v>769</v>
      </c>
      <c r="B355" t="s">
        <v>770</v>
      </c>
      <c r="C355" t="s">
        <v>41</v>
      </c>
      <c r="D355" s="2">
        <v>63200</v>
      </c>
      <c r="E355" s="3">
        <v>0.15</v>
      </c>
      <c r="F355" s="2">
        <v>9480</v>
      </c>
      <c r="G355" s="2">
        <v>53720</v>
      </c>
      <c r="H355" s="3">
        <v>0.17599999999999999</v>
      </c>
      <c r="I355">
        <v>9</v>
      </c>
      <c r="J355" s="3">
        <v>1.466666666666667E-2</v>
      </c>
      <c r="K355" s="2">
        <v>6415.1026102072929</v>
      </c>
      <c r="L355" s="2">
        <v>57735.923491865637</v>
      </c>
      <c r="M355" s="2">
        <v>4015.9234918656371</v>
      </c>
      <c r="N355" s="2">
        <v>537.20000000000005</v>
      </c>
      <c r="O355" s="2">
        <v>2618.85</v>
      </c>
      <c r="P355" t="s">
        <v>32</v>
      </c>
      <c r="Q355" s="2">
        <v>0</v>
      </c>
      <c r="R355" s="2">
        <v>1934.2734918656361</v>
      </c>
      <c r="S355" t="s">
        <v>33</v>
      </c>
      <c r="T355" t="s">
        <v>62</v>
      </c>
      <c r="U355" t="s">
        <v>35</v>
      </c>
      <c r="V355" t="s">
        <v>63</v>
      </c>
      <c r="W355" t="s">
        <v>64</v>
      </c>
      <c r="X355" s="2">
        <v>4553.1234918656364</v>
      </c>
      <c r="Y355" s="2">
        <v>2618.85</v>
      </c>
      <c r="Z355" s="2">
        <v>1934.2734918656361</v>
      </c>
      <c r="AA355" s="3">
        <v>3.60065802655554E-2</v>
      </c>
      <c r="AB355" s="3">
        <v>0</v>
      </c>
      <c r="AC355" t="s">
        <v>38</v>
      </c>
    </row>
    <row r="356" spans="1:29" x14ac:dyDescent="0.3">
      <c r="A356" t="s">
        <v>771</v>
      </c>
      <c r="B356" t="s">
        <v>772</v>
      </c>
      <c r="C356" t="s">
        <v>86</v>
      </c>
      <c r="D356" s="2">
        <v>16700</v>
      </c>
      <c r="E356" s="3">
        <v>0.2</v>
      </c>
      <c r="F356" s="2">
        <v>3340</v>
      </c>
      <c r="G356" s="2">
        <v>13360</v>
      </c>
      <c r="H356" s="3">
        <v>0.1875</v>
      </c>
      <c r="I356">
        <v>18</v>
      </c>
      <c r="J356" s="3">
        <v>1.5625E-2</v>
      </c>
      <c r="K356" s="2">
        <v>857.22930796333083</v>
      </c>
      <c r="L356" s="2">
        <v>15430.127543339961</v>
      </c>
      <c r="M356" s="2">
        <v>2070.1275433399551</v>
      </c>
      <c r="N356" s="2">
        <v>499</v>
      </c>
      <c r="O356" s="2">
        <v>1302.5999999999999</v>
      </c>
      <c r="P356" t="s">
        <v>32</v>
      </c>
      <c r="Q356" s="2">
        <v>0</v>
      </c>
      <c r="R356" s="2">
        <v>1266.5275433399549</v>
      </c>
      <c r="S356" t="s">
        <v>33</v>
      </c>
      <c r="T356" t="s">
        <v>44</v>
      </c>
      <c r="U356" t="s">
        <v>35</v>
      </c>
      <c r="V356" t="s">
        <v>63</v>
      </c>
      <c r="W356" t="s">
        <v>37</v>
      </c>
      <c r="X356" s="2">
        <v>2569.1275433399551</v>
      </c>
      <c r="Y356" s="2">
        <v>1302.5999999999999</v>
      </c>
      <c r="Z356" s="2">
        <v>1266.5275433399549</v>
      </c>
      <c r="AA356" s="3">
        <v>9.4799965818858925E-2</v>
      </c>
      <c r="AB356" s="3">
        <v>0</v>
      </c>
      <c r="AC356" t="s">
        <v>38</v>
      </c>
    </row>
    <row r="357" spans="1:29" x14ac:dyDescent="0.3">
      <c r="A357" t="s">
        <v>773</v>
      </c>
      <c r="B357" t="s">
        <v>774</v>
      </c>
      <c r="C357" t="s">
        <v>41</v>
      </c>
      <c r="D357" s="2">
        <v>40100</v>
      </c>
      <c r="E357" s="3">
        <v>0.05</v>
      </c>
      <c r="F357" s="2">
        <v>2005</v>
      </c>
      <c r="G357" s="2">
        <v>38095</v>
      </c>
      <c r="H357" s="3">
        <v>0.1888</v>
      </c>
      <c r="I357">
        <v>36</v>
      </c>
      <c r="J357" s="3">
        <v>1.5733333333333328E-2</v>
      </c>
      <c r="K357" s="2">
        <v>1394.1008777075399</v>
      </c>
      <c r="L357" s="2">
        <v>50187.631597471453</v>
      </c>
      <c r="M357" s="2">
        <v>12092.631597471451</v>
      </c>
      <c r="N357" s="2">
        <v>499</v>
      </c>
      <c r="O357" s="2">
        <v>7428.5250000000005</v>
      </c>
      <c r="P357" t="s">
        <v>32</v>
      </c>
      <c r="Q357" s="2">
        <v>0</v>
      </c>
      <c r="R357" s="2">
        <v>5163.106597471452</v>
      </c>
      <c r="S357" t="s">
        <v>43</v>
      </c>
      <c r="T357" t="s">
        <v>107</v>
      </c>
      <c r="U357" t="s">
        <v>35</v>
      </c>
      <c r="V357" t="s">
        <v>63</v>
      </c>
      <c r="W357" t="s">
        <v>37</v>
      </c>
      <c r="X357" s="2">
        <v>12591.631597471451</v>
      </c>
      <c r="Y357" s="2">
        <v>7428.5250000000005</v>
      </c>
      <c r="Z357" s="2">
        <v>5163.106597471452</v>
      </c>
      <c r="AA357" s="3">
        <v>0.13553239526109601</v>
      </c>
      <c r="AB357" s="3">
        <v>0</v>
      </c>
      <c r="AC357" t="s">
        <v>38</v>
      </c>
    </row>
    <row r="358" spans="1:29" x14ac:dyDescent="0.3">
      <c r="A358" t="s">
        <v>775</v>
      </c>
      <c r="B358" t="s">
        <v>776</v>
      </c>
      <c r="C358" t="s">
        <v>86</v>
      </c>
      <c r="D358" s="2">
        <v>98300</v>
      </c>
      <c r="E358" s="3">
        <v>0.05</v>
      </c>
      <c r="F358" s="2">
        <v>4915</v>
      </c>
      <c r="G358" s="2">
        <v>93385</v>
      </c>
      <c r="H358" s="3">
        <v>0.14829999999999999</v>
      </c>
      <c r="I358">
        <v>9</v>
      </c>
      <c r="J358" s="3">
        <v>1.2358333333333331E-2</v>
      </c>
      <c r="K358" s="2">
        <v>11027.7662427421</v>
      </c>
      <c r="L358" s="2">
        <v>99249.896184678873</v>
      </c>
      <c r="M358" s="2">
        <v>5864.8961846788734</v>
      </c>
      <c r="N358" s="2">
        <v>933.85</v>
      </c>
      <c r="O358" s="2">
        <v>4552.5187500000002</v>
      </c>
      <c r="P358" t="s">
        <v>52</v>
      </c>
      <c r="Q358" s="2">
        <v>0</v>
      </c>
      <c r="R358" s="2">
        <v>2246.227434678874</v>
      </c>
      <c r="S358" t="s">
        <v>43</v>
      </c>
      <c r="T358" t="s">
        <v>67</v>
      </c>
      <c r="U358" t="s">
        <v>35</v>
      </c>
      <c r="V358" t="s">
        <v>36</v>
      </c>
      <c r="W358" t="s">
        <v>64</v>
      </c>
      <c r="X358" s="2">
        <v>6798.7461846788738</v>
      </c>
      <c r="Y358" s="2">
        <v>4552.5187500000002</v>
      </c>
      <c r="Z358" s="2">
        <v>2246.227434678874</v>
      </c>
      <c r="AA358" s="3">
        <v>2.4053407235411189E-2</v>
      </c>
      <c r="AB358" s="3">
        <v>0</v>
      </c>
      <c r="AC358" t="s">
        <v>38</v>
      </c>
    </row>
    <row r="359" spans="1:29" x14ac:dyDescent="0.3">
      <c r="A359" t="s">
        <v>777</v>
      </c>
      <c r="B359" t="s">
        <v>778</v>
      </c>
      <c r="C359" t="s">
        <v>56</v>
      </c>
      <c r="D359" s="2">
        <v>557100</v>
      </c>
      <c r="E359" s="3">
        <v>0.3</v>
      </c>
      <c r="F359" s="2">
        <v>167130</v>
      </c>
      <c r="G359" s="2">
        <v>389970</v>
      </c>
      <c r="H359" s="3">
        <v>0.1009</v>
      </c>
      <c r="I359">
        <v>36</v>
      </c>
      <c r="J359" s="3">
        <v>8.4083333333333336E-3</v>
      </c>
      <c r="K359" s="2">
        <v>12599.719407511569</v>
      </c>
      <c r="L359" s="2">
        <v>453589.8986704165</v>
      </c>
      <c r="M359" s="2">
        <v>63619.8986704165</v>
      </c>
      <c r="N359" s="2">
        <v>3899.7</v>
      </c>
      <c r="O359" s="2">
        <v>76044.149999999994</v>
      </c>
      <c r="P359" t="s">
        <v>32</v>
      </c>
      <c r="Q359" s="2">
        <v>0</v>
      </c>
      <c r="R359" s="2">
        <v>-8524.5513295834971</v>
      </c>
      <c r="S359" t="s">
        <v>57</v>
      </c>
      <c r="T359" t="s">
        <v>53</v>
      </c>
      <c r="U359" t="s">
        <v>151</v>
      </c>
      <c r="V359" t="s">
        <v>36</v>
      </c>
      <c r="W359" t="s">
        <v>37</v>
      </c>
      <c r="X359" s="2">
        <v>67519.598670416497</v>
      </c>
      <c r="Y359" s="2">
        <v>76044.149999999994</v>
      </c>
      <c r="Z359" s="2">
        <v>-8524.5513295834971</v>
      </c>
      <c r="AA359" s="3">
        <v>-2.1859505422426082E-2</v>
      </c>
      <c r="AB359" s="3">
        <v>0</v>
      </c>
      <c r="AC359" t="s">
        <v>38</v>
      </c>
    </row>
    <row r="360" spans="1:29" x14ac:dyDescent="0.3">
      <c r="A360" t="s">
        <v>779</v>
      </c>
      <c r="B360" t="s">
        <v>780</v>
      </c>
      <c r="C360" t="s">
        <v>31</v>
      </c>
      <c r="D360" s="2">
        <v>210700</v>
      </c>
      <c r="E360" s="3">
        <v>0.25</v>
      </c>
      <c r="F360" s="2">
        <v>52675</v>
      </c>
      <c r="G360" s="2">
        <v>158025</v>
      </c>
      <c r="H360" s="3">
        <v>0.11210000000000001</v>
      </c>
      <c r="I360">
        <v>48</v>
      </c>
      <c r="J360" s="3">
        <v>9.3416666666666665E-3</v>
      </c>
      <c r="K360" s="2">
        <v>4100.3731889290539</v>
      </c>
      <c r="L360" s="2">
        <v>196817.91306859459</v>
      </c>
      <c r="M360" s="2">
        <v>38792.913068594593</v>
      </c>
      <c r="N360" s="2">
        <v>1580.25</v>
      </c>
      <c r="O360" s="2">
        <v>41086.5</v>
      </c>
      <c r="P360" t="s">
        <v>32</v>
      </c>
      <c r="Q360" s="2">
        <v>0</v>
      </c>
      <c r="R360" s="2">
        <v>-713.33693140541436</v>
      </c>
      <c r="S360" t="s">
        <v>43</v>
      </c>
      <c r="T360" t="s">
        <v>58</v>
      </c>
      <c r="U360" t="s">
        <v>48</v>
      </c>
      <c r="V360" t="s">
        <v>36</v>
      </c>
      <c r="W360" t="s">
        <v>49</v>
      </c>
      <c r="X360" s="2">
        <v>40373.163068594593</v>
      </c>
      <c r="Y360" s="2">
        <v>41086.5</v>
      </c>
      <c r="Z360" s="2">
        <v>-713.33693140541436</v>
      </c>
      <c r="AA360" s="3">
        <v>-4.5140764524943169E-3</v>
      </c>
      <c r="AB360" s="3">
        <v>0</v>
      </c>
      <c r="AC360" t="s">
        <v>38</v>
      </c>
    </row>
    <row r="361" spans="1:29" x14ac:dyDescent="0.3">
      <c r="A361" t="s">
        <v>781</v>
      </c>
      <c r="B361" t="s">
        <v>782</v>
      </c>
      <c r="C361" t="s">
        <v>56</v>
      </c>
      <c r="D361" s="2">
        <v>554000</v>
      </c>
      <c r="E361" s="3">
        <v>0.2</v>
      </c>
      <c r="F361" s="2">
        <v>110800</v>
      </c>
      <c r="G361" s="2">
        <v>443200</v>
      </c>
      <c r="H361" s="3">
        <v>8.8700000000000001E-2</v>
      </c>
      <c r="I361">
        <v>72</v>
      </c>
      <c r="J361" s="3">
        <v>7.391666666666667E-3</v>
      </c>
      <c r="K361" s="2">
        <v>7960.3527357212488</v>
      </c>
      <c r="L361" s="2">
        <v>573145.39697192993</v>
      </c>
      <c r="M361" s="2">
        <v>129945.39697192991</v>
      </c>
      <c r="N361" s="2">
        <v>4432</v>
      </c>
      <c r="O361" s="2">
        <v>172848</v>
      </c>
      <c r="P361" t="s">
        <v>32</v>
      </c>
      <c r="Q361" s="2">
        <v>0</v>
      </c>
      <c r="R361" s="2">
        <v>-38470.603028070072</v>
      </c>
      <c r="S361" t="s">
        <v>77</v>
      </c>
      <c r="T361" t="s">
        <v>47</v>
      </c>
      <c r="U361" t="s">
        <v>151</v>
      </c>
      <c r="V361" t="s">
        <v>71</v>
      </c>
      <c r="W361" t="s">
        <v>49</v>
      </c>
      <c r="X361" s="2">
        <v>134377.39697192991</v>
      </c>
      <c r="Y361" s="2">
        <v>172848</v>
      </c>
      <c r="Z361" s="2">
        <v>-38470.603028070072</v>
      </c>
      <c r="AA361" s="3">
        <v>-8.6801902139147263E-2</v>
      </c>
      <c r="AB361" s="3">
        <v>0</v>
      </c>
      <c r="AC361" t="s">
        <v>38</v>
      </c>
    </row>
    <row r="362" spans="1:29" x14ac:dyDescent="0.3">
      <c r="A362" t="s">
        <v>783</v>
      </c>
      <c r="B362" t="s">
        <v>784</v>
      </c>
      <c r="C362" t="s">
        <v>86</v>
      </c>
      <c r="D362" s="2">
        <v>80200</v>
      </c>
      <c r="E362" s="3">
        <v>0.15</v>
      </c>
      <c r="F362" s="2">
        <v>12030</v>
      </c>
      <c r="G362" s="2">
        <v>68170</v>
      </c>
      <c r="H362" s="3">
        <v>0.15989999999999999</v>
      </c>
      <c r="I362">
        <v>18</v>
      </c>
      <c r="J362" s="3">
        <v>1.3325E-2</v>
      </c>
      <c r="K362" s="2">
        <v>4284.6005566812082</v>
      </c>
      <c r="L362" s="2">
        <v>77122.81002026175</v>
      </c>
      <c r="M362" s="2">
        <v>8952.8100202617497</v>
      </c>
      <c r="N362" s="2">
        <v>681.7</v>
      </c>
      <c r="O362" s="2">
        <v>6646.5750000000007</v>
      </c>
      <c r="P362" t="s">
        <v>32</v>
      </c>
      <c r="Q362" s="2">
        <v>0</v>
      </c>
      <c r="R362" s="2">
        <v>2987.9350202617502</v>
      </c>
      <c r="S362" t="s">
        <v>77</v>
      </c>
      <c r="T362" t="s">
        <v>44</v>
      </c>
      <c r="U362" t="s">
        <v>35</v>
      </c>
      <c r="V362" t="s">
        <v>63</v>
      </c>
      <c r="W362" t="s">
        <v>37</v>
      </c>
      <c r="X362" s="2">
        <v>9634.5100202617505</v>
      </c>
      <c r="Y362" s="2">
        <v>6646.5750000000007</v>
      </c>
      <c r="Z362" s="2">
        <v>2987.9350202617502</v>
      </c>
      <c r="AA362" s="3">
        <v>4.383064427551342E-2</v>
      </c>
      <c r="AB362" s="3">
        <v>0</v>
      </c>
      <c r="AC362" t="s">
        <v>38</v>
      </c>
    </row>
    <row r="363" spans="1:29" x14ac:dyDescent="0.3">
      <c r="A363" t="s">
        <v>785</v>
      </c>
      <c r="B363" t="s">
        <v>786</v>
      </c>
      <c r="C363" t="s">
        <v>86</v>
      </c>
      <c r="D363" s="2">
        <v>102900</v>
      </c>
      <c r="E363" s="3">
        <v>0.15</v>
      </c>
      <c r="F363" s="2">
        <v>15435</v>
      </c>
      <c r="G363" s="2">
        <v>87465</v>
      </c>
      <c r="H363" s="3">
        <v>0.21010000000000001</v>
      </c>
      <c r="I363">
        <v>6</v>
      </c>
      <c r="J363" s="3">
        <v>1.7508333333333331E-2</v>
      </c>
      <c r="K363" s="2">
        <v>15483.71532197944</v>
      </c>
      <c r="L363" s="2">
        <v>92902.291931876636</v>
      </c>
      <c r="M363" s="2">
        <v>5437.2919318766362</v>
      </c>
      <c r="N363" s="2">
        <v>874.65</v>
      </c>
      <c r="O363" s="2">
        <v>2842.6125000000002</v>
      </c>
      <c r="P363" t="s">
        <v>32</v>
      </c>
      <c r="Q363" s="2">
        <v>0</v>
      </c>
      <c r="R363" s="2">
        <v>3469.3294318766361</v>
      </c>
      <c r="S363" t="s">
        <v>43</v>
      </c>
      <c r="T363" t="s">
        <v>44</v>
      </c>
      <c r="U363" t="s">
        <v>35</v>
      </c>
      <c r="V363" t="s">
        <v>63</v>
      </c>
      <c r="W363" t="s">
        <v>64</v>
      </c>
      <c r="X363" s="2">
        <v>6311.9419318766359</v>
      </c>
      <c r="Y363" s="2">
        <v>2842.6125000000002</v>
      </c>
      <c r="Z363" s="2">
        <v>3469.3294318766361</v>
      </c>
      <c r="AA363" s="3">
        <v>3.9665345359591098E-2</v>
      </c>
      <c r="AB363" s="3">
        <v>0</v>
      </c>
      <c r="AC363" t="s">
        <v>38</v>
      </c>
    </row>
    <row r="364" spans="1:29" x14ac:dyDescent="0.3">
      <c r="A364" t="s">
        <v>787</v>
      </c>
      <c r="B364" t="s">
        <v>788</v>
      </c>
      <c r="C364" t="s">
        <v>41</v>
      </c>
      <c r="D364" s="2">
        <v>105800</v>
      </c>
      <c r="E364" s="3">
        <v>0.15</v>
      </c>
      <c r="F364" s="2">
        <v>15870</v>
      </c>
      <c r="G364" s="2">
        <v>89930</v>
      </c>
      <c r="H364" s="3">
        <v>0.1827</v>
      </c>
      <c r="I364">
        <v>9</v>
      </c>
      <c r="J364" s="3">
        <v>1.5225000000000001E-2</v>
      </c>
      <c r="K364" s="2">
        <v>10768.200347058</v>
      </c>
      <c r="L364" s="2">
        <v>96913.803123521982</v>
      </c>
      <c r="M364" s="2">
        <v>6983.8031235219823</v>
      </c>
      <c r="N364" s="2">
        <v>899.30000000000007</v>
      </c>
      <c r="O364" s="2">
        <v>4384.0874999999996</v>
      </c>
      <c r="P364" t="s">
        <v>32</v>
      </c>
      <c r="Q364" s="2">
        <v>0</v>
      </c>
      <c r="R364" s="2">
        <v>3499.0156235219829</v>
      </c>
      <c r="S364" t="s">
        <v>43</v>
      </c>
      <c r="T364" t="s">
        <v>116</v>
      </c>
      <c r="U364" t="s">
        <v>35</v>
      </c>
      <c r="V364" t="s">
        <v>63</v>
      </c>
      <c r="W364" t="s">
        <v>64</v>
      </c>
      <c r="X364" s="2">
        <v>7883.1031235219834</v>
      </c>
      <c r="Y364" s="2">
        <v>4384.0874999999996</v>
      </c>
      <c r="Z364" s="2">
        <v>3499.0156235219829</v>
      </c>
      <c r="AA364" s="3">
        <v>3.890821331615682E-2</v>
      </c>
      <c r="AB364" s="3">
        <v>0</v>
      </c>
      <c r="AC364" t="s">
        <v>38</v>
      </c>
    </row>
    <row r="365" spans="1:29" x14ac:dyDescent="0.3">
      <c r="A365" t="s">
        <v>789</v>
      </c>
      <c r="B365" t="s">
        <v>790</v>
      </c>
      <c r="C365" t="s">
        <v>31</v>
      </c>
      <c r="D365" s="2">
        <v>77000</v>
      </c>
      <c r="E365" s="3">
        <v>0.15</v>
      </c>
      <c r="F365" s="2">
        <v>11550</v>
      </c>
      <c r="G365" s="2">
        <v>65450</v>
      </c>
      <c r="H365" s="3">
        <v>0.1711</v>
      </c>
      <c r="I365">
        <v>12</v>
      </c>
      <c r="J365" s="3">
        <v>1.4258333333333329E-2</v>
      </c>
      <c r="K365" s="2">
        <v>5972.7682081335988</v>
      </c>
      <c r="L365" s="2">
        <v>71673.218497603186</v>
      </c>
      <c r="M365" s="2">
        <v>6223.2184976031858</v>
      </c>
      <c r="N365" s="2">
        <v>654.5</v>
      </c>
      <c r="O365" s="2">
        <v>4254.25</v>
      </c>
      <c r="P365" t="s">
        <v>32</v>
      </c>
      <c r="Q365" s="2">
        <v>0</v>
      </c>
      <c r="R365" s="2">
        <v>2623.4684976031858</v>
      </c>
      <c r="S365" t="s">
        <v>43</v>
      </c>
      <c r="T365" t="s">
        <v>107</v>
      </c>
      <c r="U365" t="s">
        <v>35</v>
      </c>
      <c r="V365" t="s">
        <v>63</v>
      </c>
      <c r="W365" t="s">
        <v>64</v>
      </c>
      <c r="X365" s="2">
        <v>6877.7184976031858</v>
      </c>
      <c r="Y365" s="2">
        <v>4254.25</v>
      </c>
      <c r="Z365" s="2">
        <v>2623.4684976031858</v>
      </c>
      <c r="AA365" s="3">
        <v>4.008355229340238E-2</v>
      </c>
      <c r="AB365" s="3">
        <v>0</v>
      </c>
      <c r="AC365" t="s">
        <v>38</v>
      </c>
    </row>
    <row r="366" spans="1:29" x14ac:dyDescent="0.3">
      <c r="A366" t="s">
        <v>791</v>
      </c>
      <c r="B366" t="s">
        <v>792</v>
      </c>
      <c r="C366" t="s">
        <v>56</v>
      </c>
      <c r="D366" s="2">
        <v>1025200</v>
      </c>
      <c r="E366" s="3">
        <v>0.25</v>
      </c>
      <c r="F366" s="2">
        <v>256300</v>
      </c>
      <c r="G366" s="2">
        <v>768900</v>
      </c>
      <c r="H366" s="3">
        <v>9.6000000000000002E-2</v>
      </c>
      <c r="I366">
        <v>48</v>
      </c>
      <c r="J366" s="3">
        <v>8.0000000000000002E-3</v>
      </c>
      <c r="K366" s="2">
        <v>19353.918787283259</v>
      </c>
      <c r="L366" s="2">
        <v>928988.10178959626</v>
      </c>
      <c r="M366" s="2">
        <v>160088.10178959629</v>
      </c>
      <c r="N366" s="2">
        <v>7689</v>
      </c>
      <c r="O366" s="2">
        <v>199914</v>
      </c>
      <c r="P366" t="s">
        <v>32</v>
      </c>
      <c r="Q366" s="2">
        <v>0</v>
      </c>
      <c r="R366" s="2">
        <v>-32136.898210403739</v>
      </c>
      <c r="S366" t="s">
        <v>33</v>
      </c>
      <c r="T366" t="s">
        <v>62</v>
      </c>
      <c r="U366" t="s">
        <v>59</v>
      </c>
      <c r="V366" t="s">
        <v>71</v>
      </c>
      <c r="W366" t="s">
        <v>49</v>
      </c>
      <c r="X366" s="2">
        <v>167777.10178959629</v>
      </c>
      <c r="Y366" s="2">
        <v>199914</v>
      </c>
      <c r="Z366" s="2">
        <v>-32136.898210403739</v>
      </c>
      <c r="AA366" s="3">
        <v>-4.1795939927693773E-2</v>
      </c>
      <c r="AB366" s="3">
        <v>0</v>
      </c>
      <c r="AC366" t="s">
        <v>38</v>
      </c>
    </row>
    <row r="367" spans="1:29" x14ac:dyDescent="0.3">
      <c r="A367" t="s">
        <v>793</v>
      </c>
      <c r="B367" t="s">
        <v>794</v>
      </c>
      <c r="C367" t="s">
        <v>31</v>
      </c>
      <c r="D367" s="2">
        <v>63300</v>
      </c>
      <c r="E367" s="3">
        <v>0.2</v>
      </c>
      <c r="F367" s="2">
        <v>12660</v>
      </c>
      <c r="G367" s="2">
        <v>50640</v>
      </c>
      <c r="H367" s="3">
        <v>0.1173</v>
      </c>
      <c r="I367">
        <v>12</v>
      </c>
      <c r="J367" s="3">
        <v>9.7750000000000007E-3</v>
      </c>
      <c r="K367" s="2">
        <v>4492.9089056523489</v>
      </c>
      <c r="L367" s="2">
        <v>53914.906867828191</v>
      </c>
      <c r="M367" s="2">
        <v>3274.906867828191</v>
      </c>
      <c r="N367" s="2">
        <v>506.4</v>
      </c>
      <c r="O367" s="2">
        <v>3291.6</v>
      </c>
      <c r="P367" t="s">
        <v>32</v>
      </c>
      <c r="Q367" s="2">
        <v>0</v>
      </c>
      <c r="R367" s="2">
        <v>489.70686782819121</v>
      </c>
      <c r="S367" t="s">
        <v>57</v>
      </c>
      <c r="T367" t="s">
        <v>107</v>
      </c>
      <c r="U367" t="s">
        <v>35</v>
      </c>
      <c r="V367" t="s">
        <v>36</v>
      </c>
      <c r="W367" t="s">
        <v>64</v>
      </c>
      <c r="X367" s="2">
        <v>3781.3068678281911</v>
      </c>
      <c r="Y367" s="2">
        <v>3291.6</v>
      </c>
      <c r="Z367" s="2">
        <v>489.70686782819121</v>
      </c>
      <c r="AA367" s="3">
        <v>9.6703567896562238E-3</v>
      </c>
      <c r="AB367" s="3">
        <v>0</v>
      </c>
      <c r="AC367" t="s">
        <v>38</v>
      </c>
    </row>
    <row r="368" spans="1:29" x14ac:dyDescent="0.3">
      <c r="A368" t="s">
        <v>795</v>
      </c>
      <c r="B368" t="s">
        <v>796</v>
      </c>
      <c r="C368" t="s">
        <v>31</v>
      </c>
      <c r="D368" s="2">
        <v>79800</v>
      </c>
      <c r="E368" s="3">
        <v>0.1</v>
      </c>
      <c r="F368" s="2">
        <v>7980</v>
      </c>
      <c r="G368" s="2">
        <v>71820</v>
      </c>
      <c r="H368" s="3">
        <v>0.1429</v>
      </c>
      <c r="I368">
        <v>60</v>
      </c>
      <c r="J368" s="3">
        <v>1.190833333333333E-2</v>
      </c>
      <c r="K368" s="2">
        <v>1681.943303105352</v>
      </c>
      <c r="L368" s="2">
        <v>100916.59818632111</v>
      </c>
      <c r="M368" s="2">
        <v>29096.598186321149</v>
      </c>
      <c r="N368" s="2">
        <v>718.2</v>
      </c>
      <c r="O368" s="2">
        <v>23341.5</v>
      </c>
      <c r="P368" t="s">
        <v>52</v>
      </c>
      <c r="Q368" s="2">
        <v>0</v>
      </c>
      <c r="R368" s="2">
        <v>6473.2981863211498</v>
      </c>
      <c r="S368" t="s">
        <v>77</v>
      </c>
      <c r="T368" t="s">
        <v>58</v>
      </c>
      <c r="U368" t="s">
        <v>35</v>
      </c>
      <c r="V368" t="s">
        <v>36</v>
      </c>
      <c r="W368" t="s">
        <v>49</v>
      </c>
      <c r="X368" s="2">
        <v>29814.79818632115</v>
      </c>
      <c r="Y368" s="2">
        <v>23341.5</v>
      </c>
      <c r="Z368" s="2">
        <v>6473.2981863211498</v>
      </c>
      <c r="AA368" s="3">
        <v>9.0132249879158313E-2</v>
      </c>
      <c r="AB368" s="3">
        <v>0</v>
      </c>
      <c r="AC368" t="s">
        <v>38</v>
      </c>
    </row>
    <row r="369" spans="1:29" x14ac:dyDescent="0.3">
      <c r="A369" t="s">
        <v>797</v>
      </c>
      <c r="B369" t="s">
        <v>798</v>
      </c>
      <c r="C369" t="s">
        <v>41</v>
      </c>
      <c r="D369" s="2">
        <v>50400</v>
      </c>
      <c r="E369" s="3">
        <v>0.1</v>
      </c>
      <c r="F369" s="2">
        <v>5040</v>
      </c>
      <c r="G369" s="2">
        <v>45360</v>
      </c>
      <c r="H369" s="3">
        <v>0.18459999999999999</v>
      </c>
      <c r="I369">
        <v>24</v>
      </c>
      <c r="J369" s="3">
        <v>1.538333333333333E-2</v>
      </c>
      <c r="K369" s="2">
        <v>2274.651902403743</v>
      </c>
      <c r="L369" s="2">
        <v>54591.645657689827</v>
      </c>
      <c r="M369" s="2">
        <v>9231.6456576898345</v>
      </c>
      <c r="N369" s="2">
        <v>499</v>
      </c>
      <c r="O369" s="2">
        <v>5896.8</v>
      </c>
      <c r="P369" t="s">
        <v>32</v>
      </c>
      <c r="Q369" s="2">
        <v>0</v>
      </c>
      <c r="R369" s="2">
        <v>3833.8456576898338</v>
      </c>
      <c r="S369" t="s">
        <v>33</v>
      </c>
      <c r="T369" t="s">
        <v>204</v>
      </c>
      <c r="U369" t="s">
        <v>35</v>
      </c>
      <c r="V369" t="s">
        <v>63</v>
      </c>
      <c r="W369" t="s">
        <v>37</v>
      </c>
      <c r="X369" s="2">
        <v>9730.6456576898345</v>
      </c>
      <c r="Y369" s="2">
        <v>5896.8</v>
      </c>
      <c r="Z369" s="2">
        <v>3833.8456576898338</v>
      </c>
      <c r="AA369" s="3">
        <v>8.4520406915560717E-2</v>
      </c>
      <c r="AB369" s="3">
        <v>0</v>
      </c>
      <c r="AC369" t="s">
        <v>38</v>
      </c>
    </row>
    <row r="370" spans="1:29" x14ac:dyDescent="0.3">
      <c r="A370" t="s">
        <v>799</v>
      </c>
      <c r="B370" t="s">
        <v>800</v>
      </c>
      <c r="C370" t="s">
        <v>31</v>
      </c>
      <c r="D370" s="2">
        <v>235200</v>
      </c>
      <c r="E370" s="3">
        <v>0.1</v>
      </c>
      <c r="F370" s="2">
        <v>23520</v>
      </c>
      <c r="G370" s="2">
        <v>211680</v>
      </c>
      <c r="H370" s="3">
        <v>0.16769999999999999</v>
      </c>
      <c r="I370">
        <v>12</v>
      </c>
      <c r="J370" s="3">
        <v>1.3975E-2</v>
      </c>
      <c r="K370" s="2">
        <v>19283.12445906665</v>
      </c>
      <c r="L370" s="2">
        <v>231397.49350879979</v>
      </c>
      <c r="M370" s="2">
        <v>19717.49350879982</v>
      </c>
      <c r="N370" s="2">
        <v>2116.8000000000002</v>
      </c>
      <c r="O370" s="2">
        <v>13759.2</v>
      </c>
      <c r="P370" t="s">
        <v>42</v>
      </c>
      <c r="Q370" s="2">
        <v>84672</v>
      </c>
      <c r="R370" s="2">
        <v>-76596.906491200178</v>
      </c>
      <c r="S370" t="s">
        <v>57</v>
      </c>
      <c r="T370" t="s">
        <v>58</v>
      </c>
      <c r="U370" t="s">
        <v>48</v>
      </c>
      <c r="V370" t="s">
        <v>63</v>
      </c>
      <c r="W370" t="s">
        <v>64</v>
      </c>
      <c r="X370" s="2">
        <v>21834.293508799819</v>
      </c>
      <c r="Y370" s="2">
        <v>98431.2</v>
      </c>
      <c r="Z370" s="2">
        <v>-76596.906491200178</v>
      </c>
      <c r="AA370" s="3">
        <v>-0.36185235492819429</v>
      </c>
      <c r="AB370" s="3">
        <v>0.4</v>
      </c>
      <c r="AC370" t="s">
        <v>38</v>
      </c>
    </row>
    <row r="371" spans="1:29" x14ac:dyDescent="0.3">
      <c r="A371" t="s">
        <v>801</v>
      </c>
      <c r="B371" t="s">
        <v>802</v>
      </c>
      <c r="C371" t="s">
        <v>41</v>
      </c>
      <c r="D371" s="2">
        <v>101100</v>
      </c>
      <c r="E371" s="3">
        <v>0.05</v>
      </c>
      <c r="F371" s="2">
        <v>5055</v>
      </c>
      <c r="G371" s="2">
        <v>96045</v>
      </c>
      <c r="H371" s="3">
        <v>0.1447</v>
      </c>
      <c r="I371">
        <v>36</v>
      </c>
      <c r="J371" s="3">
        <v>1.2058333333333331E-2</v>
      </c>
      <c r="K371" s="2">
        <v>3304.5577193590088</v>
      </c>
      <c r="L371" s="2">
        <v>118964.0778969243</v>
      </c>
      <c r="M371" s="2">
        <v>22919.077896924311</v>
      </c>
      <c r="N371" s="2">
        <v>960.45</v>
      </c>
      <c r="O371" s="2">
        <v>18728.775000000001</v>
      </c>
      <c r="P371" t="s">
        <v>52</v>
      </c>
      <c r="Q371" s="2">
        <v>0</v>
      </c>
      <c r="R371" s="2">
        <v>5150.7528969243103</v>
      </c>
      <c r="S371" t="s">
        <v>43</v>
      </c>
      <c r="T371" t="s">
        <v>44</v>
      </c>
      <c r="U371" t="s">
        <v>35</v>
      </c>
      <c r="V371" t="s">
        <v>36</v>
      </c>
      <c r="W371" t="s">
        <v>37</v>
      </c>
      <c r="X371" s="2">
        <v>23879.527896924312</v>
      </c>
      <c r="Y371" s="2">
        <v>18728.775000000001</v>
      </c>
      <c r="Z371" s="2">
        <v>5150.7528969243103</v>
      </c>
      <c r="AA371" s="3">
        <v>5.3628537632612952E-2</v>
      </c>
      <c r="AB371" s="3">
        <v>0</v>
      </c>
      <c r="AC371" t="s">
        <v>38</v>
      </c>
    </row>
    <row r="372" spans="1:29" x14ac:dyDescent="0.3">
      <c r="A372" t="s">
        <v>803</v>
      </c>
      <c r="B372" t="s">
        <v>804</v>
      </c>
      <c r="C372" t="s">
        <v>86</v>
      </c>
      <c r="D372" s="2">
        <v>63600</v>
      </c>
      <c r="E372" s="3">
        <v>0.2</v>
      </c>
      <c r="F372" s="2">
        <v>12720</v>
      </c>
      <c r="G372" s="2">
        <v>50880</v>
      </c>
      <c r="H372" s="3">
        <v>0.16769999999999999</v>
      </c>
      <c r="I372">
        <v>18</v>
      </c>
      <c r="J372" s="3">
        <v>1.3975E-2</v>
      </c>
      <c r="K372" s="2">
        <v>3216.6830949257978</v>
      </c>
      <c r="L372" s="2">
        <v>57900.295708664373</v>
      </c>
      <c r="M372" s="2">
        <v>7020.2957086643728</v>
      </c>
      <c r="N372" s="2">
        <v>508.8</v>
      </c>
      <c r="O372" s="2">
        <v>4960.8</v>
      </c>
      <c r="P372" t="s">
        <v>52</v>
      </c>
      <c r="Q372" s="2">
        <v>0</v>
      </c>
      <c r="R372" s="2">
        <v>2568.2957086643728</v>
      </c>
      <c r="S372" t="s">
        <v>77</v>
      </c>
      <c r="T372" t="s">
        <v>47</v>
      </c>
      <c r="U372" t="s">
        <v>35</v>
      </c>
      <c r="V372" t="s">
        <v>63</v>
      </c>
      <c r="W372" t="s">
        <v>37</v>
      </c>
      <c r="X372" s="2">
        <v>7529.095708664373</v>
      </c>
      <c r="Y372" s="2">
        <v>4960.8</v>
      </c>
      <c r="Z372" s="2">
        <v>2568.2957086643728</v>
      </c>
      <c r="AA372" s="3">
        <v>5.0477509997334372E-2</v>
      </c>
      <c r="AB372" s="3">
        <v>0</v>
      </c>
      <c r="AC372" t="s">
        <v>38</v>
      </c>
    </row>
    <row r="373" spans="1:29" x14ac:dyDescent="0.3">
      <c r="A373" t="s">
        <v>805</v>
      </c>
      <c r="B373" t="s">
        <v>806</v>
      </c>
      <c r="C373" t="s">
        <v>31</v>
      </c>
      <c r="D373" s="2">
        <v>269600</v>
      </c>
      <c r="E373" s="3">
        <v>0.05</v>
      </c>
      <c r="F373" s="2">
        <v>13480</v>
      </c>
      <c r="G373" s="2">
        <v>256120</v>
      </c>
      <c r="H373" s="3">
        <v>0.15859999999999999</v>
      </c>
      <c r="I373">
        <v>12</v>
      </c>
      <c r="J373" s="3">
        <v>1.321666666666667E-2</v>
      </c>
      <c r="K373" s="2">
        <v>23221.022537788151</v>
      </c>
      <c r="L373" s="2">
        <v>278652.27045345778</v>
      </c>
      <c r="M373" s="2">
        <v>22532.270453457779</v>
      </c>
      <c r="N373" s="2">
        <v>2561.1999999999998</v>
      </c>
      <c r="O373" s="2">
        <v>16647.8</v>
      </c>
      <c r="P373" t="s">
        <v>52</v>
      </c>
      <c r="Q373" s="2">
        <v>0</v>
      </c>
      <c r="R373" s="2">
        <v>8445.6704534577802</v>
      </c>
      <c r="S373" t="s">
        <v>57</v>
      </c>
      <c r="T373" t="s">
        <v>204</v>
      </c>
      <c r="U373" t="s">
        <v>151</v>
      </c>
      <c r="V373" t="s">
        <v>63</v>
      </c>
      <c r="W373" t="s">
        <v>64</v>
      </c>
      <c r="X373" s="2">
        <v>25093.47045345778</v>
      </c>
      <c r="Y373" s="2">
        <v>16647.8</v>
      </c>
      <c r="Z373" s="2">
        <v>8445.6704534577802</v>
      </c>
      <c r="AA373" s="3">
        <v>3.2975442969927299E-2</v>
      </c>
      <c r="AB373" s="3">
        <v>0</v>
      </c>
      <c r="AC373" t="s">
        <v>38</v>
      </c>
    </row>
    <row r="374" spans="1:29" x14ac:dyDescent="0.3">
      <c r="A374" t="s">
        <v>807</v>
      </c>
      <c r="B374" t="s">
        <v>808</v>
      </c>
      <c r="C374" t="s">
        <v>41</v>
      </c>
      <c r="D374" s="2">
        <v>57900</v>
      </c>
      <c r="E374" s="3">
        <v>0</v>
      </c>
      <c r="F374" s="2">
        <v>0</v>
      </c>
      <c r="G374" s="2">
        <v>57900</v>
      </c>
      <c r="H374" s="3">
        <v>0.19800000000000001</v>
      </c>
      <c r="I374">
        <v>36</v>
      </c>
      <c r="J374" s="3">
        <v>1.6500000000000001E-2</v>
      </c>
      <c r="K374" s="2">
        <v>2145.8756984774268</v>
      </c>
      <c r="L374" s="2">
        <v>77251.525145187377</v>
      </c>
      <c r="M374" s="2">
        <v>19351.525145187381</v>
      </c>
      <c r="N374" s="2">
        <v>579</v>
      </c>
      <c r="O374" s="2">
        <v>11290.5</v>
      </c>
      <c r="P374" t="s">
        <v>32</v>
      </c>
      <c r="Q374" s="2">
        <v>0</v>
      </c>
      <c r="R374" s="2">
        <v>8640.0251451873773</v>
      </c>
      <c r="S374" t="s">
        <v>77</v>
      </c>
      <c r="T374" t="s">
        <v>62</v>
      </c>
      <c r="U374" t="s">
        <v>35</v>
      </c>
      <c r="V374" t="s">
        <v>63</v>
      </c>
      <c r="W374" t="s">
        <v>37</v>
      </c>
      <c r="X374" s="2">
        <v>19930.525145187381</v>
      </c>
      <c r="Y374" s="2">
        <v>11290.5</v>
      </c>
      <c r="Z374" s="2">
        <v>8640.0251451873773</v>
      </c>
      <c r="AA374" s="3">
        <v>0.14922323221394429</v>
      </c>
      <c r="AB374" s="3">
        <v>0</v>
      </c>
      <c r="AC374" t="s">
        <v>38</v>
      </c>
    </row>
    <row r="375" spans="1:29" x14ac:dyDescent="0.3">
      <c r="A375" t="s">
        <v>809</v>
      </c>
      <c r="B375" t="s">
        <v>810</v>
      </c>
      <c r="C375" t="s">
        <v>41</v>
      </c>
      <c r="D375" s="2">
        <v>95900</v>
      </c>
      <c r="E375" s="3">
        <v>0</v>
      </c>
      <c r="F375" s="2">
        <v>0</v>
      </c>
      <c r="G375" s="2">
        <v>95900</v>
      </c>
      <c r="H375" s="3">
        <v>0.14940000000000001</v>
      </c>
      <c r="I375">
        <v>12</v>
      </c>
      <c r="J375" s="3">
        <v>1.2449999999999999E-2</v>
      </c>
      <c r="K375" s="2">
        <v>8653.0572444069057</v>
      </c>
      <c r="L375" s="2">
        <v>103836.68693288291</v>
      </c>
      <c r="M375" s="2">
        <v>7936.6869328828761</v>
      </c>
      <c r="N375" s="2">
        <v>959</v>
      </c>
      <c r="O375" s="2">
        <v>6233.5</v>
      </c>
      <c r="P375" t="s">
        <v>32</v>
      </c>
      <c r="Q375" s="2">
        <v>0</v>
      </c>
      <c r="R375" s="2">
        <v>2662.1869328828761</v>
      </c>
      <c r="S375" t="s">
        <v>33</v>
      </c>
      <c r="T375" t="s">
        <v>74</v>
      </c>
      <c r="U375" t="s">
        <v>35</v>
      </c>
      <c r="V375" t="s">
        <v>36</v>
      </c>
      <c r="W375" t="s">
        <v>64</v>
      </c>
      <c r="X375" s="2">
        <v>8895.6869328828761</v>
      </c>
      <c r="Y375" s="2">
        <v>6233.5</v>
      </c>
      <c r="Z375" s="2">
        <v>2662.1869328828761</v>
      </c>
      <c r="AA375" s="3">
        <v>2.776003058272029E-2</v>
      </c>
      <c r="AB375" s="3">
        <v>0</v>
      </c>
      <c r="AC375" t="s">
        <v>38</v>
      </c>
    </row>
    <row r="376" spans="1:29" x14ac:dyDescent="0.3">
      <c r="A376" t="s">
        <v>811</v>
      </c>
      <c r="B376" t="s">
        <v>812</v>
      </c>
      <c r="C376" t="s">
        <v>31</v>
      </c>
      <c r="D376" s="2">
        <v>60600</v>
      </c>
      <c r="E376" s="3">
        <v>0.1</v>
      </c>
      <c r="F376" s="2">
        <v>6060</v>
      </c>
      <c r="G376" s="2">
        <v>54540</v>
      </c>
      <c r="H376" s="3">
        <v>0.16869999999999999</v>
      </c>
      <c r="I376">
        <v>12</v>
      </c>
      <c r="J376" s="3">
        <v>1.4058333333333331E-2</v>
      </c>
      <c r="K376" s="2">
        <v>4970.9430178546172</v>
      </c>
      <c r="L376" s="2">
        <v>59651.316214255407</v>
      </c>
      <c r="M376" s="2">
        <v>5111.3162142554074</v>
      </c>
      <c r="N376" s="2">
        <v>545.4</v>
      </c>
      <c r="O376" s="2">
        <v>3545.1</v>
      </c>
      <c r="P376" t="s">
        <v>42</v>
      </c>
      <c r="Q376" s="2">
        <v>21816</v>
      </c>
      <c r="R376" s="2">
        <v>-19704.383785744591</v>
      </c>
      <c r="S376" t="s">
        <v>77</v>
      </c>
      <c r="T376" t="s">
        <v>107</v>
      </c>
      <c r="U376" t="s">
        <v>35</v>
      </c>
      <c r="V376" t="s">
        <v>63</v>
      </c>
      <c r="W376" t="s">
        <v>64</v>
      </c>
      <c r="X376" s="2">
        <v>5656.7162142554062</v>
      </c>
      <c r="Y376" s="2">
        <v>25361.1</v>
      </c>
      <c r="Z376" s="2">
        <v>-19704.383785744591</v>
      </c>
      <c r="AA376" s="3">
        <v>-0.36128316438842312</v>
      </c>
      <c r="AB376" s="3">
        <v>0.4</v>
      </c>
      <c r="AC376" t="s">
        <v>38</v>
      </c>
    </row>
    <row r="377" spans="1:29" x14ac:dyDescent="0.3">
      <c r="A377" t="s">
        <v>813</v>
      </c>
      <c r="B377" t="s">
        <v>814</v>
      </c>
      <c r="C377" t="s">
        <v>56</v>
      </c>
      <c r="D377" s="2">
        <v>596900</v>
      </c>
      <c r="E377" s="3">
        <v>0.3</v>
      </c>
      <c r="F377" s="2">
        <v>179070</v>
      </c>
      <c r="G377" s="2">
        <v>417830</v>
      </c>
      <c r="H377" s="3">
        <v>0.1138</v>
      </c>
      <c r="I377">
        <v>36</v>
      </c>
      <c r="J377" s="3">
        <v>9.4833333333333332E-3</v>
      </c>
      <c r="K377" s="2">
        <v>13754.530916934789</v>
      </c>
      <c r="L377" s="2">
        <v>495163.11300965259</v>
      </c>
      <c r="M377" s="2">
        <v>77333.113009652589</v>
      </c>
      <c r="N377" s="2">
        <v>4178.3</v>
      </c>
      <c r="O377" s="2">
        <v>81476.850000000006</v>
      </c>
      <c r="P377" t="s">
        <v>32</v>
      </c>
      <c r="Q377" s="2">
        <v>0</v>
      </c>
      <c r="R377" s="2">
        <v>34.563009652585613</v>
      </c>
      <c r="S377" t="s">
        <v>57</v>
      </c>
      <c r="T377" t="s">
        <v>74</v>
      </c>
      <c r="U377" t="s">
        <v>151</v>
      </c>
      <c r="V377" t="s">
        <v>36</v>
      </c>
      <c r="W377" t="s">
        <v>37</v>
      </c>
      <c r="X377" s="2">
        <v>81511.413009652591</v>
      </c>
      <c r="Y377" s="2">
        <v>81476.850000000006</v>
      </c>
      <c r="Z377" s="2">
        <v>34.563009652585613</v>
      </c>
      <c r="AA377" s="3">
        <v>8.2720268177454006E-5</v>
      </c>
      <c r="AB377" s="3">
        <v>0</v>
      </c>
      <c r="AC377" t="s">
        <v>38</v>
      </c>
    </row>
    <row r="378" spans="1:29" x14ac:dyDescent="0.3">
      <c r="A378" t="s">
        <v>815</v>
      </c>
      <c r="B378" t="s">
        <v>816</v>
      </c>
      <c r="C378" t="s">
        <v>41</v>
      </c>
      <c r="D378" s="2">
        <v>77000</v>
      </c>
      <c r="E378" s="3">
        <v>0</v>
      </c>
      <c r="F378" s="2">
        <v>0</v>
      </c>
      <c r="G378" s="2">
        <v>77000</v>
      </c>
      <c r="H378" s="3">
        <v>0.17760000000000001</v>
      </c>
      <c r="I378">
        <v>12</v>
      </c>
      <c r="J378" s="3">
        <v>1.4800000000000001E-2</v>
      </c>
      <c r="K378" s="2">
        <v>7050.5675555530206</v>
      </c>
      <c r="L378" s="2">
        <v>84606.810666636244</v>
      </c>
      <c r="M378" s="2">
        <v>7606.8106666362437</v>
      </c>
      <c r="N378" s="2">
        <v>770</v>
      </c>
      <c r="O378" s="2">
        <v>5005</v>
      </c>
      <c r="P378" t="s">
        <v>32</v>
      </c>
      <c r="Q378" s="2">
        <v>0</v>
      </c>
      <c r="R378" s="2">
        <v>3371.8106666362442</v>
      </c>
      <c r="S378" t="s">
        <v>33</v>
      </c>
      <c r="T378" t="s">
        <v>70</v>
      </c>
      <c r="U378" t="s">
        <v>35</v>
      </c>
      <c r="V378" t="s">
        <v>63</v>
      </c>
      <c r="W378" t="s">
        <v>64</v>
      </c>
      <c r="X378" s="2">
        <v>8376.8106666362437</v>
      </c>
      <c r="Y378" s="2">
        <v>5005</v>
      </c>
      <c r="Z378" s="2">
        <v>3371.8106666362442</v>
      </c>
      <c r="AA378" s="3">
        <v>4.3789748917353807E-2</v>
      </c>
      <c r="AB378" s="3">
        <v>0</v>
      </c>
      <c r="AC378" t="s">
        <v>38</v>
      </c>
    </row>
    <row r="379" spans="1:29" x14ac:dyDescent="0.3">
      <c r="A379" t="s">
        <v>817</v>
      </c>
      <c r="B379" t="s">
        <v>818</v>
      </c>
      <c r="C379" t="s">
        <v>31</v>
      </c>
      <c r="D379" s="2">
        <v>72600</v>
      </c>
      <c r="E379" s="3">
        <v>0.05</v>
      </c>
      <c r="F379" s="2">
        <v>3630</v>
      </c>
      <c r="G379" s="2">
        <v>68970</v>
      </c>
      <c r="H379" s="3">
        <v>0.1179</v>
      </c>
      <c r="I379">
        <v>60</v>
      </c>
      <c r="J379" s="3">
        <v>9.8250000000000004E-3</v>
      </c>
      <c r="K379" s="2">
        <v>1526.8905117450549</v>
      </c>
      <c r="L379" s="2">
        <v>91613.430704703278</v>
      </c>
      <c r="M379" s="2">
        <v>22643.430704703282</v>
      </c>
      <c r="N379" s="2">
        <v>689.7</v>
      </c>
      <c r="O379" s="2">
        <v>22415.25</v>
      </c>
      <c r="P379" t="s">
        <v>32</v>
      </c>
      <c r="Q379" s="2">
        <v>0</v>
      </c>
      <c r="R379" s="2">
        <v>917.88070470327875</v>
      </c>
      <c r="S379" t="s">
        <v>33</v>
      </c>
      <c r="T379" t="s">
        <v>116</v>
      </c>
      <c r="U379" t="s">
        <v>35</v>
      </c>
      <c r="V379" t="s">
        <v>36</v>
      </c>
      <c r="W379" t="s">
        <v>49</v>
      </c>
      <c r="X379" s="2">
        <v>23333.130704703279</v>
      </c>
      <c r="Y379" s="2">
        <v>22415.25</v>
      </c>
      <c r="Z379" s="2">
        <v>917.88070470327875</v>
      </c>
      <c r="AA379" s="3">
        <v>1.3308405171861369E-2</v>
      </c>
      <c r="AB379" s="3">
        <v>0</v>
      </c>
      <c r="AC379" t="s">
        <v>38</v>
      </c>
    </row>
    <row r="380" spans="1:29" x14ac:dyDescent="0.3">
      <c r="A380" t="s">
        <v>819</v>
      </c>
      <c r="B380" t="s">
        <v>820</v>
      </c>
      <c r="C380" t="s">
        <v>56</v>
      </c>
      <c r="D380" s="2">
        <v>1250900</v>
      </c>
      <c r="E380" s="3">
        <v>0.3</v>
      </c>
      <c r="F380" s="2">
        <v>375270</v>
      </c>
      <c r="G380" s="2">
        <v>875630</v>
      </c>
      <c r="H380" s="3">
        <v>9.4299999999999995E-2</v>
      </c>
      <c r="I380">
        <v>36</v>
      </c>
      <c r="J380" s="3">
        <v>7.8583333333333335E-3</v>
      </c>
      <c r="K380" s="2">
        <v>28020.368302681771</v>
      </c>
      <c r="L380" s="2">
        <v>1008733.258896544</v>
      </c>
      <c r="M380" s="2">
        <v>133103.25889654379</v>
      </c>
      <c r="N380" s="2">
        <v>8756.2999999999993</v>
      </c>
      <c r="O380" s="2">
        <v>170747.85</v>
      </c>
      <c r="P380" t="s">
        <v>32</v>
      </c>
      <c r="Q380" s="2">
        <v>0</v>
      </c>
      <c r="R380" s="2">
        <v>-28888.29110345626</v>
      </c>
      <c r="S380" t="s">
        <v>77</v>
      </c>
      <c r="T380" t="s">
        <v>74</v>
      </c>
      <c r="U380" t="s">
        <v>59</v>
      </c>
      <c r="V380" t="s">
        <v>71</v>
      </c>
      <c r="W380" t="s">
        <v>37</v>
      </c>
      <c r="X380" s="2">
        <v>141859.55889654369</v>
      </c>
      <c r="Y380" s="2">
        <v>170747.85</v>
      </c>
      <c r="Z380" s="2">
        <v>-28888.29110345626</v>
      </c>
      <c r="AA380" s="3">
        <v>-3.2991435998602443E-2</v>
      </c>
      <c r="AB380" s="3">
        <v>0</v>
      </c>
      <c r="AC380" t="s">
        <v>38</v>
      </c>
    </row>
    <row r="381" spans="1:29" x14ac:dyDescent="0.3">
      <c r="A381" t="s">
        <v>821</v>
      </c>
      <c r="B381" t="s">
        <v>822</v>
      </c>
      <c r="C381" t="s">
        <v>86</v>
      </c>
      <c r="D381" s="2">
        <v>95900</v>
      </c>
      <c r="E381" s="3">
        <v>0.1</v>
      </c>
      <c r="F381" s="2">
        <v>9590</v>
      </c>
      <c r="G381" s="2">
        <v>86310</v>
      </c>
      <c r="H381" s="3">
        <v>0.19919999999999999</v>
      </c>
      <c r="I381">
        <v>6</v>
      </c>
      <c r="J381" s="3">
        <v>1.66E-2</v>
      </c>
      <c r="K381" s="2">
        <v>15232.233136817171</v>
      </c>
      <c r="L381" s="2">
        <v>91393.39882090305</v>
      </c>
      <c r="M381" s="2">
        <v>5083.3988209030504</v>
      </c>
      <c r="N381" s="2">
        <v>863.1</v>
      </c>
      <c r="O381" s="2">
        <v>2805.0749999999998</v>
      </c>
      <c r="P381" t="s">
        <v>32</v>
      </c>
      <c r="Q381" s="2">
        <v>0</v>
      </c>
      <c r="R381" s="2">
        <v>3141.42382090305</v>
      </c>
      <c r="S381" t="s">
        <v>57</v>
      </c>
      <c r="T381" t="s">
        <v>74</v>
      </c>
      <c r="U381" t="s">
        <v>35</v>
      </c>
      <c r="V381" t="s">
        <v>63</v>
      </c>
      <c r="W381" t="s">
        <v>64</v>
      </c>
      <c r="X381" s="2">
        <v>5946.4988209030507</v>
      </c>
      <c r="Y381" s="2">
        <v>2805.0749999999998</v>
      </c>
      <c r="Z381" s="2">
        <v>3141.42382090305</v>
      </c>
      <c r="AA381" s="3">
        <v>3.6396985527784163E-2</v>
      </c>
      <c r="AB381" s="3">
        <v>0</v>
      </c>
      <c r="AC381" t="s">
        <v>38</v>
      </c>
    </row>
    <row r="382" spans="1:29" x14ac:dyDescent="0.3">
      <c r="A382" t="s">
        <v>823</v>
      </c>
      <c r="B382" t="s">
        <v>824</v>
      </c>
      <c r="C382" t="s">
        <v>31</v>
      </c>
      <c r="D382" s="2">
        <v>191200</v>
      </c>
      <c r="E382" s="3">
        <v>0.05</v>
      </c>
      <c r="F382" s="2">
        <v>9560</v>
      </c>
      <c r="G382" s="2">
        <v>181640</v>
      </c>
      <c r="H382" s="3">
        <v>0.16370000000000001</v>
      </c>
      <c r="I382">
        <v>24</v>
      </c>
      <c r="J382" s="3">
        <v>1.364166666666667E-2</v>
      </c>
      <c r="K382" s="2">
        <v>8925.8048663424215</v>
      </c>
      <c r="L382" s="2">
        <v>214219.3167922181</v>
      </c>
      <c r="M382" s="2">
        <v>32579.316792218131</v>
      </c>
      <c r="N382" s="2">
        <v>1816.4</v>
      </c>
      <c r="O382" s="2">
        <v>23613.200000000001</v>
      </c>
      <c r="P382" t="s">
        <v>32</v>
      </c>
      <c r="Q382" s="2">
        <v>0</v>
      </c>
      <c r="R382" s="2">
        <v>10782.51679221813</v>
      </c>
      <c r="S382" t="s">
        <v>33</v>
      </c>
      <c r="T382" t="s">
        <v>74</v>
      </c>
      <c r="U382" t="s">
        <v>48</v>
      </c>
      <c r="V382" t="s">
        <v>63</v>
      </c>
      <c r="W382" t="s">
        <v>37</v>
      </c>
      <c r="X382" s="2">
        <v>34395.716792218132</v>
      </c>
      <c r="Y382" s="2">
        <v>23613.200000000001</v>
      </c>
      <c r="Z382" s="2">
        <v>10782.51679221813</v>
      </c>
      <c r="AA382" s="3">
        <v>5.9362017133991037E-2</v>
      </c>
      <c r="AB382" s="3">
        <v>0</v>
      </c>
      <c r="AC382" t="s">
        <v>38</v>
      </c>
    </row>
    <row r="383" spans="1:29" x14ac:dyDescent="0.3">
      <c r="A383" t="s">
        <v>825</v>
      </c>
      <c r="B383" t="s">
        <v>826</v>
      </c>
      <c r="C383" t="s">
        <v>41</v>
      </c>
      <c r="D383" s="2">
        <v>104500</v>
      </c>
      <c r="E383" s="3">
        <v>0.1</v>
      </c>
      <c r="F383" s="2">
        <v>10450</v>
      </c>
      <c r="G383" s="2">
        <v>94050</v>
      </c>
      <c r="H383" s="3">
        <v>0.17549999999999999</v>
      </c>
      <c r="I383">
        <v>6</v>
      </c>
      <c r="J383" s="3">
        <v>1.4625000000000001E-2</v>
      </c>
      <c r="K383" s="2">
        <v>16487.070794819148</v>
      </c>
      <c r="L383" s="2">
        <v>98922.424768914905</v>
      </c>
      <c r="M383" s="2">
        <v>4872.4247689149051</v>
      </c>
      <c r="N383" s="2">
        <v>940.5</v>
      </c>
      <c r="O383" s="2">
        <v>3056.625</v>
      </c>
      <c r="P383" t="s">
        <v>42</v>
      </c>
      <c r="Q383" s="2">
        <v>37620</v>
      </c>
      <c r="R383" s="2">
        <v>-34863.700231085088</v>
      </c>
      <c r="S383" t="s">
        <v>57</v>
      </c>
      <c r="T383" t="s">
        <v>44</v>
      </c>
      <c r="U383" t="s">
        <v>35</v>
      </c>
      <c r="V383" t="s">
        <v>63</v>
      </c>
      <c r="W383" t="s">
        <v>64</v>
      </c>
      <c r="X383" s="2">
        <v>5812.9247689149051</v>
      </c>
      <c r="Y383" s="2">
        <v>40676.625</v>
      </c>
      <c r="Z383" s="2">
        <v>-34863.700231085088</v>
      </c>
      <c r="AA383" s="3">
        <v>-0.37069325072924081</v>
      </c>
      <c r="AB383" s="3">
        <v>0.4</v>
      </c>
      <c r="AC383" t="s">
        <v>38</v>
      </c>
    </row>
    <row r="384" spans="1:29" x14ac:dyDescent="0.3">
      <c r="A384" t="s">
        <v>827</v>
      </c>
      <c r="B384" t="s">
        <v>828</v>
      </c>
      <c r="C384" t="s">
        <v>31</v>
      </c>
      <c r="D384" s="2">
        <v>84900</v>
      </c>
      <c r="E384" s="3">
        <v>0.2</v>
      </c>
      <c r="F384" s="2">
        <v>16980</v>
      </c>
      <c r="G384" s="2">
        <v>67920</v>
      </c>
      <c r="H384" s="3">
        <v>0.1424</v>
      </c>
      <c r="I384">
        <v>24</v>
      </c>
      <c r="J384" s="3">
        <v>1.1866666666666669E-2</v>
      </c>
      <c r="K384" s="2">
        <v>3268.741042671636</v>
      </c>
      <c r="L384" s="2">
        <v>78449.785024119279</v>
      </c>
      <c r="M384" s="2">
        <v>10529.785024119279</v>
      </c>
      <c r="N384" s="2">
        <v>679.2</v>
      </c>
      <c r="O384" s="2">
        <v>8829.6</v>
      </c>
      <c r="P384" t="s">
        <v>32</v>
      </c>
      <c r="Q384" s="2">
        <v>0</v>
      </c>
      <c r="R384" s="2">
        <v>2379.385024119279</v>
      </c>
      <c r="S384" t="s">
        <v>33</v>
      </c>
      <c r="T384" t="s">
        <v>47</v>
      </c>
      <c r="U384" t="s">
        <v>35</v>
      </c>
      <c r="V384" t="s">
        <v>36</v>
      </c>
      <c r="W384" t="s">
        <v>37</v>
      </c>
      <c r="X384" s="2">
        <v>11208.98502411928</v>
      </c>
      <c r="Y384" s="2">
        <v>8829.6</v>
      </c>
      <c r="Z384" s="2">
        <v>2379.385024119279</v>
      </c>
      <c r="AA384" s="3">
        <v>3.5032170555348643E-2</v>
      </c>
      <c r="AB384" s="3">
        <v>0</v>
      </c>
      <c r="AC384" t="s">
        <v>38</v>
      </c>
    </row>
    <row r="385" spans="1:29" x14ac:dyDescent="0.3">
      <c r="A385" t="s">
        <v>829</v>
      </c>
      <c r="B385" t="s">
        <v>830</v>
      </c>
      <c r="C385" t="s">
        <v>31</v>
      </c>
      <c r="D385" s="2">
        <v>82300</v>
      </c>
      <c r="E385" s="3">
        <v>0.2</v>
      </c>
      <c r="F385" s="2">
        <v>16460</v>
      </c>
      <c r="G385" s="2">
        <v>65840</v>
      </c>
      <c r="H385" s="3">
        <v>0.17369999999999999</v>
      </c>
      <c r="I385">
        <v>60</v>
      </c>
      <c r="J385" s="3">
        <v>1.4475E-2</v>
      </c>
      <c r="K385" s="2">
        <v>1649.4207806402931</v>
      </c>
      <c r="L385" s="2">
        <v>98965.246838417588</v>
      </c>
      <c r="M385" s="2">
        <v>33125.246838417588</v>
      </c>
      <c r="N385" s="2">
        <v>658.4</v>
      </c>
      <c r="O385" s="2">
        <v>21398</v>
      </c>
      <c r="P385" t="s">
        <v>32</v>
      </c>
      <c r="Q385" s="2">
        <v>0</v>
      </c>
      <c r="R385" s="2">
        <v>12385.64683841759</v>
      </c>
      <c r="S385" t="s">
        <v>77</v>
      </c>
      <c r="T385" t="s">
        <v>116</v>
      </c>
      <c r="U385" t="s">
        <v>35</v>
      </c>
      <c r="V385" t="s">
        <v>63</v>
      </c>
      <c r="W385" t="s">
        <v>49</v>
      </c>
      <c r="X385" s="2">
        <v>33783.64683841759</v>
      </c>
      <c r="Y385" s="2">
        <v>21398</v>
      </c>
      <c r="Z385" s="2">
        <v>12385.64683841759</v>
      </c>
      <c r="AA385" s="3">
        <v>0.1881173578131469</v>
      </c>
      <c r="AB385" s="3">
        <v>0</v>
      </c>
      <c r="AC385" t="s">
        <v>38</v>
      </c>
    </row>
    <row r="386" spans="1:29" x14ac:dyDescent="0.3">
      <c r="A386" t="s">
        <v>831</v>
      </c>
      <c r="B386" t="s">
        <v>832</v>
      </c>
      <c r="C386" t="s">
        <v>56</v>
      </c>
      <c r="D386" s="2">
        <v>493400</v>
      </c>
      <c r="E386" s="3">
        <v>0.25</v>
      </c>
      <c r="F386" s="2">
        <v>123350</v>
      </c>
      <c r="G386" s="2">
        <v>370050</v>
      </c>
      <c r="H386" s="3">
        <v>8.7900000000000006E-2</v>
      </c>
      <c r="I386">
        <v>48</v>
      </c>
      <c r="J386" s="3">
        <v>7.3250000000000008E-3</v>
      </c>
      <c r="K386" s="2">
        <v>9171.8545718406203</v>
      </c>
      <c r="L386" s="2">
        <v>440249.01944834978</v>
      </c>
      <c r="M386" s="2">
        <v>70199.019448349776</v>
      </c>
      <c r="N386" s="2">
        <v>3700.5</v>
      </c>
      <c r="O386" s="2">
        <v>96213</v>
      </c>
      <c r="P386" t="s">
        <v>52</v>
      </c>
      <c r="Q386" s="2">
        <v>0</v>
      </c>
      <c r="R386" s="2">
        <v>-22313.48055165022</v>
      </c>
      <c r="S386" t="s">
        <v>33</v>
      </c>
      <c r="T386" t="s">
        <v>107</v>
      </c>
      <c r="U386" t="s">
        <v>151</v>
      </c>
      <c r="V386" t="s">
        <v>71</v>
      </c>
      <c r="W386" t="s">
        <v>49</v>
      </c>
      <c r="X386" s="2">
        <v>73899.519448349776</v>
      </c>
      <c r="Y386" s="2">
        <v>96213</v>
      </c>
      <c r="Z386" s="2">
        <v>-22313.48055165022</v>
      </c>
      <c r="AA386" s="3">
        <v>-6.0298555740170852E-2</v>
      </c>
      <c r="AB386" s="3">
        <v>0</v>
      </c>
      <c r="AC386" t="s">
        <v>38</v>
      </c>
    </row>
    <row r="387" spans="1:29" x14ac:dyDescent="0.3">
      <c r="A387" t="s">
        <v>833</v>
      </c>
      <c r="B387" t="s">
        <v>834</v>
      </c>
      <c r="C387" t="s">
        <v>31</v>
      </c>
      <c r="D387" s="2">
        <v>91400</v>
      </c>
      <c r="E387" s="3">
        <v>0.2</v>
      </c>
      <c r="F387" s="2">
        <v>18280</v>
      </c>
      <c r="G387" s="2">
        <v>73120</v>
      </c>
      <c r="H387" s="3">
        <v>0.12330000000000001</v>
      </c>
      <c r="I387">
        <v>36</v>
      </c>
      <c r="J387" s="3">
        <v>1.0274999999999999E-2</v>
      </c>
      <c r="K387" s="2">
        <v>2440.1712229168529</v>
      </c>
      <c r="L387" s="2">
        <v>87846.164025006728</v>
      </c>
      <c r="M387" s="2">
        <v>14726.16402500673</v>
      </c>
      <c r="N387" s="2">
        <v>731.2</v>
      </c>
      <c r="O387" s="2">
        <v>14258.4</v>
      </c>
      <c r="P387" t="s">
        <v>32</v>
      </c>
      <c r="Q387" s="2">
        <v>0</v>
      </c>
      <c r="R387" s="2">
        <v>1198.964025006728</v>
      </c>
      <c r="S387" t="s">
        <v>77</v>
      </c>
      <c r="T387" t="s">
        <v>53</v>
      </c>
      <c r="U387" t="s">
        <v>35</v>
      </c>
      <c r="V387" t="s">
        <v>36</v>
      </c>
      <c r="W387" t="s">
        <v>37</v>
      </c>
      <c r="X387" s="2">
        <v>15457.364025006729</v>
      </c>
      <c r="Y387" s="2">
        <v>14258.4</v>
      </c>
      <c r="Z387" s="2">
        <v>1198.964025006728</v>
      </c>
      <c r="AA387" s="3">
        <v>1.6397210407641239E-2</v>
      </c>
      <c r="AB387" s="3">
        <v>0</v>
      </c>
      <c r="AC387" t="s">
        <v>38</v>
      </c>
    </row>
    <row r="388" spans="1:29" x14ac:dyDescent="0.3">
      <c r="A388" t="s">
        <v>835</v>
      </c>
      <c r="B388" t="s">
        <v>836</v>
      </c>
      <c r="C388" t="s">
        <v>41</v>
      </c>
      <c r="D388" s="2">
        <v>54200</v>
      </c>
      <c r="E388" s="3">
        <v>0.2</v>
      </c>
      <c r="F388" s="2">
        <v>10840</v>
      </c>
      <c r="G388" s="2">
        <v>43360</v>
      </c>
      <c r="H388" s="3">
        <v>0.19550000000000001</v>
      </c>
      <c r="I388">
        <v>9</v>
      </c>
      <c r="J388" s="3">
        <v>1.629166666666667E-2</v>
      </c>
      <c r="K388" s="2">
        <v>5218.6790583428792</v>
      </c>
      <c r="L388" s="2">
        <v>46968.111525085907</v>
      </c>
      <c r="M388" s="2">
        <v>3608.1115250859152</v>
      </c>
      <c r="N388" s="2">
        <v>499</v>
      </c>
      <c r="O388" s="2">
        <v>2113.8000000000002</v>
      </c>
      <c r="P388" t="s">
        <v>52</v>
      </c>
      <c r="Q388" s="2">
        <v>0</v>
      </c>
      <c r="R388" s="2">
        <v>1993.311525085915</v>
      </c>
      <c r="S388" t="s">
        <v>33</v>
      </c>
      <c r="T388" t="s">
        <v>47</v>
      </c>
      <c r="U388" t="s">
        <v>35</v>
      </c>
      <c r="V388" t="s">
        <v>63</v>
      </c>
      <c r="W388" t="s">
        <v>64</v>
      </c>
      <c r="X388" s="2">
        <v>4107.1115250859148</v>
      </c>
      <c r="Y388" s="2">
        <v>2113.8000000000002</v>
      </c>
      <c r="Z388" s="2">
        <v>1993.311525085915</v>
      </c>
      <c r="AA388" s="3">
        <v>4.5971206759361498E-2</v>
      </c>
      <c r="AB388" s="3">
        <v>0</v>
      </c>
      <c r="AC388" t="s">
        <v>38</v>
      </c>
    </row>
    <row r="389" spans="1:29" x14ac:dyDescent="0.3">
      <c r="A389" t="s">
        <v>837</v>
      </c>
      <c r="B389" t="s">
        <v>838</v>
      </c>
      <c r="C389" t="s">
        <v>41</v>
      </c>
      <c r="D389" s="2">
        <v>64300</v>
      </c>
      <c r="E389" s="3">
        <v>0.05</v>
      </c>
      <c r="F389" s="2">
        <v>3215</v>
      </c>
      <c r="G389" s="2">
        <v>61085</v>
      </c>
      <c r="H389" s="3">
        <v>0.12970000000000001</v>
      </c>
      <c r="I389">
        <v>12</v>
      </c>
      <c r="J389" s="3">
        <v>1.080833333333333E-2</v>
      </c>
      <c r="K389" s="2">
        <v>5455.0860561351792</v>
      </c>
      <c r="L389" s="2">
        <v>65461.032673622147</v>
      </c>
      <c r="M389" s="2">
        <v>4376.0326736221468</v>
      </c>
      <c r="N389" s="2">
        <v>610.85</v>
      </c>
      <c r="O389" s="2">
        <v>3970.5250000000001</v>
      </c>
      <c r="P389" t="s">
        <v>32</v>
      </c>
      <c r="Q389" s="2">
        <v>0</v>
      </c>
      <c r="R389" s="2">
        <v>1016.357673622147</v>
      </c>
      <c r="S389" t="s">
        <v>57</v>
      </c>
      <c r="T389" t="s">
        <v>204</v>
      </c>
      <c r="U389" t="s">
        <v>35</v>
      </c>
      <c r="V389" t="s">
        <v>36</v>
      </c>
      <c r="W389" t="s">
        <v>64</v>
      </c>
      <c r="X389" s="2">
        <v>4986.8826736221472</v>
      </c>
      <c r="Y389" s="2">
        <v>3970.5250000000001</v>
      </c>
      <c r="Z389" s="2">
        <v>1016.357673622147</v>
      </c>
      <c r="AA389" s="3">
        <v>1.6638416528151709E-2</v>
      </c>
      <c r="AB389" s="3">
        <v>0</v>
      </c>
      <c r="AC389" t="s">
        <v>38</v>
      </c>
    </row>
    <row r="390" spans="1:29" x14ac:dyDescent="0.3">
      <c r="A390" t="s">
        <v>839</v>
      </c>
      <c r="B390" t="s">
        <v>840</v>
      </c>
      <c r="C390" t="s">
        <v>56</v>
      </c>
      <c r="D390" s="2">
        <v>499500</v>
      </c>
      <c r="E390" s="3">
        <v>0.3</v>
      </c>
      <c r="F390" s="2">
        <v>149850</v>
      </c>
      <c r="G390" s="2">
        <v>349650</v>
      </c>
      <c r="H390" s="3">
        <v>0.10920000000000001</v>
      </c>
      <c r="I390">
        <v>60</v>
      </c>
      <c r="J390" s="3">
        <v>9.1000000000000004E-3</v>
      </c>
      <c r="K390" s="2">
        <v>7588.2957817965435</v>
      </c>
      <c r="L390" s="2">
        <v>455297.74690779258</v>
      </c>
      <c r="M390" s="2">
        <v>105647.74690779261</v>
      </c>
      <c r="N390" s="2">
        <v>3496.5</v>
      </c>
      <c r="O390" s="2">
        <v>113636.25</v>
      </c>
      <c r="P390" t="s">
        <v>52</v>
      </c>
      <c r="Q390" s="2">
        <v>0</v>
      </c>
      <c r="R390" s="2">
        <v>-4492.0030922073638</v>
      </c>
      <c r="S390" t="s">
        <v>77</v>
      </c>
      <c r="T390" t="s">
        <v>47</v>
      </c>
      <c r="U390" t="s">
        <v>151</v>
      </c>
      <c r="V390" t="s">
        <v>36</v>
      </c>
      <c r="W390" t="s">
        <v>49</v>
      </c>
      <c r="X390" s="2">
        <v>109144.24690779261</v>
      </c>
      <c r="Y390" s="2">
        <v>113636.25</v>
      </c>
      <c r="Z390" s="2">
        <v>-4492.0030922073638</v>
      </c>
      <c r="AA390" s="3">
        <v>-1.284714169085475E-2</v>
      </c>
      <c r="AB390" s="3">
        <v>0</v>
      </c>
      <c r="AC390" t="s">
        <v>38</v>
      </c>
    </row>
    <row r="391" spans="1:29" x14ac:dyDescent="0.3">
      <c r="A391" t="s">
        <v>841</v>
      </c>
      <c r="B391" t="s">
        <v>842</v>
      </c>
      <c r="C391" t="s">
        <v>86</v>
      </c>
      <c r="D391" s="2">
        <v>35800</v>
      </c>
      <c r="E391" s="3">
        <v>0</v>
      </c>
      <c r="F391" s="2">
        <v>0</v>
      </c>
      <c r="G391" s="2">
        <v>35800</v>
      </c>
      <c r="H391" s="3">
        <v>0.16850000000000001</v>
      </c>
      <c r="I391">
        <v>18</v>
      </c>
      <c r="J391" s="3">
        <v>1.4041666666666669E-2</v>
      </c>
      <c r="K391" s="2">
        <v>2264.669200928869</v>
      </c>
      <c r="L391" s="2">
        <v>40764.045616719653</v>
      </c>
      <c r="M391" s="2">
        <v>4964.0456167196526</v>
      </c>
      <c r="N391" s="2">
        <v>499</v>
      </c>
      <c r="O391" s="2">
        <v>3490.5</v>
      </c>
      <c r="P391" t="s">
        <v>32</v>
      </c>
      <c r="Q391" s="2">
        <v>0</v>
      </c>
      <c r="R391" s="2">
        <v>1972.545616719653</v>
      </c>
      <c r="S391" t="s">
        <v>77</v>
      </c>
      <c r="T391" t="s">
        <v>47</v>
      </c>
      <c r="U391" t="s">
        <v>35</v>
      </c>
      <c r="V391" t="s">
        <v>63</v>
      </c>
      <c r="W391" t="s">
        <v>37</v>
      </c>
      <c r="X391" s="2">
        <v>5463.0456167196526</v>
      </c>
      <c r="Y391" s="2">
        <v>3490.5</v>
      </c>
      <c r="Z391" s="2">
        <v>1972.545616719653</v>
      </c>
      <c r="AA391" s="3">
        <v>5.5099039573174677E-2</v>
      </c>
      <c r="AB391" s="3">
        <v>0</v>
      </c>
      <c r="AC391" t="s">
        <v>38</v>
      </c>
    </row>
    <row r="392" spans="1:29" x14ac:dyDescent="0.3">
      <c r="A392" t="s">
        <v>843</v>
      </c>
      <c r="B392" t="s">
        <v>844</v>
      </c>
      <c r="C392" t="s">
        <v>86</v>
      </c>
      <c r="D392" s="2">
        <v>53300</v>
      </c>
      <c r="E392" s="3">
        <v>0.15</v>
      </c>
      <c r="F392" s="2">
        <v>7995</v>
      </c>
      <c r="G392" s="2">
        <v>45305</v>
      </c>
      <c r="H392" s="3">
        <v>0.1762</v>
      </c>
      <c r="I392">
        <v>24</v>
      </c>
      <c r="J392" s="3">
        <v>1.4683333333333329E-2</v>
      </c>
      <c r="K392" s="2">
        <v>2253.501860788022</v>
      </c>
      <c r="L392" s="2">
        <v>54084.04465891252</v>
      </c>
      <c r="M392" s="2">
        <v>8779.0446589125204</v>
      </c>
      <c r="N392" s="2">
        <v>499</v>
      </c>
      <c r="O392" s="2">
        <v>5889.6500000000005</v>
      </c>
      <c r="P392" t="s">
        <v>52</v>
      </c>
      <c r="Q392" s="2">
        <v>0</v>
      </c>
      <c r="R392" s="2">
        <v>3388.3946589125198</v>
      </c>
      <c r="S392" t="s">
        <v>57</v>
      </c>
      <c r="T392" t="s">
        <v>58</v>
      </c>
      <c r="U392" t="s">
        <v>35</v>
      </c>
      <c r="V392" t="s">
        <v>63</v>
      </c>
      <c r="W392" t="s">
        <v>37</v>
      </c>
      <c r="X392" s="2">
        <v>9278.0446589125204</v>
      </c>
      <c r="Y392" s="2">
        <v>5889.6500000000005</v>
      </c>
      <c r="Z392" s="2">
        <v>3388.3946589125198</v>
      </c>
      <c r="AA392" s="3">
        <v>7.4790744043980131E-2</v>
      </c>
      <c r="AB392" s="3">
        <v>0</v>
      </c>
      <c r="AC392" t="s">
        <v>38</v>
      </c>
    </row>
    <row r="393" spans="1:29" x14ac:dyDescent="0.3">
      <c r="A393" t="s">
        <v>845</v>
      </c>
      <c r="B393" t="s">
        <v>846</v>
      </c>
      <c r="C393" t="s">
        <v>56</v>
      </c>
      <c r="D393" s="2">
        <v>553800</v>
      </c>
      <c r="E393" s="3">
        <v>0.15</v>
      </c>
      <c r="F393" s="2">
        <v>83070</v>
      </c>
      <c r="G393" s="2">
        <v>470730</v>
      </c>
      <c r="H393" s="3">
        <v>8.5400000000000004E-2</v>
      </c>
      <c r="I393">
        <v>48</v>
      </c>
      <c r="J393" s="3">
        <v>7.116666666666667E-3</v>
      </c>
      <c r="K393" s="2">
        <v>11611.58754485855</v>
      </c>
      <c r="L393" s="2">
        <v>557356.20215321041</v>
      </c>
      <c r="M393" s="2">
        <v>86626.202153210412</v>
      </c>
      <c r="N393" s="2">
        <v>4707.3</v>
      </c>
      <c r="O393" s="2">
        <v>122389.8</v>
      </c>
      <c r="P393" t="s">
        <v>52</v>
      </c>
      <c r="Q393" s="2">
        <v>0</v>
      </c>
      <c r="R393" s="2">
        <v>-31056.297846789588</v>
      </c>
      <c r="S393" t="s">
        <v>57</v>
      </c>
      <c r="T393" t="s">
        <v>53</v>
      </c>
      <c r="U393" t="s">
        <v>151</v>
      </c>
      <c r="V393" t="s">
        <v>71</v>
      </c>
      <c r="W393" t="s">
        <v>49</v>
      </c>
      <c r="X393" s="2">
        <v>91333.502153210415</v>
      </c>
      <c r="Y393" s="2">
        <v>122389.8</v>
      </c>
      <c r="Z393" s="2">
        <v>-31056.297846789588</v>
      </c>
      <c r="AA393" s="3">
        <v>-6.5974758028571764E-2</v>
      </c>
      <c r="AB393" s="3">
        <v>0</v>
      </c>
      <c r="AC393" t="s">
        <v>38</v>
      </c>
    </row>
    <row r="394" spans="1:29" x14ac:dyDescent="0.3">
      <c r="A394" t="s">
        <v>847</v>
      </c>
      <c r="B394" t="s">
        <v>848</v>
      </c>
      <c r="C394" t="s">
        <v>31</v>
      </c>
      <c r="D394" s="2">
        <v>285000</v>
      </c>
      <c r="E394" s="3">
        <v>0.15</v>
      </c>
      <c r="F394" s="2">
        <v>42750</v>
      </c>
      <c r="G394" s="2">
        <v>242250</v>
      </c>
      <c r="H394" s="3">
        <v>0.1067</v>
      </c>
      <c r="I394">
        <v>60</v>
      </c>
      <c r="J394" s="3">
        <v>8.8916666666666675E-3</v>
      </c>
      <c r="K394" s="2">
        <v>5227.3216926598216</v>
      </c>
      <c r="L394" s="2">
        <v>313639.30155958928</v>
      </c>
      <c r="M394" s="2">
        <v>71389.301559589279</v>
      </c>
      <c r="N394" s="2">
        <v>2422.5</v>
      </c>
      <c r="O394" s="2">
        <v>78731.25</v>
      </c>
      <c r="P394" t="s">
        <v>32</v>
      </c>
      <c r="Q394" s="2">
        <v>0</v>
      </c>
      <c r="R394" s="2">
        <v>-4919.4484404107207</v>
      </c>
      <c r="S394" t="s">
        <v>33</v>
      </c>
      <c r="T394" t="s">
        <v>62</v>
      </c>
      <c r="U394" t="s">
        <v>48</v>
      </c>
      <c r="V394" t="s">
        <v>36</v>
      </c>
      <c r="W394" t="s">
        <v>49</v>
      </c>
      <c r="X394" s="2">
        <v>73811.801559589279</v>
      </c>
      <c r="Y394" s="2">
        <v>78731.25</v>
      </c>
      <c r="Z394" s="2">
        <v>-4919.4484404107207</v>
      </c>
      <c r="AA394" s="3">
        <v>-2.030732070344983E-2</v>
      </c>
      <c r="AB394" s="3">
        <v>0</v>
      </c>
      <c r="AC394" t="s">
        <v>38</v>
      </c>
    </row>
    <row r="395" spans="1:29" x14ac:dyDescent="0.3">
      <c r="A395" t="s">
        <v>849</v>
      </c>
      <c r="B395" t="s">
        <v>850</v>
      </c>
      <c r="C395" t="s">
        <v>56</v>
      </c>
      <c r="D395" s="2">
        <v>617500</v>
      </c>
      <c r="E395" s="3">
        <v>0.1</v>
      </c>
      <c r="F395" s="2">
        <v>61750</v>
      </c>
      <c r="G395" s="2">
        <v>555750</v>
      </c>
      <c r="H395" s="3">
        <v>0.10440000000000001</v>
      </c>
      <c r="I395">
        <v>48</v>
      </c>
      <c r="J395" s="3">
        <v>8.7000000000000011E-3</v>
      </c>
      <c r="K395" s="2">
        <v>14212.980044844029</v>
      </c>
      <c r="L395" s="2">
        <v>682223.0421525134</v>
      </c>
      <c r="M395" s="2">
        <v>126473.0421525134</v>
      </c>
      <c r="N395" s="2">
        <v>5557.5</v>
      </c>
      <c r="O395" s="2">
        <v>144495</v>
      </c>
      <c r="P395" t="s">
        <v>32</v>
      </c>
      <c r="Q395" s="2">
        <v>0</v>
      </c>
      <c r="R395" s="2">
        <v>-12464.457847486599</v>
      </c>
      <c r="S395" t="s">
        <v>77</v>
      </c>
      <c r="T395" t="s">
        <v>58</v>
      </c>
      <c r="U395" t="s">
        <v>59</v>
      </c>
      <c r="V395" t="s">
        <v>36</v>
      </c>
      <c r="W395" t="s">
        <v>49</v>
      </c>
      <c r="X395" s="2">
        <v>132030.5421525134</v>
      </c>
      <c r="Y395" s="2">
        <v>144495</v>
      </c>
      <c r="Z395" s="2">
        <v>-12464.457847486599</v>
      </c>
      <c r="AA395" s="3">
        <v>-2.2428174264483309E-2</v>
      </c>
      <c r="AB395" s="3">
        <v>0</v>
      </c>
      <c r="AC395" t="s">
        <v>38</v>
      </c>
    </row>
    <row r="396" spans="1:29" x14ac:dyDescent="0.3">
      <c r="A396" t="s">
        <v>851</v>
      </c>
      <c r="B396" t="s">
        <v>852</v>
      </c>
      <c r="C396" t="s">
        <v>86</v>
      </c>
      <c r="D396" s="2">
        <v>59600</v>
      </c>
      <c r="E396" s="3">
        <v>0.1</v>
      </c>
      <c r="F396" s="2">
        <v>5960</v>
      </c>
      <c r="G396" s="2">
        <v>53640</v>
      </c>
      <c r="H396" s="3">
        <v>0.15340000000000001</v>
      </c>
      <c r="I396">
        <v>18</v>
      </c>
      <c r="J396" s="3">
        <v>1.2783333333333331E-2</v>
      </c>
      <c r="K396" s="2">
        <v>3354.9094030739311</v>
      </c>
      <c r="L396" s="2">
        <v>60388.369255330763</v>
      </c>
      <c r="M396" s="2">
        <v>6748.3692553307628</v>
      </c>
      <c r="N396" s="2">
        <v>536.4</v>
      </c>
      <c r="O396" s="2">
        <v>5229.8999999999996</v>
      </c>
      <c r="P396" t="s">
        <v>32</v>
      </c>
      <c r="Q396" s="2">
        <v>0</v>
      </c>
      <c r="R396" s="2">
        <v>2054.8692553307628</v>
      </c>
      <c r="S396" t="s">
        <v>57</v>
      </c>
      <c r="T396" t="s">
        <v>116</v>
      </c>
      <c r="U396" t="s">
        <v>35</v>
      </c>
      <c r="V396" t="s">
        <v>63</v>
      </c>
      <c r="W396" t="s">
        <v>37</v>
      </c>
      <c r="X396" s="2">
        <v>7284.7692553307616</v>
      </c>
      <c r="Y396" s="2">
        <v>5229.8999999999996</v>
      </c>
      <c r="Z396" s="2">
        <v>2054.8692553307628</v>
      </c>
      <c r="AA396" s="3">
        <v>3.8308524521453453E-2</v>
      </c>
      <c r="AB396" s="3">
        <v>0</v>
      </c>
      <c r="AC396" t="s">
        <v>38</v>
      </c>
    </row>
    <row r="397" spans="1:29" x14ac:dyDescent="0.3">
      <c r="A397" t="s">
        <v>853</v>
      </c>
      <c r="B397" t="s">
        <v>854</v>
      </c>
      <c r="C397" t="s">
        <v>86</v>
      </c>
      <c r="D397" s="2">
        <v>84500</v>
      </c>
      <c r="E397" s="3">
        <v>0</v>
      </c>
      <c r="F397" s="2">
        <v>0</v>
      </c>
      <c r="G397" s="2">
        <v>84500</v>
      </c>
      <c r="H397" s="3">
        <v>0.15379999999999999</v>
      </c>
      <c r="I397">
        <v>6</v>
      </c>
      <c r="J397" s="3">
        <v>1.2816666666666671E-2</v>
      </c>
      <c r="K397" s="2">
        <v>14721.79214263301</v>
      </c>
      <c r="L397" s="2">
        <v>88330.752855798084</v>
      </c>
      <c r="M397" s="2">
        <v>3830.7528557980841</v>
      </c>
      <c r="N397" s="2">
        <v>845</v>
      </c>
      <c r="O397" s="2">
        <v>2746.25</v>
      </c>
      <c r="P397" t="s">
        <v>52</v>
      </c>
      <c r="Q397" s="2">
        <v>0</v>
      </c>
      <c r="R397" s="2">
        <v>1929.5028557980841</v>
      </c>
      <c r="S397" t="s">
        <v>57</v>
      </c>
      <c r="T397" t="s">
        <v>47</v>
      </c>
      <c r="U397" t="s">
        <v>35</v>
      </c>
      <c r="V397" t="s">
        <v>63</v>
      </c>
      <c r="W397" t="s">
        <v>64</v>
      </c>
      <c r="X397" s="2">
        <v>4675.7528557980841</v>
      </c>
      <c r="Y397" s="2">
        <v>2746.25</v>
      </c>
      <c r="Z397" s="2">
        <v>1929.5028557980841</v>
      </c>
      <c r="AA397" s="3">
        <v>2.2834353323054252E-2</v>
      </c>
      <c r="AB397" s="3">
        <v>0</v>
      </c>
      <c r="AC397" t="s">
        <v>38</v>
      </c>
    </row>
    <row r="398" spans="1:29" x14ac:dyDescent="0.3">
      <c r="A398" t="s">
        <v>855</v>
      </c>
      <c r="B398" t="s">
        <v>856</v>
      </c>
      <c r="C398" t="s">
        <v>86</v>
      </c>
      <c r="D398" s="2">
        <v>77300</v>
      </c>
      <c r="E398" s="3">
        <v>0.1</v>
      </c>
      <c r="F398" s="2">
        <v>7730</v>
      </c>
      <c r="G398" s="2">
        <v>69570</v>
      </c>
      <c r="H398" s="3">
        <v>0.15970000000000001</v>
      </c>
      <c r="I398">
        <v>9</v>
      </c>
      <c r="J398" s="3">
        <v>1.330833333333333E-2</v>
      </c>
      <c r="K398" s="2">
        <v>8253.4318762604526</v>
      </c>
      <c r="L398" s="2">
        <v>74280.886886344073</v>
      </c>
      <c r="M398" s="2">
        <v>4710.886886344073</v>
      </c>
      <c r="N398" s="2">
        <v>695.7</v>
      </c>
      <c r="O398" s="2">
        <v>3391.5374999999999</v>
      </c>
      <c r="P398" t="s">
        <v>32</v>
      </c>
      <c r="Q398" s="2">
        <v>0</v>
      </c>
      <c r="R398" s="2">
        <v>2015.049386344072</v>
      </c>
      <c r="S398" t="s">
        <v>57</v>
      </c>
      <c r="T398" t="s">
        <v>62</v>
      </c>
      <c r="U398" t="s">
        <v>35</v>
      </c>
      <c r="V398" t="s">
        <v>63</v>
      </c>
      <c r="W398" t="s">
        <v>64</v>
      </c>
      <c r="X398" s="2">
        <v>5406.5868863440728</v>
      </c>
      <c r="Y398" s="2">
        <v>3391.5374999999999</v>
      </c>
      <c r="Z398" s="2">
        <v>2015.049386344072</v>
      </c>
      <c r="AA398" s="3">
        <v>2.8964343630071471E-2</v>
      </c>
      <c r="AB398" s="3">
        <v>0</v>
      </c>
      <c r="AC398" t="s">
        <v>38</v>
      </c>
    </row>
    <row r="399" spans="1:29" x14ac:dyDescent="0.3">
      <c r="A399" t="s">
        <v>857</v>
      </c>
      <c r="B399" t="s">
        <v>858</v>
      </c>
      <c r="C399" t="s">
        <v>86</v>
      </c>
      <c r="D399" s="2">
        <v>50900</v>
      </c>
      <c r="E399" s="3">
        <v>0.15</v>
      </c>
      <c r="F399" s="2">
        <v>7635</v>
      </c>
      <c r="G399" s="2">
        <v>43265</v>
      </c>
      <c r="H399" s="3">
        <v>0.17349999999999999</v>
      </c>
      <c r="I399">
        <v>24</v>
      </c>
      <c r="J399" s="3">
        <v>1.445833333333333E-2</v>
      </c>
      <c r="K399" s="2">
        <v>2146.4027109585918</v>
      </c>
      <c r="L399" s="2">
        <v>51513.665063006207</v>
      </c>
      <c r="M399" s="2">
        <v>8248.6650630062068</v>
      </c>
      <c r="N399" s="2">
        <v>499</v>
      </c>
      <c r="O399" s="2">
        <v>5624.45</v>
      </c>
      <c r="P399" t="s">
        <v>52</v>
      </c>
      <c r="Q399" s="2">
        <v>0</v>
      </c>
      <c r="R399" s="2">
        <v>3123.2150630062069</v>
      </c>
      <c r="S399" t="s">
        <v>33</v>
      </c>
      <c r="T399" t="s">
        <v>107</v>
      </c>
      <c r="U399" t="s">
        <v>35</v>
      </c>
      <c r="V399" t="s">
        <v>63</v>
      </c>
      <c r="W399" t="s">
        <v>37</v>
      </c>
      <c r="X399" s="2">
        <v>8747.6650630062068</v>
      </c>
      <c r="Y399" s="2">
        <v>5624.45</v>
      </c>
      <c r="Z399" s="2">
        <v>3123.2150630062069</v>
      </c>
      <c r="AA399" s="3">
        <v>7.2188028730063719E-2</v>
      </c>
      <c r="AB399" s="3">
        <v>0</v>
      </c>
      <c r="AC399" t="s">
        <v>38</v>
      </c>
    </row>
    <row r="400" spans="1:29" x14ac:dyDescent="0.3">
      <c r="A400" t="s">
        <v>859</v>
      </c>
      <c r="B400" t="s">
        <v>860</v>
      </c>
      <c r="C400" t="s">
        <v>56</v>
      </c>
      <c r="D400" s="2">
        <v>795000</v>
      </c>
      <c r="E400" s="3">
        <v>0.2</v>
      </c>
      <c r="F400" s="2">
        <v>159000</v>
      </c>
      <c r="G400" s="2">
        <v>636000</v>
      </c>
      <c r="H400" s="3">
        <v>0.1013</v>
      </c>
      <c r="I400">
        <v>72</v>
      </c>
      <c r="J400" s="3">
        <v>8.4416666666666668E-3</v>
      </c>
      <c r="K400" s="2">
        <v>11824.16951440029</v>
      </c>
      <c r="L400" s="2">
        <v>851340.20503682084</v>
      </c>
      <c r="M400" s="2">
        <v>215340.20503682079</v>
      </c>
      <c r="N400" s="2">
        <v>6360</v>
      </c>
      <c r="O400" s="2">
        <v>248040</v>
      </c>
      <c r="P400" t="s">
        <v>32</v>
      </c>
      <c r="Q400" s="2">
        <v>0</v>
      </c>
      <c r="R400" s="2">
        <v>-26339.79496317916</v>
      </c>
      <c r="S400" t="s">
        <v>77</v>
      </c>
      <c r="T400" t="s">
        <v>107</v>
      </c>
      <c r="U400" t="s">
        <v>59</v>
      </c>
      <c r="V400" t="s">
        <v>36</v>
      </c>
      <c r="W400" t="s">
        <v>49</v>
      </c>
      <c r="X400" s="2">
        <v>221700.20503682079</v>
      </c>
      <c r="Y400" s="2">
        <v>248040</v>
      </c>
      <c r="Z400" s="2">
        <v>-26339.79496317916</v>
      </c>
      <c r="AA400" s="3">
        <v>-4.141477195468421E-2</v>
      </c>
      <c r="AB400" s="3">
        <v>0</v>
      </c>
      <c r="AC400" t="s">
        <v>38</v>
      </c>
    </row>
    <row r="401" spans="1:29" x14ac:dyDescent="0.3">
      <c r="A401" t="s">
        <v>861</v>
      </c>
      <c r="B401" t="s">
        <v>862</v>
      </c>
      <c r="C401" t="s">
        <v>86</v>
      </c>
      <c r="D401" s="2">
        <v>10900</v>
      </c>
      <c r="E401" s="3">
        <v>0.05</v>
      </c>
      <c r="F401" s="2">
        <v>545</v>
      </c>
      <c r="G401" s="2">
        <v>10355</v>
      </c>
      <c r="H401" s="3">
        <v>0.18779999999999999</v>
      </c>
      <c r="I401">
        <v>3</v>
      </c>
      <c r="J401" s="3">
        <v>1.5650000000000001E-2</v>
      </c>
      <c r="K401" s="2">
        <v>3560.263040101574</v>
      </c>
      <c r="L401" s="2">
        <v>10680.78912030472</v>
      </c>
      <c r="M401" s="2">
        <v>325.7891203047202</v>
      </c>
      <c r="N401" s="2">
        <v>499</v>
      </c>
      <c r="O401" s="2">
        <v>168.26875000000001</v>
      </c>
      <c r="P401" t="s">
        <v>42</v>
      </c>
      <c r="Q401" s="2">
        <v>4142</v>
      </c>
      <c r="R401" s="2">
        <v>-3485.47962969528</v>
      </c>
      <c r="S401" t="s">
        <v>57</v>
      </c>
      <c r="T401" t="s">
        <v>70</v>
      </c>
      <c r="U401" t="s">
        <v>35</v>
      </c>
      <c r="V401" t="s">
        <v>63</v>
      </c>
      <c r="W401" t="s">
        <v>64</v>
      </c>
      <c r="X401" s="2">
        <v>824.7891203047202</v>
      </c>
      <c r="Y401" s="2">
        <v>4310.2687500000002</v>
      </c>
      <c r="Z401" s="2">
        <v>-3485.47962969528</v>
      </c>
      <c r="AA401" s="3">
        <v>-0.33659870880688358</v>
      </c>
      <c r="AB401" s="3">
        <v>0.4</v>
      </c>
      <c r="AC401" t="s">
        <v>38</v>
      </c>
    </row>
    <row r="402" spans="1:29" x14ac:dyDescent="0.3">
      <c r="A402" t="s">
        <v>863</v>
      </c>
      <c r="B402" t="s">
        <v>864</v>
      </c>
      <c r="C402" t="s">
        <v>41</v>
      </c>
      <c r="D402" s="2">
        <v>98000</v>
      </c>
      <c r="E402" s="3">
        <v>0</v>
      </c>
      <c r="F402" s="2">
        <v>0</v>
      </c>
      <c r="G402" s="2">
        <v>98000</v>
      </c>
      <c r="H402" s="3">
        <v>0.1386</v>
      </c>
      <c r="I402">
        <v>9</v>
      </c>
      <c r="J402" s="3">
        <v>1.155E-2</v>
      </c>
      <c r="K402" s="2">
        <v>11527.349022252711</v>
      </c>
      <c r="L402" s="2">
        <v>103746.1412002744</v>
      </c>
      <c r="M402" s="2">
        <v>5746.1412002744037</v>
      </c>
      <c r="N402" s="2">
        <v>980</v>
      </c>
      <c r="O402" s="2">
        <v>4777.5</v>
      </c>
      <c r="P402" t="s">
        <v>52</v>
      </c>
      <c r="Q402" s="2">
        <v>0</v>
      </c>
      <c r="R402" s="2">
        <v>1948.6412002744039</v>
      </c>
      <c r="S402" t="s">
        <v>43</v>
      </c>
      <c r="T402" t="s">
        <v>204</v>
      </c>
      <c r="U402" t="s">
        <v>35</v>
      </c>
      <c r="V402" t="s">
        <v>36</v>
      </c>
      <c r="W402" t="s">
        <v>64</v>
      </c>
      <c r="X402" s="2">
        <v>6726.1412002744037</v>
      </c>
      <c r="Y402" s="2">
        <v>4777.5</v>
      </c>
      <c r="Z402" s="2">
        <v>1948.6412002744039</v>
      </c>
      <c r="AA402" s="3">
        <v>1.9884093880351061E-2</v>
      </c>
      <c r="AB402" s="3">
        <v>0</v>
      </c>
      <c r="AC402" t="s">
        <v>38</v>
      </c>
    </row>
    <row r="403" spans="1:29" x14ac:dyDescent="0.3">
      <c r="A403" t="s">
        <v>865</v>
      </c>
      <c r="B403" t="s">
        <v>866</v>
      </c>
      <c r="C403" t="s">
        <v>41</v>
      </c>
      <c r="D403" s="2">
        <v>123900</v>
      </c>
      <c r="E403" s="3">
        <v>0.2</v>
      </c>
      <c r="F403" s="2">
        <v>24780</v>
      </c>
      <c r="G403" s="2">
        <v>99120</v>
      </c>
      <c r="H403" s="3">
        <v>0.17899999999999999</v>
      </c>
      <c r="I403">
        <v>9</v>
      </c>
      <c r="J403" s="3">
        <v>1.491666666666667E-2</v>
      </c>
      <c r="K403" s="2">
        <v>11850.955893970649</v>
      </c>
      <c r="L403" s="2">
        <v>106658.6030457358</v>
      </c>
      <c r="M403" s="2">
        <v>7538.6030457358283</v>
      </c>
      <c r="N403" s="2">
        <v>991.2</v>
      </c>
      <c r="O403" s="2">
        <v>4832.1000000000004</v>
      </c>
      <c r="P403" t="s">
        <v>32</v>
      </c>
      <c r="Q403" s="2">
        <v>0</v>
      </c>
      <c r="R403" s="2">
        <v>3697.7030457358292</v>
      </c>
      <c r="S403" t="s">
        <v>57</v>
      </c>
      <c r="T403" t="s">
        <v>53</v>
      </c>
      <c r="U403" t="s">
        <v>35</v>
      </c>
      <c r="V403" t="s">
        <v>63</v>
      </c>
      <c r="W403" t="s">
        <v>64</v>
      </c>
      <c r="X403" s="2">
        <v>8529.8030457358291</v>
      </c>
      <c r="Y403" s="2">
        <v>4832.1000000000004</v>
      </c>
      <c r="Z403" s="2">
        <v>3697.7030457358292</v>
      </c>
      <c r="AA403" s="3">
        <v>3.7305317249150823E-2</v>
      </c>
      <c r="AB403" s="3">
        <v>0</v>
      </c>
      <c r="AC403" t="s">
        <v>38</v>
      </c>
    </row>
    <row r="404" spans="1:29" x14ac:dyDescent="0.3">
      <c r="A404" t="s">
        <v>867</v>
      </c>
      <c r="B404" t="s">
        <v>868</v>
      </c>
      <c r="C404" t="s">
        <v>56</v>
      </c>
      <c r="D404" s="2">
        <v>1490700</v>
      </c>
      <c r="E404" s="3">
        <v>0.3</v>
      </c>
      <c r="F404" s="2">
        <v>447210</v>
      </c>
      <c r="G404" s="2">
        <v>1043490</v>
      </c>
      <c r="H404" s="3">
        <v>9.0200000000000002E-2</v>
      </c>
      <c r="I404">
        <v>48</v>
      </c>
      <c r="J404" s="3">
        <v>7.5166666666666672E-3</v>
      </c>
      <c r="K404" s="2">
        <v>25977.20369362758</v>
      </c>
      <c r="L404" s="2">
        <v>1246905.777294124</v>
      </c>
      <c r="M404" s="2">
        <v>203415.77729412349</v>
      </c>
      <c r="N404" s="2">
        <v>10434.9</v>
      </c>
      <c r="O404" s="2">
        <v>271307.40000000002</v>
      </c>
      <c r="P404" t="s">
        <v>32</v>
      </c>
      <c r="Q404" s="2">
        <v>0</v>
      </c>
      <c r="R404" s="2">
        <v>-57456.722705876477</v>
      </c>
      <c r="S404" t="s">
        <v>77</v>
      </c>
      <c r="T404" t="s">
        <v>34</v>
      </c>
      <c r="U404" t="s">
        <v>59</v>
      </c>
      <c r="V404" t="s">
        <v>71</v>
      </c>
      <c r="W404" t="s">
        <v>49</v>
      </c>
      <c r="X404" s="2">
        <v>213850.67729412351</v>
      </c>
      <c r="Y404" s="2">
        <v>271307.40000000002</v>
      </c>
      <c r="Z404" s="2">
        <v>-57456.722705876477</v>
      </c>
      <c r="AA404" s="3">
        <v>-5.5062073144808751E-2</v>
      </c>
      <c r="AB404" s="3">
        <v>0</v>
      </c>
      <c r="AC404" t="s">
        <v>38</v>
      </c>
    </row>
    <row r="405" spans="1:29" x14ac:dyDescent="0.3">
      <c r="A405" t="s">
        <v>869</v>
      </c>
      <c r="B405" t="s">
        <v>870</v>
      </c>
      <c r="C405" t="s">
        <v>86</v>
      </c>
      <c r="D405" s="2">
        <v>86500</v>
      </c>
      <c r="E405" s="3">
        <v>0</v>
      </c>
      <c r="F405" s="2">
        <v>0</v>
      </c>
      <c r="G405" s="2">
        <v>86500</v>
      </c>
      <c r="H405" s="3">
        <v>0.21579999999999999</v>
      </c>
      <c r="I405">
        <v>18</v>
      </c>
      <c r="J405" s="3">
        <v>1.798333333333333E-2</v>
      </c>
      <c r="K405" s="2">
        <v>5667.9334968385374</v>
      </c>
      <c r="L405" s="2">
        <v>102022.8029430937</v>
      </c>
      <c r="M405" s="2">
        <v>15522.802943093669</v>
      </c>
      <c r="N405" s="2">
        <v>865</v>
      </c>
      <c r="O405" s="2">
        <v>8433.75</v>
      </c>
      <c r="P405" t="s">
        <v>32</v>
      </c>
      <c r="Q405" s="2">
        <v>0</v>
      </c>
      <c r="R405" s="2">
        <v>7954.0529430936731</v>
      </c>
      <c r="S405" t="s">
        <v>43</v>
      </c>
      <c r="T405" t="s">
        <v>116</v>
      </c>
      <c r="U405" t="s">
        <v>35</v>
      </c>
      <c r="V405" t="s">
        <v>63</v>
      </c>
      <c r="W405" t="s">
        <v>37</v>
      </c>
      <c r="X405" s="2">
        <v>16387.802943093669</v>
      </c>
      <c r="Y405" s="2">
        <v>8433.75</v>
      </c>
      <c r="Z405" s="2">
        <v>7954.0529430936731</v>
      </c>
      <c r="AA405" s="3">
        <v>9.1954369284319923E-2</v>
      </c>
      <c r="AB405" s="3">
        <v>0</v>
      </c>
      <c r="AC405" t="s">
        <v>38</v>
      </c>
    </row>
    <row r="406" spans="1:29" x14ac:dyDescent="0.3">
      <c r="A406" t="s">
        <v>871</v>
      </c>
      <c r="B406" t="s">
        <v>872</v>
      </c>
      <c r="C406" t="s">
        <v>41</v>
      </c>
      <c r="D406" s="2">
        <v>46900</v>
      </c>
      <c r="E406" s="3">
        <v>0.05</v>
      </c>
      <c r="F406" s="2">
        <v>2345</v>
      </c>
      <c r="G406" s="2">
        <v>44555</v>
      </c>
      <c r="H406" s="3">
        <v>0.123</v>
      </c>
      <c r="I406">
        <v>6</v>
      </c>
      <c r="J406" s="3">
        <v>1.025E-2</v>
      </c>
      <c r="K406" s="2">
        <v>7694.49889118584</v>
      </c>
      <c r="L406" s="2">
        <v>46166.993347115043</v>
      </c>
      <c r="M406" s="2">
        <v>1611.993347115043</v>
      </c>
      <c r="N406" s="2">
        <v>499</v>
      </c>
      <c r="O406" s="2">
        <v>1448.0374999999999</v>
      </c>
      <c r="P406" t="s">
        <v>32</v>
      </c>
      <c r="Q406" s="2">
        <v>0</v>
      </c>
      <c r="R406" s="2">
        <v>662.9558471150433</v>
      </c>
      <c r="S406" t="s">
        <v>33</v>
      </c>
      <c r="T406" t="s">
        <v>70</v>
      </c>
      <c r="U406" t="s">
        <v>35</v>
      </c>
      <c r="V406" t="s">
        <v>36</v>
      </c>
      <c r="W406" t="s">
        <v>64</v>
      </c>
      <c r="X406" s="2">
        <v>2110.993347115043</v>
      </c>
      <c r="Y406" s="2">
        <v>1448.0374999999999</v>
      </c>
      <c r="Z406" s="2">
        <v>662.9558471150433</v>
      </c>
      <c r="AA406" s="3">
        <v>1.4879493819213181E-2</v>
      </c>
      <c r="AB406" s="3">
        <v>0</v>
      </c>
      <c r="AC406" t="s">
        <v>38</v>
      </c>
    </row>
    <row r="407" spans="1:29" x14ac:dyDescent="0.3">
      <c r="A407" t="s">
        <v>873</v>
      </c>
      <c r="B407" t="s">
        <v>874</v>
      </c>
      <c r="C407" t="s">
        <v>41</v>
      </c>
      <c r="D407" s="2">
        <v>66500</v>
      </c>
      <c r="E407" s="3">
        <v>0.1</v>
      </c>
      <c r="F407" s="2">
        <v>6650</v>
      </c>
      <c r="G407" s="2">
        <v>59850</v>
      </c>
      <c r="H407" s="3">
        <v>0.1691</v>
      </c>
      <c r="I407">
        <v>9</v>
      </c>
      <c r="J407" s="3">
        <v>1.4091666666666671E-2</v>
      </c>
      <c r="K407" s="2">
        <v>7127.2876215048409</v>
      </c>
      <c r="L407" s="2">
        <v>64145.588593543573</v>
      </c>
      <c r="M407" s="2">
        <v>4295.5885935435654</v>
      </c>
      <c r="N407" s="2">
        <v>598.5</v>
      </c>
      <c r="O407" s="2">
        <v>2917.6875</v>
      </c>
      <c r="P407" t="s">
        <v>32</v>
      </c>
      <c r="Q407" s="2">
        <v>0</v>
      </c>
      <c r="R407" s="2">
        <v>1976.4010935435649</v>
      </c>
      <c r="S407" t="s">
        <v>77</v>
      </c>
      <c r="T407" t="s">
        <v>62</v>
      </c>
      <c r="U407" t="s">
        <v>35</v>
      </c>
      <c r="V407" t="s">
        <v>63</v>
      </c>
      <c r="W407" t="s">
        <v>64</v>
      </c>
      <c r="X407" s="2">
        <v>4894.0885935435654</v>
      </c>
      <c r="Y407" s="2">
        <v>2917.6875</v>
      </c>
      <c r="Z407" s="2">
        <v>1976.4010935435649</v>
      </c>
      <c r="AA407" s="3">
        <v>3.3022574662382037E-2</v>
      </c>
      <c r="AB407" s="3">
        <v>0</v>
      </c>
      <c r="AC407" t="s">
        <v>38</v>
      </c>
    </row>
    <row r="408" spans="1:29" x14ac:dyDescent="0.3">
      <c r="A408" t="s">
        <v>875</v>
      </c>
      <c r="B408" t="s">
        <v>876</v>
      </c>
      <c r="C408" t="s">
        <v>86</v>
      </c>
      <c r="D408" s="2">
        <v>73700</v>
      </c>
      <c r="E408" s="3">
        <v>0.15</v>
      </c>
      <c r="F408" s="2">
        <v>11055</v>
      </c>
      <c r="G408" s="2">
        <v>62645</v>
      </c>
      <c r="H408" s="3">
        <v>0.21340000000000001</v>
      </c>
      <c r="I408">
        <v>3</v>
      </c>
      <c r="J408" s="3">
        <v>1.7783333333333338E-2</v>
      </c>
      <c r="K408" s="2">
        <v>21628.72153967803</v>
      </c>
      <c r="L408" s="2">
        <v>64886.164619034083</v>
      </c>
      <c r="M408" s="2">
        <v>2241.164619034083</v>
      </c>
      <c r="N408" s="2">
        <v>626.45000000000005</v>
      </c>
      <c r="O408" s="2">
        <v>1017.98125</v>
      </c>
      <c r="P408" t="s">
        <v>32</v>
      </c>
      <c r="Q408" s="2">
        <v>0</v>
      </c>
      <c r="R408" s="2">
        <v>1849.633369034083</v>
      </c>
      <c r="S408" t="s">
        <v>33</v>
      </c>
      <c r="T408" t="s">
        <v>53</v>
      </c>
      <c r="U408" t="s">
        <v>35</v>
      </c>
      <c r="V408" t="s">
        <v>63</v>
      </c>
      <c r="W408" t="s">
        <v>64</v>
      </c>
      <c r="X408" s="2">
        <v>2867.6146190340828</v>
      </c>
      <c r="Y408" s="2">
        <v>1017.98125</v>
      </c>
      <c r="Z408" s="2">
        <v>1849.633369034083</v>
      </c>
      <c r="AA408" s="3">
        <v>2.9525634432661561E-2</v>
      </c>
      <c r="AB408" s="3">
        <v>0</v>
      </c>
      <c r="AC408" t="s">
        <v>38</v>
      </c>
    </row>
    <row r="409" spans="1:29" x14ac:dyDescent="0.3">
      <c r="A409" t="s">
        <v>877</v>
      </c>
      <c r="B409" t="s">
        <v>878</v>
      </c>
      <c r="C409" t="s">
        <v>31</v>
      </c>
      <c r="D409" s="2">
        <v>218900</v>
      </c>
      <c r="E409" s="3">
        <v>0.15</v>
      </c>
      <c r="F409" s="2">
        <v>32835</v>
      </c>
      <c r="G409" s="2">
        <v>186065</v>
      </c>
      <c r="H409" s="3">
        <v>0.1469</v>
      </c>
      <c r="I409">
        <v>36</v>
      </c>
      <c r="J409" s="3">
        <v>1.224166666666667E-2</v>
      </c>
      <c r="K409" s="2">
        <v>6421.7939631226272</v>
      </c>
      <c r="L409" s="2">
        <v>231184.5826724146</v>
      </c>
      <c r="M409" s="2">
        <v>45119.582672414574</v>
      </c>
      <c r="N409" s="2">
        <v>1860.65</v>
      </c>
      <c r="O409" s="2">
        <v>36282.675000000003</v>
      </c>
      <c r="P409" t="s">
        <v>52</v>
      </c>
      <c r="Q409" s="2">
        <v>0</v>
      </c>
      <c r="R409" s="2">
        <v>10697.55767241457</v>
      </c>
      <c r="S409" t="s">
        <v>43</v>
      </c>
      <c r="T409" t="s">
        <v>44</v>
      </c>
      <c r="U409" t="s">
        <v>48</v>
      </c>
      <c r="V409" t="s">
        <v>36</v>
      </c>
      <c r="W409" t="s">
        <v>37</v>
      </c>
      <c r="X409" s="2">
        <v>46980.232672414582</v>
      </c>
      <c r="Y409" s="2">
        <v>36282.675000000003</v>
      </c>
      <c r="Z409" s="2">
        <v>10697.55767241457</v>
      </c>
      <c r="AA409" s="3">
        <v>5.7493659056859547E-2</v>
      </c>
      <c r="AB409" s="3">
        <v>0</v>
      </c>
      <c r="AC409" t="s">
        <v>38</v>
      </c>
    </row>
    <row r="410" spans="1:29" x14ac:dyDescent="0.3">
      <c r="A410" t="s">
        <v>879</v>
      </c>
      <c r="B410" t="s">
        <v>880</v>
      </c>
      <c r="C410" t="s">
        <v>56</v>
      </c>
      <c r="D410" s="2">
        <v>1271000</v>
      </c>
      <c r="E410" s="3">
        <v>0.15</v>
      </c>
      <c r="F410" s="2">
        <v>190650</v>
      </c>
      <c r="G410" s="2">
        <v>1080350</v>
      </c>
      <c r="H410" s="3">
        <v>0.1138</v>
      </c>
      <c r="I410">
        <v>60</v>
      </c>
      <c r="J410" s="3">
        <v>9.4833333333333332E-3</v>
      </c>
      <c r="K410" s="2">
        <v>23694.681196563499</v>
      </c>
      <c r="L410" s="2">
        <v>1421680.87179381</v>
      </c>
      <c r="M410" s="2">
        <v>341330.87179380981</v>
      </c>
      <c r="N410" s="2">
        <v>10803.5</v>
      </c>
      <c r="O410" s="2">
        <v>351113.75</v>
      </c>
      <c r="P410" t="s">
        <v>32</v>
      </c>
      <c r="Q410" s="2">
        <v>0</v>
      </c>
      <c r="R410" s="2">
        <v>1020.621793809813</v>
      </c>
      <c r="S410" t="s">
        <v>77</v>
      </c>
      <c r="T410" t="s">
        <v>74</v>
      </c>
      <c r="U410" t="s">
        <v>59</v>
      </c>
      <c r="V410" t="s">
        <v>36</v>
      </c>
      <c r="W410" t="s">
        <v>49</v>
      </c>
      <c r="X410" s="2">
        <v>352134.37179380981</v>
      </c>
      <c r="Y410" s="2">
        <v>351113.75</v>
      </c>
      <c r="Z410" s="2">
        <v>1020.621793809813</v>
      </c>
      <c r="AA410" s="3">
        <v>9.4471402213154305E-4</v>
      </c>
      <c r="AB410" s="3">
        <v>0</v>
      </c>
      <c r="AC410" t="s">
        <v>38</v>
      </c>
    </row>
    <row r="411" spans="1:29" x14ac:dyDescent="0.3">
      <c r="A411" t="s">
        <v>881</v>
      </c>
      <c r="B411" t="s">
        <v>882</v>
      </c>
      <c r="C411" t="s">
        <v>31</v>
      </c>
      <c r="D411" s="2">
        <v>255500</v>
      </c>
      <c r="E411" s="3">
        <v>0.1</v>
      </c>
      <c r="F411" s="2">
        <v>25550</v>
      </c>
      <c r="G411" s="2">
        <v>229950</v>
      </c>
      <c r="H411" s="3">
        <v>0.1303</v>
      </c>
      <c r="I411">
        <v>36</v>
      </c>
      <c r="J411" s="3">
        <v>1.0858333333333329E-2</v>
      </c>
      <c r="K411" s="2">
        <v>7751.2474284467326</v>
      </c>
      <c r="L411" s="2">
        <v>279044.9074240824</v>
      </c>
      <c r="M411" s="2">
        <v>49094.907424082397</v>
      </c>
      <c r="N411" s="2">
        <v>2299.5</v>
      </c>
      <c r="O411" s="2">
        <v>44840.25</v>
      </c>
      <c r="P411" t="s">
        <v>52</v>
      </c>
      <c r="Q411" s="2">
        <v>0</v>
      </c>
      <c r="R411" s="2">
        <v>6554.1574240823966</v>
      </c>
      <c r="S411" t="s">
        <v>33</v>
      </c>
      <c r="T411" t="s">
        <v>44</v>
      </c>
      <c r="U411" t="s">
        <v>48</v>
      </c>
      <c r="V411" t="s">
        <v>36</v>
      </c>
      <c r="W411" t="s">
        <v>37</v>
      </c>
      <c r="X411" s="2">
        <v>51394.407424082397</v>
      </c>
      <c r="Y411" s="2">
        <v>44840.25</v>
      </c>
      <c r="Z411" s="2">
        <v>6554.1574240823966</v>
      </c>
      <c r="AA411" s="3">
        <v>2.8502532829234171E-2</v>
      </c>
      <c r="AB411" s="3">
        <v>0</v>
      </c>
      <c r="AC411" t="s">
        <v>38</v>
      </c>
    </row>
    <row r="412" spans="1:29" x14ac:dyDescent="0.3">
      <c r="A412" t="s">
        <v>883</v>
      </c>
      <c r="B412" t="s">
        <v>884</v>
      </c>
      <c r="C412" t="s">
        <v>56</v>
      </c>
      <c r="D412" s="2">
        <v>830800</v>
      </c>
      <c r="E412" s="3">
        <v>0.1</v>
      </c>
      <c r="F412" s="2">
        <v>83080</v>
      </c>
      <c r="G412" s="2">
        <v>747720</v>
      </c>
      <c r="H412" s="3">
        <v>0.1148</v>
      </c>
      <c r="I412">
        <v>84</v>
      </c>
      <c r="J412" s="3">
        <v>9.566666666666666E-3</v>
      </c>
      <c r="K412" s="2">
        <v>12992.27549675823</v>
      </c>
      <c r="L412" s="2">
        <v>1091351.141727692</v>
      </c>
      <c r="M412" s="2">
        <v>343631.14172769152</v>
      </c>
      <c r="N412" s="2">
        <v>7477.2</v>
      </c>
      <c r="O412" s="2">
        <v>340212.6</v>
      </c>
      <c r="P412" t="s">
        <v>52</v>
      </c>
      <c r="Q412" s="2">
        <v>0</v>
      </c>
      <c r="R412" s="2">
        <v>10895.741727691489</v>
      </c>
      <c r="S412" t="s">
        <v>77</v>
      </c>
      <c r="T412" t="s">
        <v>34</v>
      </c>
      <c r="U412" t="s">
        <v>59</v>
      </c>
      <c r="V412" t="s">
        <v>36</v>
      </c>
      <c r="W412" t="s">
        <v>49</v>
      </c>
      <c r="X412" s="2">
        <v>351108.34172769153</v>
      </c>
      <c r="Y412" s="2">
        <v>340212.6</v>
      </c>
      <c r="Z412" s="2">
        <v>10895.741727691489</v>
      </c>
      <c r="AA412" s="3">
        <v>1.4571954378231821E-2</v>
      </c>
      <c r="AB412" s="3">
        <v>0</v>
      </c>
      <c r="AC412" t="s">
        <v>38</v>
      </c>
    </row>
    <row r="413" spans="1:29" x14ac:dyDescent="0.3">
      <c r="A413" t="s">
        <v>885</v>
      </c>
      <c r="B413" t="s">
        <v>886</v>
      </c>
      <c r="C413" t="s">
        <v>86</v>
      </c>
      <c r="D413" s="2">
        <v>71300</v>
      </c>
      <c r="E413" s="3">
        <v>0.05</v>
      </c>
      <c r="F413" s="2">
        <v>3565</v>
      </c>
      <c r="G413" s="2">
        <v>67735</v>
      </c>
      <c r="H413" s="3">
        <v>0.21490000000000001</v>
      </c>
      <c r="I413">
        <v>6</v>
      </c>
      <c r="J413" s="3">
        <v>1.7908333333333339E-2</v>
      </c>
      <c r="K413" s="2">
        <v>12007.226632710181</v>
      </c>
      <c r="L413" s="2">
        <v>72043.359796261095</v>
      </c>
      <c r="M413" s="2">
        <v>4308.3597962610947</v>
      </c>
      <c r="N413" s="2">
        <v>677.35</v>
      </c>
      <c r="O413" s="2">
        <v>2201.3874999999998</v>
      </c>
      <c r="P413" t="s">
        <v>32</v>
      </c>
      <c r="Q413" s="2">
        <v>0</v>
      </c>
      <c r="R413" s="2">
        <v>2784.3222962610948</v>
      </c>
      <c r="S413" t="s">
        <v>43</v>
      </c>
      <c r="T413" t="s">
        <v>53</v>
      </c>
      <c r="U413" t="s">
        <v>35</v>
      </c>
      <c r="V413" t="s">
        <v>63</v>
      </c>
      <c r="W413" t="s">
        <v>64</v>
      </c>
      <c r="X413" s="2">
        <v>4985.7097962610951</v>
      </c>
      <c r="Y413" s="2">
        <v>2201.3874999999998</v>
      </c>
      <c r="Z413" s="2">
        <v>2784.3222962610948</v>
      </c>
      <c r="AA413" s="3">
        <v>4.1106109046447098E-2</v>
      </c>
      <c r="AB413" s="3">
        <v>0</v>
      </c>
      <c r="AC413" t="s">
        <v>38</v>
      </c>
    </row>
    <row r="414" spans="1:29" x14ac:dyDescent="0.3">
      <c r="A414" t="s">
        <v>887</v>
      </c>
      <c r="B414" t="s">
        <v>888</v>
      </c>
      <c r="C414" t="s">
        <v>56</v>
      </c>
      <c r="D414" s="2">
        <v>584700</v>
      </c>
      <c r="E414" s="3">
        <v>0.2</v>
      </c>
      <c r="F414" s="2">
        <v>116940</v>
      </c>
      <c r="G414" s="2">
        <v>467760</v>
      </c>
      <c r="H414" s="3">
        <v>0.1116</v>
      </c>
      <c r="I414">
        <v>36</v>
      </c>
      <c r="J414" s="3">
        <v>9.300000000000001E-3</v>
      </c>
      <c r="K414" s="2">
        <v>15349.328887612321</v>
      </c>
      <c r="L414" s="2">
        <v>552575.83995404351</v>
      </c>
      <c r="M414" s="2">
        <v>84815.839954043506</v>
      </c>
      <c r="N414" s="2">
        <v>4677.6000000000004</v>
      </c>
      <c r="O414" s="2">
        <v>91213.200000000012</v>
      </c>
      <c r="P414" t="s">
        <v>32</v>
      </c>
      <c r="Q414" s="2">
        <v>0</v>
      </c>
      <c r="R414" s="2">
        <v>-1719.7600459565001</v>
      </c>
      <c r="S414" t="s">
        <v>77</v>
      </c>
      <c r="T414" t="s">
        <v>74</v>
      </c>
      <c r="U414" t="s">
        <v>151</v>
      </c>
      <c r="V414" t="s">
        <v>36</v>
      </c>
      <c r="W414" t="s">
        <v>37</v>
      </c>
      <c r="X414" s="2">
        <v>89493.439954043512</v>
      </c>
      <c r="Y414" s="2">
        <v>91213.200000000012</v>
      </c>
      <c r="Z414" s="2">
        <v>-1719.7600459565001</v>
      </c>
      <c r="AA414" s="3">
        <v>-3.676586381812254E-3</v>
      </c>
      <c r="AB414" s="3">
        <v>0</v>
      </c>
      <c r="AC414" t="s">
        <v>38</v>
      </c>
    </row>
    <row r="415" spans="1:29" x14ac:dyDescent="0.3">
      <c r="A415" t="s">
        <v>889</v>
      </c>
      <c r="B415" t="s">
        <v>890</v>
      </c>
      <c r="C415" t="s">
        <v>86</v>
      </c>
      <c r="D415" s="2">
        <v>15600</v>
      </c>
      <c r="E415" s="3">
        <v>0.2</v>
      </c>
      <c r="F415" s="2">
        <v>3120</v>
      </c>
      <c r="G415" s="2">
        <v>12480</v>
      </c>
      <c r="H415" s="3">
        <v>0.1605</v>
      </c>
      <c r="I415">
        <v>3</v>
      </c>
      <c r="J415" s="3">
        <v>1.3375E-2</v>
      </c>
      <c r="K415" s="2">
        <v>4271.7728202996404</v>
      </c>
      <c r="L415" s="2">
        <v>12815.31846089892</v>
      </c>
      <c r="M415" s="2">
        <v>335.31846089891769</v>
      </c>
      <c r="N415" s="2">
        <v>499</v>
      </c>
      <c r="O415" s="2">
        <v>202.8</v>
      </c>
      <c r="P415" t="s">
        <v>42</v>
      </c>
      <c r="Q415" s="2">
        <v>4992</v>
      </c>
      <c r="R415" s="2">
        <v>-4360.4815391010816</v>
      </c>
      <c r="S415" t="s">
        <v>57</v>
      </c>
      <c r="T415" t="s">
        <v>116</v>
      </c>
      <c r="U415" t="s">
        <v>35</v>
      </c>
      <c r="V415" t="s">
        <v>63</v>
      </c>
      <c r="W415" t="s">
        <v>64</v>
      </c>
      <c r="X415" s="2">
        <v>834.31846089891769</v>
      </c>
      <c r="Y415" s="2">
        <v>5194.8</v>
      </c>
      <c r="Z415" s="2">
        <v>-4360.4815391010816</v>
      </c>
      <c r="AA415" s="3">
        <v>-0.34939755922284321</v>
      </c>
      <c r="AB415" s="3">
        <v>0.4</v>
      </c>
      <c r="AC415" t="s">
        <v>38</v>
      </c>
    </row>
    <row r="416" spans="1:29" x14ac:dyDescent="0.3">
      <c r="A416" t="s">
        <v>891</v>
      </c>
      <c r="B416" t="s">
        <v>892</v>
      </c>
      <c r="C416" t="s">
        <v>31</v>
      </c>
      <c r="D416" s="2">
        <v>292600</v>
      </c>
      <c r="E416" s="3">
        <v>0.2</v>
      </c>
      <c r="F416" s="2">
        <v>58520</v>
      </c>
      <c r="G416" s="2">
        <v>234080</v>
      </c>
      <c r="H416" s="3">
        <v>0.17080000000000001</v>
      </c>
      <c r="I416">
        <v>48</v>
      </c>
      <c r="J416" s="3">
        <v>1.423333333333333E-2</v>
      </c>
      <c r="K416" s="2">
        <v>6764.0805793740255</v>
      </c>
      <c r="L416" s="2">
        <v>324675.86780995328</v>
      </c>
      <c r="M416" s="2">
        <v>90595.867809953284</v>
      </c>
      <c r="N416" s="2">
        <v>2340.8000000000002</v>
      </c>
      <c r="O416" s="2">
        <v>60860.800000000003</v>
      </c>
      <c r="P416" t="s">
        <v>32</v>
      </c>
      <c r="Q416" s="2">
        <v>0</v>
      </c>
      <c r="R416" s="2">
        <v>32075.867809953281</v>
      </c>
      <c r="S416" t="s">
        <v>57</v>
      </c>
      <c r="T416" t="s">
        <v>58</v>
      </c>
      <c r="U416" t="s">
        <v>48</v>
      </c>
      <c r="V416" t="s">
        <v>63</v>
      </c>
      <c r="W416" t="s">
        <v>49</v>
      </c>
      <c r="X416" s="2">
        <v>92936.667809953287</v>
      </c>
      <c r="Y416" s="2">
        <v>60860.800000000003</v>
      </c>
      <c r="Z416" s="2">
        <v>32075.867809953281</v>
      </c>
      <c r="AA416" s="3">
        <v>0.1370295104663076</v>
      </c>
      <c r="AB416" s="3">
        <v>0</v>
      </c>
      <c r="AC416" t="s">
        <v>38</v>
      </c>
    </row>
    <row r="417" spans="1:29" x14ac:dyDescent="0.3">
      <c r="A417" t="s">
        <v>893</v>
      </c>
      <c r="B417" t="s">
        <v>894</v>
      </c>
      <c r="C417" t="s">
        <v>56</v>
      </c>
      <c r="D417" s="2">
        <v>1267600</v>
      </c>
      <c r="E417" s="3">
        <v>0.15</v>
      </c>
      <c r="F417" s="2">
        <v>190140</v>
      </c>
      <c r="G417" s="2">
        <v>1077460</v>
      </c>
      <c r="H417" s="3">
        <v>0.1023</v>
      </c>
      <c r="I417">
        <v>48</v>
      </c>
      <c r="J417" s="3">
        <v>8.5249999999999996E-3</v>
      </c>
      <c r="K417" s="2">
        <v>27446.33500726063</v>
      </c>
      <c r="L417" s="2">
        <v>1317424.0803485101</v>
      </c>
      <c r="M417" s="2">
        <v>239964.08034851009</v>
      </c>
      <c r="N417" s="2">
        <v>10774.6</v>
      </c>
      <c r="O417" s="2">
        <v>280139.59999999998</v>
      </c>
      <c r="P417" t="s">
        <v>32</v>
      </c>
      <c r="Q417" s="2">
        <v>0</v>
      </c>
      <c r="R417" s="2">
        <v>-29400.91965148997</v>
      </c>
      <c r="S417" t="s">
        <v>33</v>
      </c>
      <c r="T417" t="s">
        <v>204</v>
      </c>
      <c r="U417" t="s">
        <v>59</v>
      </c>
      <c r="V417" t="s">
        <v>36</v>
      </c>
      <c r="W417" t="s">
        <v>49</v>
      </c>
      <c r="X417" s="2">
        <v>250738.6803485101</v>
      </c>
      <c r="Y417" s="2">
        <v>280139.59999999998</v>
      </c>
      <c r="Z417" s="2">
        <v>-29400.91965148997</v>
      </c>
      <c r="AA417" s="3">
        <v>-2.728724931922296E-2</v>
      </c>
      <c r="AB417" s="3">
        <v>0</v>
      </c>
      <c r="AC417" t="s">
        <v>38</v>
      </c>
    </row>
    <row r="418" spans="1:29" x14ac:dyDescent="0.3">
      <c r="A418" t="s">
        <v>895</v>
      </c>
      <c r="B418" t="s">
        <v>896</v>
      </c>
      <c r="C418" t="s">
        <v>86</v>
      </c>
      <c r="D418" s="2">
        <v>37200</v>
      </c>
      <c r="E418" s="3">
        <v>0</v>
      </c>
      <c r="F418" s="2">
        <v>0</v>
      </c>
      <c r="G418" s="2">
        <v>37200</v>
      </c>
      <c r="H418" s="3">
        <v>0.1484</v>
      </c>
      <c r="I418">
        <v>9</v>
      </c>
      <c r="J418" s="3">
        <v>1.236666666666667E-2</v>
      </c>
      <c r="K418" s="2">
        <v>4393.098595334397</v>
      </c>
      <c r="L418" s="2">
        <v>39537.887358009582</v>
      </c>
      <c r="M418" s="2">
        <v>2337.8873580095751</v>
      </c>
      <c r="N418" s="2">
        <v>499</v>
      </c>
      <c r="O418" s="2">
        <v>1813.5</v>
      </c>
      <c r="P418" t="s">
        <v>32</v>
      </c>
      <c r="Q418" s="2">
        <v>0</v>
      </c>
      <c r="R418" s="2">
        <v>1023.387358009575</v>
      </c>
      <c r="S418" t="s">
        <v>43</v>
      </c>
      <c r="T418" t="s">
        <v>44</v>
      </c>
      <c r="U418" t="s">
        <v>35</v>
      </c>
      <c r="V418" t="s">
        <v>36</v>
      </c>
      <c r="W418" t="s">
        <v>64</v>
      </c>
      <c r="X418" s="2">
        <v>2836.8873580095751</v>
      </c>
      <c r="Y418" s="2">
        <v>1813.5</v>
      </c>
      <c r="Z418" s="2">
        <v>1023.387358009575</v>
      </c>
      <c r="AA418" s="3">
        <v>2.7510412849719761E-2</v>
      </c>
      <c r="AB418" s="3">
        <v>0</v>
      </c>
      <c r="AC418" t="s">
        <v>38</v>
      </c>
    </row>
    <row r="419" spans="1:29" x14ac:dyDescent="0.3">
      <c r="A419" t="s">
        <v>897</v>
      </c>
      <c r="B419" t="s">
        <v>898</v>
      </c>
      <c r="C419" t="s">
        <v>86</v>
      </c>
      <c r="D419" s="2">
        <v>113500</v>
      </c>
      <c r="E419" s="3">
        <v>0.15</v>
      </c>
      <c r="F419" s="2">
        <v>17025</v>
      </c>
      <c r="G419" s="2">
        <v>96475</v>
      </c>
      <c r="H419" s="3">
        <v>0.21820000000000001</v>
      </c>
      <c r="I419">
        <v>9</v>
      </c>
      <c r="J419" s="3">
        <v>1.8183333333333329E-2</v>
      </c>
      <c r="K419" s="2">
        <v>11717.426024944591</v>
      </c>
      <c r="L419" s="2">
        <v>105456.8342245013</v>
      </c>
      <c r="M419" s="2">
        <v>8981.8342245013191</v>
      </c>
      <c r="N419" s="2">
        <v>964.75</v>
      </c>
      <c r="O419" s="2">
        <v>4703.15625</v>
      </c>
      <c r="P419" t="s">
        <v>32</v>
      </c>
      <c r="Q419" s="2">
        <v>0</v>
      </c>
      <c r="R419" s="2">
        <v>5243.4279745013191</v>
      </c>
      <c r="S419" t="s">
        <v>57</v>
      </c>
      <c r="T419" t="s">
        <v>44</v>
      </c>
      <c r="U419" t="s">
        <v>35</v>
      </c>
      <c r="V419" t="s">
        <v>63</v>
      </c>
      <c r="W419" t="s">
        <v>64</v>
      </c>
      <c r="X419" s="2">
        <v>9946.5842245013191</v>
      </c>
      <c r="Y419" s="2">
        <v>4703.15625</v>
      </c>
      <c r="Z419" s="2">
        <v>5243.4279745013191</v>
      </c>
      <c r="AA419" s="3">
        <v>5.4350121528907169E-2</v>
      </c>
      <c r="AB419" s="3">
        <v>0</v>
      </c>
      <c r="AC419" t="s">
        <v>38</v>
      </c>
    </row>
    <row r="420" spans="1:29" x14ac:dyDescent="0.3">
      <c r="A420" t="s">
        <v>899</v>
      </c>
      <c r="B420" t="s">
        <v>900</v>
      </c>
      <c r="C420" t="s">
        <v>86</v>
      </c>
      <c r="D420" s="2">
        <v>113600</v>
      </c>
      <c r="E420" s="3">
        <v>0</v>
      </c>
      <c r="F420" s="2">
        <v>0</v>
      </c>
      <c r="G420" s="2">
        <v>113600</v>
      </c>
      <c r="H420" s="3">
        <v>0.1532</v>
      </c>
      <c r="I420">
        <v>12</v>
      </c>
      <c r="J420" s="3">
        <v>1.2766666666666669E-2</v>
      </c>
      <c r="K420" s="2">
        <v>10270.505572960939</v>
      </c>
      <c r="L420" s="2">
        <v>123246.06687553129</v>
      </c>
      <c r="M420" s="2">
        <v>9646.0668755313091</v>
      </c>
      <c r="N420" s="2">
        <v>1136</v>
      </c>
      <c r="O420" s="2">
        <v>7384</v>
      </c>
      <c r="P420" t="s">
        <v>42</v>
      </c>
      <c r="Q420" s="2">
        <v>45440</v>
      </c>
      <c r="R420" s="2">
        <v>-42041.933124468691</v>
      </c>
      <c r="S420" t="s">
        <v>77</v>
      </c>
      <c r="T420" t="s">
        <v>74</v>
      </c>
      <c r="U420" t="s">
        <v>48</v>
      </c>
      <c r="V420" t="s">
        <v>63</v>
      </c>
      <c r="W420" t="s">
        <v>64</v>
      </c>
      <c r="X420" s="2">
        <v>10782.066875531311</v>
      </c>
      <c r="Y420" s="2">
        <v>52824</v>
      </c>
      <c r="Z420" s="2">
        <v>-42041.933124468691</v>
      </c>
      <c r="AA420" s="3">
        <v>-0.37008743947595679</v>
      </c>
      <c r="AB420" s="3">
        <v>0.4</v>
      </c>
      <c r="AC420" t="s">
        <v>38</v>
      </c>
    </row>
    <row r="421" spans="1:29" x14ac:dyDescent="0.3">
      <c r="A421" t="s">
        <v>901</v>
      </c>
      <c r="B421" t="s">
        <v>902</v>
      </c>
      <c r="C421" t="s">
        <v>56</v>
      </c>
      <c r="D421" s="2">
        <v>850200</v>
      </c>
      <c r="E421" s="3">
        <v>0.2</v>
      </c>
      <c r="F421" s="2">
        <v>170040</v>
      </c>
      <c r="G421" s="2">
        <v>680160</v>
      </c>
      <c r="H421" s="3">
        <v>0.1016</v>
      </c>
      <c r="I421">
        <v>84</v>
      </c>
      <c r="J421" s="3">
        <v>8.4666666666666657E-3</v>
      </c>
      <c r="K421" s="2">
        <v>11347.770626192931</v>
      </c>
      <c r="L421" s="2">
        <v>953212.73260020616</v>
      </c>
      <c r="M421" s="2">
        <v>273052.73260020622</v>
      </c>
      <c r="N421" s="2">
        <v>6801.6</v>
      </c>
      <c r="O421" s="2">
        <v>309472.8</v>
      </c>
      <c r="P421" t="s">
        <v>32</v>
      </c>
      <c r="Q421" s="2">
        <v>0</v>
      </c>
      <c r="R421" s="2">
        <v>-29618.467399793852</v>
      </c>
      <c r="S421" t="s">
        <v>77</v>
      </c>
      <c r="T421" t="s">
        <v>74</v>
      </c>
      <c r="U421" t="s">
        <v>59</v>
      </c>
      <c r="V421" t="s">
        <v>36</v>
      </c>
      <c r="W421" t="s">
        <v>49</v>
      </c>
      <c r="X421" s="2">
        <v>279854.33260020608</v>
      </c>
      <c r="Y421" s="2">
        <v>309472.8</v>
      </c>
      <c r="Z421" s="2">
        <v>-29618.467399793852</v>
      </c>
      <c r="AA421" s="3">
        <v>-4.3546323511811709E-2</v>
      </c>
      <c r="AB421" s="3">
        <v>0</v>
      </c>
      <c r="AC421" t="s">
        <v>38</v>
      </c>
    </row>
    <row r="422" spans="1:29" x14ac:dyDescent="0.3">
      <c r="A422" t="s">
        <v>903</v>
      </c>
      <c r="B422" t="s">
        <v>904</v>
      </c>
      <c r="C422" t="s">
        <v>86</v>
      </c>
      <c r="D422" s="2">
        <v>52000</v>
      </c>
      <c r="E422" s="3">
        <v>0</v>
      </c>
      <c r="F422" s="2">
        <v>0</v>
      </c>
      <c r="G422" s="2">
        <v>52000</v>
      </c>
      <c r="H422" s="3">
        <v>0.184</v>
      </c>
      <c r="I422">
        <v>12</v>
      </c>
      <c r="J422" s="3">
        <v>1.5333333333333331E-2</v>
      </c>
      <c r="K422" s="2">
        <v>4777.2642223375942</v>
      </c>
      <c r="L422" s="2">
        <v>57327.170668051127</v>
      </c>
      <c r="M422" s="2">
        <v>5327.170668051127</v>
      </c>
      <c r="N422" s="2">
        <v>520</v>
      </c>
      <c r="O422" s="2">
        <v>3380</v>
      </c>
      <c r="P422" t="s">
        <v>42</v>
      </c>
      <c r="Q422" s="2">
        <v>20800</v>
      </c>
      <c r="R422" s="2">
        <v>-18332.829331948869</v>
      </c>
      <c r="S422" t="s">
        <v>33</v>
      </c>
      <c r="T422" t="s">
        <v>107</v>
      </c>
      <c r="U422" t="s">
        <v>35</v>
      </c>
      <c r="V422" t="s">
        <v>63</v>
      </c>
      <c r="W422" t="s">
        <v>64</v>
      </c>
      <c r="X422" s="2">
        <v>5847.170668051127</v>
      </c>
      <c r="Y422" s="2">
        <v>24180</v>
      </c>
      <c r="Z422" s="2">
        <v>-18332.829331948869</v>
      </c>
      <c r="AA422" s="3">
        <v>-0.35255441022978601</v>
      </c>
      <c r="AB422" s="3">
        <v>0.4</v>
      </c>
      <c r="AC422" t="s">
        <v>38</v>
      </c>
    </row>
    <row r="423" spans="1:29" x14ac:dyDescent="0.3">
      <c r="A423" t="s">
        <v>905</v>
      </c>
      <c r="B423" t="s">
        <v>906</v>
      </c>
      <c r="C423" t="s">
        <v>86</v>
      </c>
      <c r="D423" s="2">
        <v>100300</v>
      </c>
      <c r="E423" s="3">
        <v>0</v>
      </c>
      <c r="F423" s="2">
        <v>0</v>
      </c>
      <c r="G423" s="2">
        <v>100300</v>
      </c>
      <c r="H423" s="3">
        <v>0.19</v>
      </c>
      <c r="I423">
        <v>12</v>
      </c>
      <c r="J423" s="3">
        <v>1.5833333333333331E-2</v>
      </c>
      <c r="K423" s="2">
        <v>9243.3047959937703</v>
      </c>
      <c r="L423" s="2">
        <v>110919.65755192529</v>
      </c>
      <c r="M423" s="2">
        <v>10619.657551925249</v>
      </c>
      <c r="N423" s="2">
        <v>1003</v>
      </c>
      <c r="O423" s="2">
        <v>6519.5</v>
      </c>
      <c r="P423" t="s">
        <v>42</v>
      </c>
      <c r="Q423" s="2">
        <v>40120</v>
      </c>
      <c r="R423" s="2">
        <v>-35016.842448074749</v>
      </c>
      <c r="S423" t="s">
        <v>43</v>
      </c>
      <c r="T423" t="s">
        <v>47</v>
      </c>
      <c r="U423" t="s">
        <v>48</v>
      </c>
      <c r="V423" t="s">
        <v>63</v>
      </c>
      <c r="W423" t="s">
        <v>64</v>
      </c>
      <c r="X423" s="2">
        <v>11622.657551925249</v>
      </c>
      <c r="Y423" s="2">
        <v>46639.5</v>
      </c>
      <c r="Z423" s="2">
        <v>-35016.842448074749</v>
      </c>
      <c r="AA423" s="3">
        <v>-0.34912106129685688</v>
      </c>
      <c r="AB423" s="3">
        <v>0.4</v>
      </c>
      <c r="AC423" t="s">
        <v>38</v>
      </c>
    </row>
    <row r="424" spans="1:29" x14ac:dyDescent="0.3">
      <c r="A424" t="s">
        <v>907</v>
      </c>
      <c r="B424" t="s">
        <v>908</v>
      </c>
      <c r="C424" t="s">
        <v>31</v>
      </c>
      <c r="D424" s="2">
        <v>294500</v>
      </c>
      <c r="E424" s="3">
        <v>0.15</v>
      </c>
      <c r="F424" s="2">
        <v>44175</v>
      </c>
      <c r="G424" s="2">
        <v>250325</v>
      </c>
      <c r="H424" s="3">
        <v>0.13789999999999999</v>
      </c>
      <c r="I424">
        <v>12</v>
      </c>
      <c r="J424" s="3">
        <v>1.1491666666666671E-2</v>
      </c>
      <c r="K424" s="2">
        <v>22451.233341666921</v>
      </c>
      <c r="L424" s="2">
        <v>269414.80010000302</v>
      </c>
      <c r="M424" s="2">
        <v>19089.80010000302</v>
      </c>
      <c r="N424" s="2">
        <v>2503.25</v>
      </c>
      <c r="O424" s="2">
        <v>16271.125</v>
      </c>
      <c r="P424" t="s">
        <v>32</v>
      </c>
      <c r="Q424" s="2">
        <v>0</v>
      </c>
      <c r="R424" s="2">
        <v>5321.9251000030199</v>
      </c>
      <c r="S424" t="s">
        <v>57</v>
      </c>
      <c r="T424" t="s">
        <v>116</v>
      </c>
      <c r="U424" t="s">
        <v>151</v>
      </c>
      <c r="V424" t="s">
        <v>36</v>
      </c>
      <c r="W424" t="s">
        <v>64</v>
      </c>
      <c r="X424" s="2">
        <v>21593.05010000302</v>
      </c>
      <c r="Y424" s="2">
        <v>16271.125</v>
      </c>
      <c r="Z424" s="2">
        <v>5321.9251000030199</v>
      </c>
      <c r="AA424" s="3">
        <v>2.126006231899738E-2</v>
      </c>
      <c r="AB424" s="3">
        <v>0</v>
      </c>
      <c r="AC424" t="s">
        <v>38</v>
      </c>
    </row>
    <row r="425" spans="1:29" x14ac:dyDescent="0.3">
      <c r="A425" t="s">
        <v>909</v>
      </c>
      <c r="B425" t="s">
        <v>910</v>
      </c>
      <c r="C425" t="s">
        <v>56</v>
      </c>
      <c r="D425" s="2">
        <v>691500</v>
      </c>
      <c r="E425" s="3">
        <v>0.15</v>
      </c>
      <c r="F425" s="2">
        <v>103725</v>
      </c>
      <c r="G425" s="2">
        <v>587775</v>
      </c>
      <c r="H425" s="3">
        <v>0.1043</v>
      </c>
      <c r="I425">
        <v>72</v>
      </c>
      <c r="J425" s="3">
        <v>8.691666666666667E-3</v>
      </c>
      <c r="K425" s="2">
        <v>11016.90914190446</v>
      </c>
      <c r="L425" s="2">
        <v>793217.45821712108</v>
      </c>
      <c r="M425" s="2">
        <v>205442.45821712111</v>
      </c>
      <c r="N425" s="2">
        <v>5877.75</v>
      </c>
      <c r="O425" s="2">
        <v>229232.25</v>
      </c>
      <c r="P425" t="s">
        <v>32</v>
      </c>
      <c r="Q425" s="2">
        <v>0</v>
      </c>
      <c r="R425" s="2">
        <v>-17912.041782878921</v>
      </c>
      <c r="S425" t="s">
        <v>57</v>
      </c>
      <c r="T425" t="s">
        <v>53</v>
      </c>
      <c r="U425" t="s">
        <v>59</v>
      </c>
      <c r="V425" t="s">
        <v>36</v>
      </c>
      <c r="W425" t="s">
        <v>49</v>
      </c>
      <c r="X425" s="2">
        <v>211320.20821712111</v>
      </c>
      <c r="Y425" s="2">
        <v>229232.25</v>
      </c>
      <c r="Z425" s="2">
        <v>-17912.041782878921</v>
      </c>
      <c r="AA425" s="3">
        <v>-3.0474317184090719E-2</v>
      </c>
      <c r="AB425" s="3">
        <v>0</v>
      </c>
      <c r="AC425" t="s">
        <v>38</v>
      </c>
    </row>
    <row r="426" spans="1:29" x14ac:dyDescent="0.3">
      <c r="A426" t="s">
        <v>911</v>
      </c>
      <c r="B426" t="s">
        <v>912</v>
      </c>
      <c r="C426" t="s">
        <v>86</v>
      </c>
      <c r="D426" s="2">
        <v>13000</v>
      </c>
      <c r="E426" s="3">
        <v>0</v>
      </c>
      <c r="F426" s="2">
        <v>0</v>
      </c>
      <c r="G426" s="2">
        <v>13000</v>
      </c>
      <c r="H426" s="3">
        <v>0.17519999999999999</v>
      </c>
      <c r="I426">
        <v>9</v>
      </c>
      <c r="J426" s="3">
        <v>1.46E-2</v>
      </c>
      <c r="K426" s="2">
        <v>1551.9261157886201</v>
      </c>
      <c r="L426" s="2">
        <v>13967.33504209758</v>
      </c>
      <c r="M426" s="2">
        <v>967.33504209757666</v>
      </c>
      <c r="N426" s="2">
        <v>499</v>
      </c>
      <c r="O426" s="2">
        <v>633.75</v>
      </c>
      <c r="P426" t="s">
        <v>32</v>
      </c>
      <c r="Q426" s="2">
        <v>0</v>
      </c>
      <c r="R426" s="2">
        <v>832.58504209757666</v>
      </c>
      <c r="S426" t="s">
        <v>33</v>
      </c>
      <c r="T426" t="s">
        <v>47</v>
      </c>
      <c r="U426" t="s">
        <v>35</v>
      </c>
      <c r="V426" t="s">
        <v>63</v>
      </c>
      <c r="W426" t="s">
        <v>64</v>
      </c>
      <c r="X426" s="2">
        <v>1466.3350420975769</v>
      </c>
      <c r="Y426" s="2">
        <v>633.75</v>
      </c>
      <c r="Z426" s="2">
        <v>832.58504209757666</v>
      </c>
      <c r="AA426" s="3">
        <v>6.4045003238275125E-2</v>
      </c>
      <c r="AB426" s="3">
        <v>0</v>
      </c>
      <c r="AC426" t="s">
        <v>38</v>
      </c>
    </row>
    <row r="427" spans="1:29" x14ac:dyDescent="0.3">
      <c r="A427" t="s">
        <v>913</v>
      </c>
      <c r="B427" t="s">
        <v>914</v>
      </c>
      <c r="C427" t="s">
        <v>31</v>
      </c>
      <c r="D427" s="2">
        <v>220200</v>
      </c>
      <c r="E427" s="3">
        <v>0.25</v>
      </c>
      <c r="F427" s="2">
        <v>55050</v>
      </c>
      <c r="G427" s="2">
        <v>165150</v>
      </c>
      <c r="H427" s="3">
        <v>0.1069</v>
      </c>
      <c r="I427">
        <v>36</v>
      </c>
      <c r="J427" s="3">
        <v>8.9083333333333323E-3</v>
      </c>
      <c r="K427" s="2">
        <v>5382.5865907727621</v>
      </c>
      <c r="L427" s="2">
        <v>193773.11726781941</v>
      </c>
      <c r="M427" s="2">
        <v>28623.117267819442</v>
      </c>
      <c r="N427" s="2">
        <v>1651.5</v>
      </c>
      <c r="O427" s="2">
        <v>32204.25</v>
      </c>
      <c r="P427" t="s">
        <v>32</v>
      </c>
      <c r="Q427" s="2">
        <v>0</v>
      </c>
      <c r="R427" s="2">
        <v>-1929.6327321805579</v>
      </c>
      <c r="S427" t="s">
        <v>43</v>
      </c>
      <c r="T427" t="s">
        <v>70</v>
      </c>
      <c r="U427" t="s">
        <v>48</v>
      </c>
      <c r="V427" t="s">
        <v>36</v>
      </c>
      <c r="W427" t="s">
        <v>37</v>
      </c>
      <c r="X427" s="2">
        <v>30274.617267819442</v>
      </c>
      <c r="Y427" s="2">
        <v>32204.25</v>
      </c>
      <c r="Z427" s="2">
        <v>-1929.6327321805579</v>
      </c>
      <c r="AA427" s="3">
        <v>-1.168412190239515E-2</v>
      </c>
      <c r="AB427" s="3">
        <v>0</v>
      </c>
      <c r="AC427" t="s">
        <v>38</v>
      </c>
    </row>
    <row r="428" spans="1:29" x14ac:dyDescent="0.3">
      <c r="A428" t="s">
        <v>915</v>
      </c>
      <c r="B428" t="s">
        <v>916</v>
      </c>
      <c r="C428" t="s">
        <v>86</v>
      </c>
      <c r="D428" s="2">
        <v>51400</v>
      </c>
      <c r="E428" s="3">
        <v>0.2</v>
      </c>
      <c r="F428" s="2">
        <v>10280</v>
      </c>
      <c r="G428" s="2">
        <v>41120</v>
      </c>
      <c r="H428" s="3">
        <v>0.18179999999999999</v>
      </c>
      <c r="I428">
        <v>18</v>
      </c>
      <c r="J428" s="3">
        <v>1.515E-2</v>
      </c>
      <c r="K428" s="2">
        <v>2627.2233997908638</v>
      </c>
      <c r="L428" s="2">
        <v>47290.021196235553</v>
      </c>
      <c r="M428" s="2">
        <v>6170.0211962355461</v>
      </c>
      <c r="N428" s="2">
        <v>499</v>
      </c>
      <c r="O428" s="2">
        <v>4009.2</v>
      </c>
      <c r="P428" t="s">
        <v>32</v>
      </c>
      <c r="Q428" s="2">
        <v>0</v>
      </c>
      <c r="R428" s="2">
        <v>2659.8211962355458</v>
      </c>
      <c r="S428" t="s">
        <v>57</v>
      </c>
      <c r="T428" t="s">
        <v>34</v>
      </c>
      <c r="U428" t="s">
        <v>35</v>
      </c>
      <c r="V428" t="s">
        <v>63</v>
      </c>
      <c r="W428" t="s">
        <v>37</v>
      </c>
      <c r="X428" s="2">
        <v>6669.0211962355461</v>
      </c>
      <c r="Y428" s="2">
        <v>4009.2</v>
      </c>
      <c r="Z428" s="2">
        <v>2659.8211962355458</v>
      </c>
      <c r="AA428" s="3">
        <v>6.4684367612732149E-2</v>
      </c>
      <c r="AB428" s="3">
        <v>0</v>
      </c>
      <c r="AC428" t="s">
        <v>38</v>
      </c>
    </row>
    <row r="429" spans="1:29" x14ac:dyDescent="0.3">
      <c r="A429" t="s">
        <v>917</v>
      </c>
      <c r="B429" t="s">
        <v>918</v>
      </c>
      <c r="C429" t="s">
        <v>56</v>
      </c>
      <c r="D429" s="2">
        <v>923900</v>
      </c>
      <c r="E429" s="3">
        <v>0.3</v>
      </c>
      <c r="F429" s="2">
        <v>277170</v>
      </c>
      <c r="G429" s="2">
        <v>646730</v>
      </c>
      <c r="H429" s="3">
        <v>8.7400000000000005E-2</v>
      </c>
      <c r="I429">
        <v>36</v>
      </c>
      <c r="J429" s="3">
        <v>7.2833333333333326E-3</v>
      </c>
      <c r="K429" s="2">
        <v>20487.671403919601</v>
      </c>
      <c r="L429" s="2">
        <v>737556.17054110568</v>
      </c>
      <c r="M429" s="2">
        <v>90826.170541105676</v>
      </c>
      <c r="N429" s="2">
        <v>6467.3</v>
      </c>
      <c r="O429" s="2">
        <v>126112.35</v>
      </c>
      <c r="P429" t="s">
        <v>32</v>
      </c>
      <c r="Q429" s="2">
        <v>0</v>
      </c>
      <c r="R429" s="2">
        <v>-28818.879458894331</v>
      </c>
      <c r="S429" t="s">
        <v>43</v>
      </c>
      <c r="T429" t="s">
        <v>58</v>
      </c>
      <c r="U429" t="s">
        <v>59</v>
      </c>
      <c r="V429" t="s">
        <v>71</v>
      </c>
      <c r="W429" t="s">
        <v>37</v>
      </c>
      <c r="X429" s="2">
        <v>97293.470541105678</v>
      </c>
      <c r="Y429" s="2">
        <v>126112.35</v>
      </c>
      <c r="Z429" s="2">
        <v>-28818.879458894331</v>
      </c>
      <c r="AA429" s="3">
        <v>-4.4560913300595813E-2</v>
      </c>
      <c r="AB429" s="3">
        <v>0</v>
      </c>
      <c r="AC429" t="s">
        <v>38</v>
      </c>
    </row>
    <row r="430" spans="1:29" x14ac:dyDescent="0.3">
      <c r="A430" t="s">
        <v>919</v>
      </c>
      <c r="B430" t="s">
        <v>920</v>
      </c>
      <c r="C430" t="s">
        <v>56</v>
      </c>
      <c r="D430" s="2">
        <v>893900</v>
      </c>
      <c r="E430" s="3">
        <v>0.15</v>
      </c>
      <c r="F430" s="2">
        <v>134085</v>
      </c>
      <c r="G430" s="2">
        <v>759815</v>
      </c>
      <c r="H430" s="3">
        <v>0.1135</v>
      </c>
      <c r="I430">
        <v>48</v>
      </c>
      <c r="J430" s="3">
        <v>9.4583333333333342E-3</v>
      </c>
      <c r="K430" s="2">
        <v>19767.211903578889</v>
      </c>
      <c r="L430" s="2">
        <v>948826.17137178686</v>
      </c>
      <c r="M430" s="2">
        <v>189011.17137178691</v>
      </c>
      <c r="N430" s="2">
        <v>7598.1500000000005</v>
      </c>
      <c r="O430" s="2">
        <v>197551.9</v>
      </c>
      <c r="P430" t="s">
        <v>32</v>
      </c>
      <c r="Q430" s="2">
        <v>0</v>
      </c>
      <c r="R430" s="2">
        <v>-942.57862821314484</v>
      </c>
      <c r="S430" t="s">
        <v>43</v>
      </c>
      <c r="T430" t="s">
        <v>62</v>
      </c>
      <c r="U430" t="s">
        <v>59</v>
      </c>
      <c r="V430" t="s">
        <v>36</v>
      </c>
      <c r="W430" t="s">
        <v>49</v>
      </c>
      <c r="X430" s="2">
        <v>196609.32137178679</v>
      </c>
      <c r="Y430" s="2">
        <v>197551.9</v>
      </c>
      <c r="Z430" s="2">
        <v>-942.57862821314484</v>
      </c>
      <c r="AA430" s="3">
        <v>-1.240537009947349E-3</v>
      </c>
      <c r="AB430" s="3">
        <v>0</v>
      </c>
      <c r="AC430" t="s">
        <v>38</v>
      </c>
    </row>
    <row r="431" spans="1:29" x14ac:dyDescent="0.3">
      <c r="A431" t="s">
        <v>921</v>
      </c>
      <c r="B431" t="s">
        <v>922</v>
      </c>
      <c r="C431" t="s">
        <v>41</v>
      </c>
      <c r="D431" s="2">
        <v>148500</v>
      </c>
      <c r="E431" s="3">
        <v>0.05</v>
      </c>
      <c r="F431" s="2">
        <v>7425</v>
      </c>
      <c r="G431" s="2">
        <v>141075</v>
      </c>
      <c r="H431" s="3">
        <v>0.15479999999999999</v>
      </c>
      <c r="I431">
        <v>36</v>
      </c>
      <c r="J431" s="3">
        <v>1.29E-2</v>
      </c>
      <c r="K431" s="2">
        <v>4923.6370917579889</v>
      </c>
      <c r="L431" s="2">
        <v>177250.93530328761</v>
      </c>
      <c r="M431" s="2">
        <v>36175.93530328761</v>
      </c>
      <c r="N431" s="2">
        <v>1410.75</v>
      </c>
      <c r="O431" s="2">
        <v>27509.625</v>
      </c>
      <c r="P431" t="s">
        <v>32</v>
      </c>
      <c r="Q431" s="2">
        <v>0</v>
      </c>
      <c r="R431" s="2">
        <v>10077.06030328761</v>
      </c>
      <c r="S431" t="s">
        <v>77</v>
      </c>
      <c r="T431" t="s">
        <v>53</v>
      </c>
      <c r="U431" t="s">
        <v>48</v>
      </c>
      <c r="V431" t="s">
        <v>63</v>
      </c>
      <c r="W431" t="s">
        <v>37</v>
      </c>
      <c r="X431" s="2">
        <v>37586.68530328761</v>
      </c>
      <c r="Y431" s="2">
        <v>27509.625</v>
      </c>
      <c r="Z431" s="2">
        <v>10077.06030328761</v>
      </c>
      <c r="AA431" s="3">
        <v>7.1430517832979684E-2</v>
      </c>
      <c r="AB431" s="3">
        <v>0</v>
      </c>
      <c r="AC431" t="s">
        <v>38</v>
      </c>
    </row>
    <row r="432" spans="1:29" x14ac:dyDescent="0.3">
      <c r="A432" t="s">
        <v>923</v>
      </c>
      <c r="B432" t="s">
        <v>924</v>
      </c>
      <c r="C432" t="s">
        <v>56</v>
      </c>
      <c r="D432" s="2">
        <v>1405600</v>
      </c>
      <c r="E432" s="3">
        <v>0.3</v>
      </c>
      <c r="F432" s="2">
        <v>421680</v>
      </c>
      <c r="G432" s="2">
        <v>983920</v>
      </c>
      <c r="H432" s="3">
        <v>8.6999999999999994E-2</v>
      </c>
      <c r="I432">
        <v>72</v>
      </c>
      <c r="J432" s="3">
        <v>7.2500000000000004E-3</v>
      </c>
      <c r="K432" s="2">
        <v>17589.542780245949</v>
      </c>
      <c r="L432" s="2">
        <v>1266447.0801777081</v>
      </c>
      <c r="M432" s="2">
        <v>282527.0801777083</v>
      </c>
      <c r="N432" s="2">
        <v>9839.2000000000007</v>
      </c>
      <c r="O432" s="2">
        <v>383728.8</v>
      </c>
      <c r="P432" t="s">
        <v>32</v>
      </c>
      <c r="Q432" s="2">
        <v>0</v>
      </c>
      <c r="R432" s="2">
        <v>-91362.519822291739</v>
      </c>
      <c r="S432" t="s">
        <v>77</v>
      </c>
      <c r="T432" t="s">
        <v>204</v>
      </c>
      <c r="U432" t="s">
        <v>59</v>
      </c>
      <c r="V432" t="s">
        <v>71</v>
      </c>
      <c r="W432" t="s">
        <v>49</v>
      </c>
      <c r="X432" s="2">
        <v>292366.28017770831</v>
      </c>
      <c r="Y432" s="2">
        <v>383728.8</v>
      </c>
      <c r="Z432" s="2">
        <v>-91362.519822291739</v>
      </c>
      <c r="AA432" s="3">
        <v>-9.2855638489198047E-2</v>
      </c>
      <c r="AB432" s="3">
        <v>0</v>
      </c>
      <c r="AC432" t="s">
        <v>38</v>
      </c>
    </row>
    <row r="433" spans="1:29" x14ac:dyDescent="0.3">
      <c r="A433" t="s">
        <v>925</v>
      </c>
      <c r="B433" t="s">
        <v>926</v>
      </c>
      <c r="C433" t="s">
        <v>41</v>
      </c>
      <c r="D433" s="2">
        <v>139600</v>
      </c>
      <c r="E433" s="3">
        <v>0.2</v>
      </c>
      <c r="F433" s="2">
        <v>27920</v>
      </c>
      <c r="G433" s="2">
        <v>111680</v>
      </c>
      <c r="H433" s="3">
        <v>0.121</v>
      </c>
      <c r="I433">
        <v>36</v>
      </c>
      <c r="J433" s="3">
        <v>1.008333333333333E-2</v>
      </c>
      <c r="K433" s="2">
        <v>3714.7104378442982</v>
      </c>
      <c r="L433" s="2">
        <v>133729.5757623947</v>
      </c>
      <c r="M433" s="2">
        <v>22049.575762394728</v>
      </c>
      <c r="N433" s="2">
        <v>1116.8</v>
      </c>
      <c r="O433" s="2">
        <v>21777.599999999999</v>
      </c>
      <c r="P433" t="s">
        <v>32</v>
      </c>
      <c r="Q433" s="2">
        <v>0</v>
      </c>
      <c r="R433" s="2">
        <v>1388.7757623947291</v>
      </c>
      <c r="S433" t="s">
        <v>57</v>
      </c>
      <c r="T433" t="s">
        <v>58</v>
      </c>
      <c r="U433" t="s">
        <v>48</v>
      </c>
      <c r="V433" t="s">
        <v>36</v>
      </c>
      <c r="W433" t="s">
        <v>37</v>
      </c>
      <c r="X433" s="2">
        <v>23166.375762394731</v>
      </c>
      <c r="Y433" s="2">
        <v>21777.599999999999</v>
      </c>
      <c r="Z433" s="2">
        <v>1388.7757623947291</v>
      </c>
      <c r="AA433" s="3">
        <v>1.243531305869206E-2</v>
      </c>
      <c r="AB433" s="3">
        <v>0</v>
      </c>
      <c r="AC433" t="s">
        <v>38</v>
      </c>
    </row>
    <row r="434" spans="1:29" x14ac:dyDescent="0.3">
      <c r="A434" t="s">
        <v>927</v>
      </c>
      <c r="B434" t="s">
        <v>928</v>
      </c>
      <c r="C434" t="s">
        <v>41</v>
      </c>
      <c r="D434" s="2">
        <v>43500</v>
      </c>
      <c r="E434" s="3">
        <v>0</v>
      </c>
      <c r="F434" s="2">
        <v>0</v>
      </c>
      <c r="G434" s="2">
        <v>43500</v>
      </c>
      <c r="H434" s="3">
        <v>0.16700000000000001</v>
      </c>
      <c r="I434">
        <v>6</v>
      </c>
      <c r="J434" s="3">
        <v>1.3916666666666669E-2</v>
      </c>
      <c r="K434" s="2">
        <v>7607.2020921453623</v>
      </c>
      <c r="L434" s="2">
        <v>45643.212552872174</v>
      </c>
      <c r="M434" s="2">
        <v>2143.212552872174</v>
      </c>
      <c r="N434" s="2">
        <v>499</v>
      </c>
      <c r="O434" s="2">
        <v>1413.75</v>
      </c>
      <c r="P434" t="s">
        <v>32</v>
      </c>
      <c r="Q434" s="2">
        <v>0</v>
      </c>
      <c r="R434" s="2">
        <v>1228.462552872174</v>
      </c>
      <c r="S434" t="s">
        <v>33</v>
      </c>
      <c r="T434" t="s">
        <v>204</v>
      </c>
      <c r="U434" t="s">
        <v>35</v>
      </c>
      <c r="V434" t="s">
        <v>63</v>
      </c>
      <c r="W434" t="s">
        <v>64</v>
      </c>
      <c r="X434" s="2">
        <v>2642.212552872174</v>
      </c>
      <c r="Y434" s="2">
        <v>1413.75</v>
      </c>
      <c r="Z434" s="2">
        <v>1228.462552872174</v>
      </c>
      <c r="AA434" s="3">
        <v>2.8240518456831579E-2</v>
      </c>
      <c r="AB434" s="3">
        <v>0</v>
      </c>
      <c r="AC434" t="s">
        <v>38</v>
      </c>
    </row>
    <row r="435" spans="1:29" x14ac:dyDescent="0.3">
      <c r="A435" t="s">
        <v>929</v>
      </c>
      <c r="B435" t="s">
        <v>930</v>
      </c>
      <c r="C435" t="s">
        <v>56</v>
      </c>
      <c r="D435" s="2">
        <v>1368100</v>
      </c>
      <c r="E435" s="3">
        <v>0.25</v>
      </c>
      <c r="F435" s="2">
        <v>342025</v>
      </c>
      <c r="G435" s="2">
        <v>1026075</v>
      </c>
      <c r="H435" s="3">
        <v>0.1113</v>
      </c>
      <c r="I435">
        <v>60</v>
      </c>
      <c r="J435" s="3">
        <v>9.2750000000000003E-3</v>
      </c>
      <c r="K435" s="2">
        <v>22375.93701158926</v>
      </c>
      <c r="L435" s="2">
        <v>1342556.2206953559</v>
      </c>
      <c r="M435" s="2">
        <v>316481.22069535591</v>
      </c>
      <c r="N435" s="2">
        <v>10260.75</v>
      </c>
      <c r="O435" s="2">
        <v>333474.375</v>
      </c>
      <c r="P435" t="s">
        <v>32</v>
      </c>
      <c r="Q435" s="2">
        <v>0</v>
      </c>
      <c r="R435" s="2">
        <v>-6732.4043046440929</v>
      </c>
      <c r="S435" t="s">
        <v>57</v>
      </c>
      <c r="T435" t="s">
        <v>62</v>
      </c>
      <c r="U435" t="s">
        <v>59</v>
      </c>
      <c r="V435" t="s">
        <v>36</v>
      </c>
      <c r="W435" t="s">
        <v>49</v>
      </c>
      <c r="X435" s="2">
        <v>326741.97069535591</v>
      </c>
      <c r="Y435" s="2">
        <v>333474.375</v>
      </c>
      <c r="Z435" s="2">
        <v>-6732.4043046440929</v>
      </c>
      <c r="AA435" s="3">
        <v>-6.5613179393748926E-3</v>
      </c>
      <c r="AB435" s="3">
        <v>0</v>
      </c>
      <c r="AC435" t="s">
        <v>38</v>
      </c>
    </row>
    <row r="436" spans="1:29" x14ac:dyDescent="0.3">
      <c r="A436" t="s">
        <v>931</v>
      </c>
      <c r="B436" t="s">
        <v>932</v>
      </c>
      <c r="C436" t="s">
        <v>86</v>
      </c>
      <c r="D436" s="2">
        <v>53100</v>
      </c>
      <c r="E436" s="3">
        <v>0.2</v>
      </c>
      <c r="F436" s="2">
        <v>10620</v>
      </c>
      <c r="G436" s="2">
        <v>42480</v>
      </c>
      <c r="H436" s="3">
        <v>0.1895</v>
      </c>
      <c r="I436">
        <v>24</v>
      </c>
      <c r="J436" s="3">
        <v>1.5791666666666669E-2</v>
      </c>
      <c r="K436" s="2">
        <v>2140.3262519627519</v>
      </c>
      <c r="L436" s="2">
        <v>51367.830047106057</v>
      </c>
      <c r="M436" s="2">
        <v>8887.8300471060575</v>
      </c>
      <c r="N436" s="2">
        <v>499</v>
      </c>
      <c r="O436" s="2">
        <v>5522.4000000000005</v>
      </c>
      <c r="P436" t="s">
        <v>32</v>
      </c>
      <c r="Q436" s="2">
        <v>0</v>
      </c>
      <c r="R436" s="2">
        <v>3864.4300471060569</v>
      </c>
      <c r="S436" t="s">
        <v>57</v>
      </c>
      <c r="T436" t="s">
        <v>53</v>
      </c>
      <c r="U436" t="s">
        <v>35</v>
      </c>
      <c r="V436" t="s">
        <v>63</v>
      </c>
      <c r="W436" t="s">
        <v>37</v>
      </c>
      <c r="X436" s="2">
        <v>9386.8300471060575</v>
      </c>
      <c r="Y436" s="2">
        <v>5522.4000000000005</v>
      </c>
      <c r="Z436" s="2">
        <v>3864.4300471060569</v>
      </c>
      <c r="AA436" s="3">
        <v>9.0970575496846909E-2</v>
      </c>
      <c r="AB436" s="3">
        <v>0</v>
      </c>
      <c r="AC436" t="s">
        <v>38</v>
      </c>
    </row>
    <row r="437" spans="1:29" x14ac:dyDescent="0.3">
      <c r="A437" t="s">
        <v>933</v>
      </c>
      <c r="B437" t="s">
        <v>934</v>
      </c>
      <c r="C437" t="s">
        <v>31</v>
      </c>
      <c r="D437" s="2">
        <v>71800</v>
      </c>
      <c r="E437" s="3">
        <v>0.15</v>
      </c>
      <c r="F437" s="2">
        <v>10770</v>
      </c>
      <c r="G437" s="2">
        <v>61030</v>
      </c>
      <c r="H437" s="3">
        <v>0.13800000000000001</v>
      </c>
      <c r="I437">
        <v>36</v>
      </c>
      <c r="J437" s="3">
        <v>1.15E-2</v>
      </c>
      <c r="K437" s="2">
        <v>2079.9373123493779</v>
      </c>
      <c r="L437" s="2">
        <v>74877.743244577621</v>
      </c>
      <c r="M437" s="2">
        <v>13847.743244577619</v>
      </c>
      <c r="N437" s="2">
        <v>610.30000000000007</v>
      </c>
      <c r="O437" s="2">
        <v>11900.85</v>
      </c>
      <c r="P437" t="s">
        <v>42</v>
      </c>
      <c r="Q437" s="2">
        <v>24412</v>
      </c>
      <c r="R437" s="2">
        <v>-21854.806755422382</v>
      </c>
      <c r="S437" t="s">
        <v>77</v>
      </c>
      <c r="T437" t="s">
        <v>204</v>
      </c>
      <c r="U437" t="s">
        <v>35</v>
      </c>
      <c r="V437" t="s">
        <v>36</v>
      </c>
      <c r="W437" t="s">
        <v>37</v>
      </c>
      <c r="X437" s="2">
        <v>14458.04324457762</v>
      </c>
      <c r="Y437" s="2">
        <v>36312.85</v>
      </c>
      <c r="Z437" s="2">
        <v>-21854.806755422382</v>
      </c>
      <c r="AA437" s="3">
        <v>-0.35809940611866919</v>
      </c>
      <c r="AB437" s="3">
        <v>0.4</v>
      </c>
      <c r="AC437" t="s">
        <v>38</v>
      </c>
    </row>
    <row r="438" spans="1:29" x14ac:dyDescent="0.3">
      <c r="A438" t="s">
        <v>935</v>
      </c>
      <c r="B438" t="s">
        <v>936</v>
      </c>
      <c r="C438" t="s">
        <v>86</v>
      </c>
      <c r="D438" s="2">
        <v>63100</v>
      </c>
      <c r="E438" s="3">
        <v>0</v>
      </c>
      <c r="F438" s="2">
        <v>0</v>
      </c>
      <c r="G438" s="2">
        <v>63100</v>
      </c>
      <c r="H438" s="3">
        <v>0.19570000000000001</v>
      </c>
      <c r="I438">
        <v>3</v>
      </c>
      <c r="J438" s="3">
        <v>1.6308333333333331E-2</v>
      </c>
      <c r="K438" s="2">
        <v>21723.069685477541</v>
      </c>
      <c r="L438" s="2">
        <v>65169.209056432614</v>
      </c>
      <c r="M438" s="2">
        <v>2069.209056432614</v>
      </c>
      <c r="N438" s="2">
        <v>631</v>
      </c>
      <c r="O438" s="2">
        <v>1025.375</v>
      </c>
      <c r="P438" t="s">
        <v>52</v>
      </c>
      <c r="Q438" s="2">
        <v>0</v>
      </c>
      <c r="R438" s="2">
        <v>1674.834056432614</v>
      </c>
      <c r="S438" t="s">
        <v>57</v>
      </c>
      <c r="T438" t="s">
        <v>53</v>
      </c>
      <c r="U438" t="s">
        <v>35</v>
      </c>
      <c r="V438" t="s">
        <v>63</v>
      </c>
      <c r="W438" t="s">
        <v>64</v>
      </c>
      <c r="X438" s="2">
        <v>2700.209056432614</v>
      </c>
      <c r="Y438" s="2">
        <v>1025.375</v>
      </c>
      <c r="Z438" s="2">
        <v>1674.834056432614</v>
      </c>
      <c r="AA438" s="3">
        <v>2.6542536552022399E-2</v>
      </c>
      <c r="AB438" s="3">
        <v>0</v>
      </c>
      <c r="AC438" t="s">
        <v>38</v>
      </c>
    </row>
    <row r="439" spans="1:29" x14ac:dyDescent="0.3">
      <c r="A439" t="s">
        <v>937</v>
      </c>
      <c r="B439" t="s">
        <v>938</v>
      </c>
      <c r="C439" t="s">
        <v>86</v>
      </c>
      <c r="D439" s="2">
        <v>54700</v>
      </c>
      <c r="E439" s="3">
        <v>0.1</v>
      </c>
      <c r="F439" s="2">
        <v>5470</v>
      </c>
      <c r="G439" s="2">
        <v>49230</v>
      </c>
      <c r="H439" s="3">
        <v>0.19159999999999999</v>
      </c>
      <c r="I439">
        <v>6</v>
      </c>
      <c r="J439" s="3">
        <v>1.5966666666666671E-2</v>
      </c>
      <c r="K439" s="2">
        <v>8669.5745203508559</v>
      </c>
      <c r="L439" s="2">
        <v>52017.447122105143</v>
      </c>
      <c r="M439" s="2">
        <v>2787.4471221051349</v>
      </c>
      <c r="N439" s="2">
        <v>499</v>
      </c>
      <c r="O439" s="2">
        <v>1599.9749999999999</v>
      </c>
      <c r="P439" t="s">
        <v>52</v>
      </c>
      <c r="Q439" s="2">
        <v>0</v>
      </c>
      <c r="R439" s="2">
        <v>1686.472122105135</v>
      </c>
      <c r="S439" t="s">
        <v>57</v>
      </c>
      <c r="T439" t="s">
        <v>44</v>
      </c>
      <c r="U439" t="s">
        <v>35</v>
      </c>
      <c r="V439" t="s">
        <v>63</v>
      </c>
      <c r="W439" t="s">
        <v>64</v>
      </c>
      <c r="X439" s="2">
        <v>3286.4471221051349</v>
      </c>
      <c r="Y439" s="2">
        <v>1599.9749999999999</v>
      </c>
      <c r="Z439" s="2">
        <v>1686.472122105135</v>
      </c>
      <c r="AA439" s="3">
        <v>3.4257000245889402E-2</v>
      </c>
      <c r="AB439" s="3">
        <v>0</v>
      </c>
      <c r="AC439" t="s">
        <v>38</v>
      </c>
    </row>
    <row r="440" spans="1:29" x14ac:dyDescent="0.3">
      <c r="A440" t="s">
        <v>939</v>
      </c>
      <c r="B440" t="s">
        <v>940</v>
      </c>
      <c r="C440" t="s">
        <v>41</v>
      </c>
      <c r="D440" s="2">
        <v>89600</v>
      </c>
      <c r="E440" s="3">
        <v>0.2</v>
      </c>
      <c r="F440" s="2">
        <v>17920</v>
      </c>
      <c r="G440" s="2">
        <v>71680</v>
      </c>
      <c r="H440" s="3">
        <v>0.14990000000000001</v>
      </c>
      <c r="I440">
        <v>6</v>
      </c>
      <c r="J440" s="3">
        <v>1.249166666666667E-2</v>
      </c>
      <c r="K440" s="2">
        <v>12474.387883445201</v>
      </c>
      <c r="L440" s="2">
        <v>74846.327300671197</v>
      </c>
      <c r="M440" s="2">
        <v>3166.327300671197</v>
      </c>
      <c r="N440" s="2">
        <v>716.80000000000007</v>
      </c>
      <c r="O440" s="2">
        <v>2329.6</v>
      </c>
      <c r="P440" t="s">
        <v>32</v>
      </c>
      <c r="Q440" s="2">
        <v>0</v>
      </c>
      <c r="R440" s="2">
        <v>1553.5273006711971</v>
      </c>
      <c r="S440" t="s">
        <v>33</v>
      </c>
      <c r="T440" t="s">
        <v>204</v>
      </c>
      <c r="U440" t="s">
        <v>35</v>
      </c>
      <c r="V440" t="s">
        <v>36</v>
      </c>
      <c r="W440" t="s">
        <v>64</v>
      </c>
      <c r="X440" s="2">
        <v>3883.1273006711972</v>
      </c>
      <c r="Y440" s="2">
        <v>2329.6</v>
      </c>
      <c r="Z440" s="2">
        <v>1553.5273006711971</v>
      </c>
      <c r="AA440" s="3">
        <v>2.167309292231023E-2</v>
      </c>
      <c r="AB440" s="3">
        <v>0</v>
      </c>
      <c r="AC440" t="s">
        <v>38</v>
      </c>
    </row>
    <row r="441" spans="1:29" x14ac:dyDescent="0.3">
      <c r="A441" t="s">
        <v>941</v>
      </c>
      <c r="B441" t="s">
        <v>942</v>
      </c>
      <c r="C441" t="s">
        <v>31</v>
      </c>
      <c r="D441" s="2">
        <v>156800</v>
      </c>
      <c r="E441" s="3">
        <v>0.25</v>
      </c>
      <c r="F441" s="2">
        <v>39200</v>
      </c>
      <c r="G441" s="2">
        <v>117600</v>
      </c>
      <c r="H441" s="3">
        <v>0.16239999999999999</v>
      </c>
      <c r="I441">
        <v>60</v>
      </c>
      <c r="J441" s="3">
        <v>1.353333333333333E-2</v>
      </c>
      <c r="K441" s="2">
        <v>2874.8214755370341</v>
      </c>
      <c r="L441" s="2">
        <v>172489.28853222201</v>
      </c>
      <c r="M441" s="2">
        <v>54889.28853222201</v>
      </c>
      <c r="N441" s="2">
        <v>1176</v>
      </c>
      <c r="O441" s="2">
        <v>38220</v>
      </c>
      <c r="P441" t="s">
        <v>42</v>
      </c>
      <c r="Q441" s="2">
        <v>47040</v>
      </c>
      <c r="R441" s="2">
        <v>-29194.71146777799</v>
      </c>
      <c r="S441" t="s">
        <v>43</v>
      </c>
      <c r="T441" t="s">
        <v>74</v>
      </c>
      <c r="U441" t="s">
        <v>48</v>
      </c>
      <c r="V441" t="s">
        <v>63</v>
      </c>
      <c r="W441" t="s">
        <v>49</v>
      </c>
      <c r="X441" s="2">
        <v>56065.28853222201</v>
      </c>
      <c r="Y441" s="2">
        <v>85260</v>
      </c>
      <c r="Z441" s="2">
        <v>-29194.71146777799</v>
      </c>
      <c r="AA441" s="3">
        <v>-0.2482543492157992</v>
      </c>
      <c r="AB441" s="3">
        <v>0.4</v>
      </c>
      <c r="AC441" t="s">
        <v>38</v>
      </c>
    </row>
    <row r="442" spans="1:29" x14ac:dyDescent="0.3">
      <c r="A442" t="s">
        <v>943</v>
      </c>
      <c r="B442" t="s">
        <v>944</v>
      </c>
      <c r="C442" t="s">
        <v>56</v>
      </c>
      <c r="D442" s="2">
        <v>674400</v>
      </c>
      <c r="E442" s="3">
        <v>0.15</v>
      </c>
      <c r="F442" s="2">
        <v>101160</v>
      </c>
      <c r="G442" s="2">
        <v>573240</v>
      </c>
      <c r="H442" s="3">
        <v>9.8699999999999996E-2</v>
      </c>
      <c r="I442">
        <v>60</v>
      </c>
      <c r="J442" s="3">
        <v>8.2249999999999997E-3</v>
      </c>
      <c r="K442" s="2">
        <v>12143.020850556741</v>
      </c>
      <c r="L442" s="2">
        <v>728581.25103340461</v>
      </c>
      <c r="M442" s="2">
        <v>155341.25103340461</v>
      </c>
      <c r="N442" s="2">
        <v>5732.4000000000005</v>
      </c>
      <c r="O442" s="2">
        <v>186303</v>
      </c>
      <c r="P442" t="s">
        <v>52</v>
      </c>
      <c r="Q442" s="2">
        <v>0</v>
      </c>
      <c r="R442" s="2">
        <v>-25229.3489665954</v>
      </c>
      <c r="S442" t="s">
        <v>57</v>
      </c>
      <c r="T442" t="s">
        <v>70</v>
      </c>
      <c r="U442" t="s">
        <v>59</v>
      </c>
      <c r="V442" t="s">
        <v>71</v>
      </c>
      <c r="W442" t="s">
        <v>49</v>
      </c>
      <c r="X442" s="2">
        <v>161073.6510334046</v>
      </c>
      <c r="Y442" s="2">
        <v>186303</v>
      </c>
      <c r="Z442" s="2">
        <v>-25229.3489665954</v>
      </c>
      <c r="AA442" s="3">
        <v>-4.4011843148760367E-2</v>
      </c>
      <c r="AB442" s="3">
        <v>0</v>
      </c>
      <c r="AC442" t="s">
        <v>38</v>
      </c>
    </row>
    <row r="443" spans="1:29" x14ac:dyDescent="0.3">
      <c r="A443" t="s">
        <v>945</v>
      </c>
      <c r="B443" t="s">
        <v>946</v>
      </c>
      <c r="C443" t="s">
        <v>41</v>
      </c>
      <c r="D443" s="2">
        <v>140400</v>
      </c>
      <c r="E443" s="3">
        <v>0.1</v>
      </c>
      <c r="F443" s="2">
        <v>14040</v>
      </c>
      <c r="G443" s="2">
        <v>126360</v>
      </c>
      <c r="H443" s="3">
        <v>0.17449999999999999</v>
      </c>
      <c r="I443">
        <v>9</v>
      </c>
      <c r="J443" s="3">
        <v>1.454166666666667E-2</v>
      </c>
      <c r="K443" s="2">
        <v>15080.469538371741</v>
      </c>
      <c r="L443" s="2">
        <v>135724.2258453457</v>
      </c>
      <c r="M443" s="2">
        <v>9364.2258453456743</v>
      </c>
      <c r="N443" s="2">
        <v>1263.5999999999999</v>
      </c>
      <c r="O443" s="2">
        <v>6160.0499999999993</v>
      </c>
      <c r="P443" t="s">
        <v>32</v>
      </c>
      <c r="Q443" s="2">
        <v>0</v>
      </c>
      <c r="R443" s="2">
        <v>4467.7758453456754</v>
      </c>
      <c r="S443" t="s">
        <v>57</v>
      </c>
      <c r="T443" t="s">
        <v>47</v>
      </c>
      <c r="U443" t="s">
        <v>48</v>
      </c>
      <c r="V443" t="s">
        <v>63</v>
      </c>
      <c r="W443" t="s">
        <v>64</v>
      </c>
      <c r="X443" s="2">
        <v>10627.825845345669</v>
      </c>
      <c r="Y443" s="2">
        <v>6160.0499999999993</v>
      </c>
      <c r="Z443" s="2">
        <v>4467.7758453456754</v>
      </c>
      <c r="AA443" s="3">
        <v>3.5357516978044283E-2</v>
      </c>
      <c r="AB443" s="3">
        <v>0</v>
      </c>
      <c r="AC443" t="s">
        <v>38</v>
      </c>
    </row>
    <row r="444" spans="1:29" x14ac:dyDescent="0.3">
      <c r="A444" t="s">
        <v>947</v>
      </c>
      <c r="B444" t="s">
        <v>948</v>
      </c>
      <c r="C444" t="s">
        <v>56</v>
      </c>
      <c r="D444" s="2">
        <v>922000</v>
      </c>
      <c r="E444" s="3">
        <v>0.15</v>
      </c>
      <c r="F444" s="2">
        <v>138300</v>
      </c>
      <c r="G444" s="2">
        <v>783700</v>
      </c>
      <c r="H444" s="3">
        <v>0.10150000000000001</v>
      </c>
      <c r="I444">
        <v>60</v>
      </c>
      <c r="J444" s="3">
        <v>8.4583333333333333E-3</v>
      </c>
      <c r="K444" s="2">
        <v>16709.209751832739</v>
      </c>
      <c r="L444" s="2">
        <v>1002552.585109964</v>
      </c>
      <c r="M444" s="2">
        <v>218852.5851099641</v>
      </c>
      <c r="N444" s="2">
        <v>7837</v>
      </c>
      <c r="O444" s="2">
        <v>254702.5</v>
      </c>
      <c r="P444" t="s">
        <v>32</v>
      </c>
      <c r="Q444" s="2">
        <v>0</v>
      </c>
      <c r="R444" s="2">
        <v>-28012.91489003587</v>
      </c>
      <c r="S444" t="s">
        <v>77</v>
      </c>
      <c r="T444" t="s">
        <v>44</v>
      </c>
      <c r="U444" t="s">
        <v>59</v>
      </c>
      <c r="V444" t="s">
        <v>36</v>
      </c>
      <c r="W444" t="s">
        <v>49</v>
      </c>
      <c r="X444" s="2">
        <v>226689.5851099641</v>
      </c>
      <c r="Y444" s="2">
        <v>254702.5</v>
      </c>
      <c r="Z444" s="2">
        <v>-28012.91489003587</v>
      </c>
      <c r="AA444" s="3">
        <v>-3.5744436506361957E-2</v>
      </c>
      <c r="AB444" s="3">
        <v>0</v>
      </c>
      <c r="AC444" t="s">
        <v>38</v>
      </c>
    </row>
    <row r="445" spans="1:29" x14ac:dyDescent="0.3">
      <c r="A445" t="s">
        <v>949</v>
      </c>
      <c r="B445" t="s">
        <v>950</v>
      </c>
      <c r="C445" t="s">
        <v>56</v>
      </c>
      <c r="D445" s="2">
        <v>499400</v>
      </c>
      <c r="E445" s="3">
        <v>0.15</v>
      </c>
      <c r="F445" s="2">
        <v>74910</v>
      </c>
      <c r="G445" s="2">
        <v>424490</v>
      </c>
      <c r="H445" s="3">
        <v>8.5800000000000001E-2</v>
      </c>
      <c r="I445">
        <v>36</v>
      </c>
      <c r="J445" s="3">
        <v>7.1500000000000001E-3</v>
      </c>
      <c r="K445" s="2">
        <v>13415.845115780039</v>
      </c>
      <c r="L445" s="2">
        <v>482970.42416808137</v>
      </c>
      <c r="M445" s="2">
        <v>58480.424168081372</v>
      </c>
      <c r="N445" s="2">
        <v>4244.8999999999996</v>
      </c>
      <c r="O445" s="2">
        <v>82775.55</v>
      </c>
      <c r="P445" t="s">
        <v>32</v>
      </c>
      <c r="Q445" s="2">
        <v>0</v>
      </c>
      <c r="R445" s="2">
        <v>-20050.225831918629</v>
      </c>
      <c r="S445" t="s">
        <v>43</v>
      </c>
      <c r="T445" t="s">
        <v>74</v>
      </c>
      <c r="U445" t="s">
        <v>151</v>
      </c>
      <c r="V445" t="s">
        <v>71</v>
      </c>
      <c r="W445" t="s">
        <v>37</v>
      </c>
      <c r="X445" s="2">
        <v>62725.324168081374</v>
      </c>
      <c r="Y445" s="2">
        <v>82775.55</v>
      </c>
      <c r="Z445" s="2">
        <v>-20050.225831918629</v>
      </c>
      <c r="AA445" s="3">
        <v>-4.7233682376307172E-2</v>
      </c>
      <c r="AB445" s="3">
        <v>0</v>
      </c>
      <c r="AC445" t="s">
        <v>38</v>
      </c>
    </row>
    <row r="446" spans="1:29" x14ac:dyDescent="0.3">
      <c r="A446" t="s">
        <v>951</v>
      </c>
      <c r="B446" t="s">
        <v>952</v>
      </c>
      <c r="C446" t="s">
        <v>31</v>
      </c>
      <c r="D446" s="2">
        <v>222600</v>
      </c>
      <c r="E446" s="3">
        <v>0.25</v>
      </c>
      <c r="F446" s="2">
        <v>55650</v>
      </c>
      <c r="G446" s="2">
        <v>166950</v>
      </c>
      <c r="H446" s="3">
        <v>0.1215</v>
      </c>
      <c r="I446">
        <v>48</v>
      </c>
      <c r="J446" s="3">
        <v>1.0125E-2</v>
      </c>
      <c r="K446" s="2">
        <v>4408.7395115941854</v>
      </c>
      <c r="L446" s="2">
        <v>211619.4965565209</v>
      </c>
      <c r="M446" s="2">
        <v>44669.496556520899</v>
      </c>
      <c r="N446" s="2">
        <v>1669.5</v>
      </c>
      <c r="O446" s="2">
        <v>43407</v>
      </c>
      <c r="P446" t="s">
        <v>42</v>
      </c>
      <c r="Q446" s="2">
        <v>66780</v>
      </c>
      <c r="R446" s="2">
        <v>-63848.003443479101</v>
      </c>
      <c r="S446" t="s">
        <v>33</v>
      </c>
      <c r="T446" t="s">
        <v>116</v>
      </c>
      <c r="U446" t="s">
        <v>48</v>
      </c>
      <c r="V446" t="s">
        <v>36</v>
      </c>
      <c r="W446" t="s">
        <v>49</v>
      </c>
      <c r="X446" s="2">
        <v>46338.996556520899</v>
      </c>
      <c r="Y446" s="2">
        <v>110187</v>
      </c>
      <c r="Z446" s="2">
        <v>-63848.003443479101</v>
      </c>
      <c r="AA446" s="3">
        <v>-0.38243787627121362</v>
      </c>
      <c r="AB446" s="3">
        <v>0.4</v>
      </c>
      <c r="AC446" t="s">
        <v>38</v>
      </c>
    </row>
    <row r="447" spans="1:29" x14ac:dyDescent="0.3">
      <c r="A447" t="s">
        <v>953</v>
      </c>
      <c r="B447" t="s">
        <v>954</v>
      </c>
      <c r="C447" t="s">
        <v>56</v>
      </c>
      <c r="D447" s="2">
        <v>1112100</v>
      </c>
      <c r="E447" s="3">
        <v>0.15</v>
      </c>
      <c r="F447" s="2">
        <v>166815</v>
      </c>
      <c r="G447" s="2">
        <v>945285</v>
      </c>
      <c r="H447" s="3">
        <v>0.10299999999999999</v>
      </c>
      <c r="I447">
        <v>36</v>
      </c>
      <c r="J447" s="3">
        <v>8.5833333333333334E-3</v>
      </c>
      <c r="K447" s="2">
        <v>30635.003123559491</v>
      </c>
      <c r="L447" s="2">
        <v>1102860.1124481419</v>
      </c>
      <c r="M447" s="2">
        <v>157575.11244814171</v>
      </c>
      <c r="N447" s="2">
        <v>9452.85</v>
      </c>
      <c r="O447" s="2">
        <v>184330.57500000001</v>
      </c>
      <c r="P447" t="s">
        <v>52</v>
      </c>
      <c r="Q447" s="2">
        <v>0</v>
      </c>
      <c r="R447" s="2">
        <v>-17302.612551858329</v>
      </c>
      <c r="S447" t="s">
        <v>77</v>
      </c>
      <c r="T447" t="s">
        <v>44</v>
      </c>
      <c r="U447" t="s">
        <v>59</v>
      </c>
      <c r="V447" t="s">
        <v>36</v>
      </c>
      <c r="W447" t="s">
        <v>37</v>
      </c>
      <c r="X447" s="2">
        <v>167027.96244814171</v>
      </c>
      <c r="Y447" s="2">
        <v>184330.57500000001</v>
      </c>
      <c r="Z447" s="2">
        <v>-17302.612551858329</v>
      </c>
      <c r="AA447" s="3">
        <v>-1.830412262107018E-2</v>
      </c>
      <c r="AB447" s="3">
        <v>0</v>
      </c>
      <c r="AC447" t="s">
        <v>38</v>
      </c>
    </row>
    <row r="448" spans="1:29" x14ac:dyDescent="0.3">
      <c r="A448" t="s">
        <v>955</v>
      </c>
      <c r="B448" t="s">
        <v>956</v>
      </c>
      <c r="C448" t="s">
        <v>56</v>
      </c>
      <c r="D448" s="2">
        <v>1107000</v>
      </c>
      <c r="E448" s="3">
        <v>0.2</v>
      </c>
      <c r="F448" s="2">
        <v>221400</v>
      </c>
      <c r="G448" s="2">
        <v>885600</v>
      </c>
      <c r="H448" s="3">
        <v>9.7699999999999995E-2</v>
      </c>
      <c r="I448">
        <v>72</v>
      </c>
      <c r="J448" s="3">
        <v>8.1416666666666668E-3</v>
      </c>
      <c r="K448" s="2">
        <v>16303.95189141877</v>
      </c>
      <c r="L448" s="2">
        <v>1173884.5361821509</v>
      </c>
      <c r="M448" s="2">
        <v>288284.53618215141</v>
      </c>
      <c r="N448" s="2">
        <v>8856</v>
      </c>
      <c r="O448" s="2">
        <v>345384</v>
      </c>
      <c r="P448" t="s">
        <v>32</v>
      </c>
      <c r="Q448" s="2">
        <v>0</v>
      </c>
      <c r="R448" s="2">
        <v>-48243.463817848591</v>
      </c>
      <c r="S448" t="s">
        <v>43</v>
      </c>
      <c r="T448" t="s">
        <v>116</v>
      </c>
      <c r="U448" t="s">
        <v>59</v>
      </c>
      <c r="V448" t="s">
        <v>71</v>
      </c>
      <c r="W448" t="s">
        <v>49</v>
      </c>
      <c r="X448" s="2">
        <v>297140.53618215141</v>
      </c>
      <c r="Y448" s="2">
        <v>345384</v>
      </c>
      <c r="Z448" s="2">
        <v>-48243.463817848591</v>
      </c>
      <c r="AA448" s="3">
        <v>-5.4475455982213858E-2</v>
      </c>
      <c r="AB448" s="3">
        <v>0</v>
      </c>
      <c r="AC448" t="s">
        <v>38</v>
      </c>
    </row>
    <row r="449" spans="1:29" x14ac:dyDescent="0.3">
      <c r="A449" t="s">
        <v>957</v>
      </c>
      <c r="B449" t="s">
        <v>958</v>
      </c>
      <c r="C449" t="s">
        <v>86</v>
      </c>
      <c r="D449" s="2">
        <v>66300</v>
      </c>
      <c r="E449" s="3">
        <v>0</v>
      </c>
      <c r="F449" s="2">
        <v>0</v>
      </c>
      <c r="G449" s="2">
        <v>66300</v>
      </c>
      <c r="H449" s="3">
        <v>0.18990000000000001</v>
      </c>
      <c r="I449">
        <v>18</v>
      </c>
      <c r="J449" s="3">
        <v>1.5824999999999999E-2</v>
      </c>
      <c r="K449" s="2">
        <v>4261.677676452533</v>
      </c>
      <c r="L449" s="2">
        <v>76710.198176145597</v>
      </c>
      <c r="M449" s="2">
        <v>10410.198176145601</v>
      </c>
      <c r="N449" s="2">
        <v>663</v>
      </c>
      <c r="O449" s="2">
        <v>6464.25</v>
      </c>
      <c r="P449" t="s">
        <v>42</v>
      </c>
      <c r="Q449" s="2">
        <v>26520</v>
      </c>
      <c r="R449" s="2">
        <v>-21911.051823854399</v>
      </c>
      <c r="S449" t="s">
        <v>77</v>
      </c>
      <c r="T449" t="s">
        <v>70</v>
      </c>
      <c r="U449" t="s">
        <v>35</v>
      </c>
      <c r="V449" t="s">
        <v>63</v>
      </c>
      <c r="W449" t="s">
        <v>37</v>
      </c>
      <c r="X449" s="2">
        <v>11073.198176145601</v>
      </c>
      <c r="Y449" s="2">
        <v>32984.25</v>
      </c>
      <c r="Z449" s="2">
        <v>-21911.051823854399</v>
      </c>
      <c r="AA449" s="3">
        <v>-0.33048343625723081</v>
      </c>
      <c r="AB449" s="3">
        <v>0.4</v>
      </c>
      <c r="AC449" t="s">
        <v>38</v>
      </c>
    </row>
    <row r="450" spans="1:29" x14ac:dyDescent="0.3">
      <c r="A450" t="s">
        <v>959</v>
      </c>
      <c r="B450" t="s">
        <v>960</v>
      </c>
      <c r="C450" t="s">
        <v>31</v>
      </c>
      <c r="D450" s="2">
        <v>206200</v>
      </c>
      <c r="E450" s="3">
        <v>0.2</v>
      </c>
      <c r="F450" s="2">
        <v>41240</v>
      </c>
      <c r="G450" s="2">
        <v>164960</v>
      </c>
      <c r="H450" s="3">
        <v>0.1239</v>
      </c>
      <c r="I450">
        <v>12</v>
      </c>
      <c r="J450" s="3">
        <v>1.0325000000000001E-2</v>
      </c>
      <c r="K450" s="2">
        <v>14686.60940615586</v>
      </c>
      <c r="L450" s="2">
        <v>176239.31287387031</v>
      </c>
      <c r="M450" s="2">
        <v>11279.31287387028</v>
      </c>
      <c r="N450" s="2">
        <v>1649.6</v>
      </c>
      <c r="O450" s="2">
        <v>10722.4</v>
      </c>
      <c r="P450" t="s">
        <v>42</v>
      </c>
      <c r="Q450" s="2">
        <v>65984</v>
      </c>
      <c r="R450" s="2">
        <v>-63777.487126129723</v>
      </c>
      <c r="S450" t="s">
        <v>77</v>
      </c>
      <c r="T450" t="s">
        <v>67</v>
      </c>
      <c r="U450" t="s">
        <v>48</v>
      </c>
      <c r="V450" t="s">
        <v>36</v>
      </c>
      <c r="W450" t="s">
        <v>64</v>
      </c>
      <c r="X450" s="2">
        <v>12928.91287387028</v>
      </c>
      <c r="Y450" s="2">
        <v>76706.399999999994</v>
      </c>
      <c r="Z450" s="2">
        <v>-63777.487126129723</v>
      </c>
      <c r="AA450" s="3">
        <v>-0.38662395202551958</v>
      </c>
      <c r="AB450" s="3">
        <v>0.4</v>
      </c>
      <c r="AC450" t="s">
        <v>38</v>
      </c>
    </row>
    <row r="451" spans="1:29" x14ac:dyDescent="0.3">
      <c r="A451" t="s">
        <v>961</v>
      </c>
      <c r="B451" t="s">
        <v>962</v>
      </c>
      <c r="C451" t="s">
        <v>41</v>
      </c>
      <c r="D451" s="2">
        <v>59600</v>
      </c>
      <c r="E451" s="3">
        <v>0.1</v>
      </c>
      <c r="F451" s="2">
        <v>5960</v>
      </c>
      <c r="G451" s="2">
        <v>53640</v>
      </c>
      <c r="H451" s="3">
        <v>0.17249999999999999</v>
      </c>
      <c r="I451">
        <v>36</v>
      </c>
      <c r="J451" s="3">
        <v>1.4375000000000001E-2</v>
      </c>
      <c r="K451" s="2">
        <v>1919.092905863539</v>
      </c>
      <c r="L451" s="2">
        <v>69087.344611087407</v>
      </c>
      <c r="M451" s="2">
        <v>15447.34461108741</v>
      </c>
      <c r="N451" s="2">
        <v>536.4</v>
      </c>
      <c r="O451" s="2">
        <v>10459.799999999999</v>
      </c>
      <c r="P451" t="s">
        <v>52</v>
      </c>
      <c r="Q451" s="2">
        <v>0</v>
      </c>
      <c r="R451" s="2">
        <v>5523.9446110874069</v>
      </c>
      <c r="S451" t="s">
        <v>43</v>
      </c>
      <c r="T451" t="s">
        <v>62</v>
      </c>
      <c r="U451" t="s">
        <v>35</v>
      </c>
      <c r="V451" t="s">
        <v>63</v>
      </c>
      <c r="W451" t="s">
        <v>37</v>
      </c>
      <c r="X451" s="2">
        <v>15983.74461108741</v>
      </c>
      <c r="Y451" s="2">
        <v>10459.799999999999</v>
      </c>
      <c r="Z451" s="2">
        <v>5523.9446110874069</v>
      </c>
      <c r="AA451" s="3">
        <v>0.10298181601579801</v>
      </c>
      <c r="AB451" s="3">
        <v>0</v>
      </c>
      <c r="AC451" t="s">
        <v>38</v>
      </c>
    </row>
    <row r="452" spans="1:29" x14ac:dyDescent="0.3">
      <c r="A452" t="s">
        <v>963</v>
      </c>
      <c r="B452" t="s">
        <v>964</v>
      </c>
      <c r="C452" t="s">
        <v>56</v>
      </c>
      <c r="D452" s="2">
        <v>1282600</v>
      </c>
      <c r="E452" s="3">
        <v>0.15</v>
      </c>
      <c r="F452" s="2">
        <v>192390</v>
      </c>
      <c r="G452" s="2">
        <v>1090210</v>
      </c>
      <c r="H452" s="3">
        <v>0.10299999999999999</v>
      </c>
      <c r="I452">
        <v>60</v>
      </c>
      <c r="J452" s="3">
        <v>8.5833333333333334E-3</v>
      </c>
      <c r="K452" s="2">
        <v>23324.996911128699</v>
      </c>
      <c r="L452" s="2">
        <v>1399499.814667722</v>
      </c>
      <c r="M452" s="2">
        <v>309289.81466772221</v>
      </c>
      <c r="N452" s="2">
        <v>10902.1</v>
      </c>
      <c r="O452" s="2">
        <v>354318.25000000012</v>
      </c>
      <c r="P452" t="s">
        <v>32</v>
      </c>
      <c r="Q452" s="2">
        <v>0</v>
      </c>
      <c r="R452" s="2">
        <v>-34126.335332277871</v>
      </c>
      <c r="S452" t="s">
        <v>57</v>
      </c>
      <c r="T452" t="s">
        <v>204</v>
      </c>
      <c r="U452" t="s">
        <v>59</v>
      </c>
      <c r="V452" t="s">
        <v>36</v>
      </c>
      <c r="W452" t="s">
        <v>49</v>
      </c>
      <c r="X452" s="2">
        <v>320191.91466772219</v>
      </c>
      <c r="Y452" s="2">
        <v>354318.25000000012</v>
      </c>
      <c r="Z452" s="2">
        <v>-34126.335332277871</v>
      </c>
      <c r="AA452" s="3">
        <v>-3.13025337616403E-2</v>
      </c>
      <c r="AB452" s="3">
        <v>0</v>
      </c>
      <c r="AC452" t="s">
        <v>38</v>
      </c>
    </row>
    <row r="453" spans="1:29" x14ac:dyDescent="0.3">
      <c r="A453" t="s">
        <v>965</v>
      </c>
      <c r="B453" t="s">
        <v>966</v>
      </c>
      <c r="C453" t="s">
        <v>86</v>
      </c>
      <c r="D453" s="2">
        <v>54900</v>
      </c>
      <c r="E453" s="3">
        <v>0.15</v>
      </c>
      <c r="F453" s="2">
        <v>8235</v>
      </c>
      <c r="G453" s="2">
        <v>46665</v>
      </c>
      <c r="H453" s="3">
        <v>0.1711</v>
      </c>
      <c r="I453">
        <v>3</v>
      </c>
      <c r="J453" s="3">
        <v>1.4258333333333329E-2</v>
      </c>
      <c r="K453" s="2">
        <v>16000.67001328496</v>
      </c>
      <c r="L453" s="2">
        <v>48002.010039854868</v>
      </c>
      <c r="M453" s="2">
        <v>1337.010039854868</v>
      </c>
      <c r="N453" s="2">
        <v>499</v>
      </c>
      <c r="O453" s="2">
        <v>758.30624999999998</v>
      </c>
      <c r="P453" t="s">
        <v>32</v>
      </c>
      <c r="Q453" s="2">
        <v>0</v>
      </c>
      <c r="R453" s="2">
        <v>1077.703789854867</v>
      </c>
      <c r="S453" t="s">
        <v>43</v>
      </c>
      <c r="T453" t="s">
        <v>53</v>
      </c>
      <c r="U453" t="s">
        <v>35</v>
      </c>
      <c r="V453" t="s">
        <v>63</v>
      </c>
      <c r="W453" t="s">
        <v>64</v>
      </c>
      <c r="X453" s="2">
        <v>1836.010039854868</v>
      </c>
      <c r="Y453" s="2">
        <v>758.30624999999998</v>
      </c>
      <c r="Z453" s="2">
        <v>1077.703789854867</v>
      </c>
      <c r="AA453" s="3">
        <v>2.3094477442512959E-2</v>
      </c>
      <c r="AB453" s="3">
        <v>0</v>
      </c>
      <c r="AC453" t="s">
        <v>38</v>
      </c>
    </row>
    <row r="454" spans="1:29" x14ac:dyDescent="0.3">
      <c r="A454" t="s">
        <v>967</v>
      </c>
      <c r="B454" t="s">
        <v>968</v>
      </c>
      <c r="C454" t="s">
        <v>31</v>
      </c>
      <c r="D454" s="2">
        <v>113400</v>
      </c>
      <c r="E454" s="3">
        <v>0.15</v>
      </c>
      <c r="F454" s="2">
        <v>17010</v>
      </c>
      <c r="G454" s="2">
        <v>96390</v>
      </c>
      <c r="H454" s="3">
        <v>0.14280000000000001</v>
      </c>
      <c r="I454">
        <v>48</v>
      </c>
      <c r="J454" s="3">
        <v>1.1900000000000001E-2</v>
      </c>
      <c r="K454" s="2">
        <v>2647.5576749587958</v>
      </c>
      <c r="L454" s="2">
        <v>127082.76839802221</v>
      </c>
      <c r="M454" s="2">
        <v>30692.768398022188</v>
      </c>
      <c r="N454" s="2">
        <v>963.9</v>
      </c>
      <c r="O454" s="2">
        <v>25061.4</v>
      </c>
      <c r="P454" t="s">
        <v>32</v>
      </c>
      <c r="Q454" s="2">
        <v>0</v>
      </c>
      <c r="R454" s="2">
        <v>6595.2683980221918</v>
      </c>
      <c r="S454" t="s">
        <v>43</v>
      </c>
      <c r="T454" t="s">
        <v>67</v>
      </c>
      <c r="U454" t="s">
        <v>35</v>
      </c>
      <c r="V454" t="s">
        <v>36</v>
      </c>
      <c r="W454" t="s">
        <v>49</v>
      </c>
      <c r="X454" s="2">
        <v>31656.66839802219</v>
      </c>
      <c r="Y454" s="2">
        <v>25061.4</v>
      </c>
      <c r="Z454" s="2">
        <v>6595.2683980221918</v>
      </c>
      <c r="AA454" s="3">
        <v>6.84227450775204E-2</v>
      </c>
      <c r="AB454" s="3">
        <v>0</v>
      </c>
      <c r="AC454" t="s">
        <v>38</v>
      </c>
    </row>
    <row r="455" spans="1:29" x14ac:dyDescent="0.3">
      <c r="A455" t="s">
        <v>969</v>
      </c>
      <c r="B455" t="s">
        <v>970</v>
      </c>
      <c r="C455" t="s">
        <v>56</v>
      </c>
      <c r="D455" s="2">
        <v>599200</v>
      </c>
      <c r="E455" s="3">
        <v>0.2</v>
      </c>
      <c r="F455" s="2">
        <v>119840</v>
      </c>
      <c r="G455" s="2">
        <v>479360</v>
      </c>
      <c r="H455" s="3">
        <v>8.7900000000000006E-2</v>
      </c>
      <c r="I455">
        <v>48</v>
      </c>
      <c r="J455" s="3">
        <v>7.3250000000000008E-3</v>
      </c>
      <c r="K455" s="2">
        <v>11881.15175667483</v>
      </c>
      <c r="L455" s="2">
        <v>570295.28432039171</v>
      </c>
      <c r="M455" s="2">
        <v>90935.284320391715</v>
      </c>
      <c r="N455" s="2">
        <v>4793.6000000000004</v>
      </c>
      <c r="O455" s="2">
        <v>124633.60000000001</v>
      </c>
      <c r="P455" t="s">
        <v>32</v>
      </c>
      <c r="Q455" s="2">
        <v>0</v>
      </c>
      <c r="R455" s="2">
        <v>-28904.715679608289</v>
      </c>
      <c r="S455" t="s">
        <v>43</v>
      </c>
      <c r="T455" t="s">
        <v>67</v>
      </c>
      <c r="U455" t="s">
        <v>151</v>
      </c>
      <c r="V455" t="s">
        <v>71</v>
      </c>
      <c r="W455" t="s">
        <v>49</v>
      </c>
      <c r="X455" s="2">
        <v>95728.88432039172</v>
      </c>
      <c r="Y455" s="2">
        <v>124633.60000000001</v>
      </c>
      <c r="Z455" s="2">
        <v>-28904.715679608289</v>
      </c>
      <c r="AA455" s="3">
        <v>-6.0298555740170817E-2</v>
      </c>
      <c r="AB455" s="3">
        <v>0</v>
      </c>
      <c r="AC455" t="s">
        <v>38</v>
      </c>
    </row>
    <row r="456" spans="1:29" x14ac:dyDescent="0.3">
      <c r="A456" t="s">
        <v>971</v>
      </c>
      <c r="B456" t="s">
        <v>972</v>
      </c>
      <c r="C456" t="s">
        <v>56</v>
      </c>
      <c r="D456" s="2">
        <v>1119900</v>
      </c>
      <c r="E456" s="3">
        <v>0.2</v>
      </c>
      <c r="F456" s="2">
        <v>223980</v>
      </c>
      <c r="G456" s="2">
        <v>895920</v>
      </c>
      <c r="H456" s="3">
        <v>9.1700000000000004E-2</v>
      </c>
      <c r="I456">
        <v>48</v>
      </c>
      <c r="J456" s="3">
        <v>7.6416666666666673E-3</v>
      </c>
      <c r="K456" s="2">
        <v>22367.39762273361</v>
      </c>
      <c r="L456" s="2">
        <v>1073635.085891213</v>
      </c>
      <c r="M456" s="2">
        <v>177715.0858912133</v>
      </c>
      <c r="N456" s="2">
        <v>8959.2000000000007</v>
      </c>
      <c r="O456" s="2">
        <v>232939.2</v>
      </c>
      <c r="P456" t="s">
        <v>32</v>
      </c>
      <c r="Q456" s="2">
        <v>0</v>
      </c>
      <c r="R456" s="2">
        <v>-46264.914108786732</v>
      </c>
      <c r="S456" t="s">
        <v>77</v>
      </c>
      <c r="T456" t="s">
        <v>53</v>
      </c>
      <c r="U456" t="s">
        <v>59</v>
      </c>
      <c r="V456" t="s">
        <v>71</v>
      </c>
      <c r="W456" t="s">
        <v>49</v>
      </c>
      <c r="X456" s="2">
        <v>186674.28589121331</v>
      </c>
      <c r="Y456" s="2">
        <v>232939.2</v>
      </c>
      <c r="Z456" s="2">
        <v>-46264.914108786732</v>
      </c>
      <c r="AA456" s="3">
        <v>-5.1639559457079577E-2</v>
      </c>
      <c r="AB456" s="3">
        <v>0</v>
      </c>
      <c r="AC456" t="s">
        <v>38</v>
      </c>
    </row>
    <row r="457" spans="1:29" x14ac:dyDescent="0.3">
      <c r="A457" t="s">
        <v>973</v>
      </c>
      <c r="B457" t="s">
        <v>974</v>
      </c>
      <c r="C457" t="s">
        <v>86</v>
      </c>
      <c r="D457" s="2">
        <v>40900</v>
      </c>
      <c r="E457" s="3">
        <v>0</v>
      </c>
      <c r="F457" s="2">
        <v>0</v>
      </c>
      <c r="G457" s="2">
        <v>40900</v>
      </c>
      <c r="H457" s="3">
        <v>0.20810000000000001</v>
      </c>
      <c r="I457">
        <v>12</v>
      </c>
      <c r="J457" s="3">
        <v>1.7341666666666668E-2</v>
      </c>
      <c r="K457" s="2">
        <v>3804.6247425024731</v>
      </c>
      <c r="L457" s="2">
        <v>45655.496910029673</v>
      </c>
      <c r="M457" s="2">
        <v>4755.496910029673</v>
      </c>
      <c r="N457" s="2">
        <v>499</v>
      </c>
      <c r="O457" s="2">
        <v>2658.5</v>
      </c>
      <c r="P457" t="s">
        <v>32</v>
      </c>
      <c r="Q457" s="2">
        <v>0</v>
      </c>
      <c r="R457" s="2">
        <v>2595.996910029673</v>
      </c>
      <c r="S457" t="s">
        <v>33</v>
      </c>
      <c r="T457" t="s">
        <v>116</v>
      </c>
      <c r="U457" t="s">
        <v>35</v>
      </c>
      <c r="V457" t="s">
        <v>63</v>
      </c>
      <c r="W457" t="s">
        <v>64</v>
      </c>
      <c r="X457" s="2">
        <v>5254.496910029673</v>
      </c>
      <c r="Y457" s="2">
        <v>2658.5</v>
      </c>
      <c r="Z457" s="2">
        <v>2595.996910029673</v>
      </c>
      <c r="AA457" s="3">
        <v>6.3471807091190047E-2</v>
      </c>
      <c r="AB457" s="3">
        <v>0</v>
      </c>
      <c r="AC457" t="s">
        <v>38</v>
      </c>
    </row>
    <row r="458" spans="1:29" x14ac:dyDescent="0.3">
      <c r="A458" t="s">
        <v>975</v>
      </c>
      <c r="B458" t="s">
        <v>976</v>
      </c>
      <c r="C458" t="s">
        <v>56</v>
      </c>
      <c r="D458" s="2">
        <v>950500</v>
      </c>
      <c r="E458" s="3">
        <v>0.3</v>
      </c>
      <c r="F458" s="2">
        <v>285150</v>
      </c>
      <c r="G458" s="2">
        <v>665350</v>
      </c>
      <c r="H458" s="3">
        <v>0.111</v>
      </c>
      <c r="I458">
        <v>72</v>
      </c>
      <c r="J458" s="3">
        <v>9.2499999999999995E-3</v>
      </c>
      <c r="K458" s="2">
        <v>12698.42915103166</v>
      </c>
      <c r="L458" s="2">
        <v>914286.89887427946</v>
      </c>
      <c r="M458" s="2">
        <v>248936.89887427949</v>
      </c>
      <c r="N458" s="2">
        <v>6653.5</v>
      </c>
      <c r="O458" s="2">
        <v>259486.5</v>
      </c>
      <c r="P458" t="s">
        <v>32</v>
      </c>
      <c r="Q458" s="2">
        <v>0</v>
      </c>
      <c r="R458" s="2">
        <v>-3896.1011257205391</v>
      </c>
      <c r="S458" t="s">
        <v>33</v>
      </c>
      <c r="T458" t="s">
        <v>47</v>
      </c>
      <c r="U458" t="s">
        <v>59</v>
      </c>
      <c r="V458" t="s">
        <v>36</v>
      </c>
      <c r="W458" t="s">
        <v>49</v>
      </c>
      <c r="X458" s="2">
        <v>255590.39887427949</v>
      </c>
      <c r="Y458" s="2">
        <v>259486.5</v>
      </c>
      <c r="Z458" s="2">
        <v>-3896.1011257205391</v>
      </c>
      <c r="AA458" s="3">
        <v>-5.8557167291208223E-3</v>
      </c>
      <c r="AB458" s="3">
        <v>0</v>
      </c>
      <c r="AC458" t="s">
        <v>38</v>
      </c>
    </row>
    <row r="459" spans="1:29" x14ac:dyDescent="0.3">
      <c r="A459" t="s">
        <v>977</v>
      </c>
      <c r="B459" t="s">
        <v>978</v>
      </c>
      <c r="C459" t="s">
        <v>86</v>
      </c>
      <c r="D459" s="2">
        <v>30400</v>
      </c>
      <c r="E459" s="3">
        <v>0.1</v>
      </c>
      <c r="F459" s="2">
        <v>3040</v>
      </c>
      <c r="G459" s="2">
        <v>27360</v>
      </c>
      <c r="H459" s="3">
        <v>0.17269999999999999</v>
      </c>
      <c r="I459">
        <v>18</v>
      </c>
      <c r="J459" s="3">
        <v>1.4391666666666671E-2</v>
      </c>
      <c r="K459" s="2">
        <v>1736.2199501320549</v>
      </c>
      <c r="L459" s="2">
        <v>31251.959102377001</v>
      </c>
      <c r="M459" s="2">
        <v>3891.9591023769972</v>
      </c>
      <c r="N459" s="2">
        <v>499</v>
      </c>
      <c r="O459" s="2">
        <v>2667.6</v>
      </c>
      <c r="P459" t="s">
        <v>52</v>
      </c>
      <c r="Q459" s="2">
        <v>0</v>
      </c>
      <c r="R459" s="2">
        <v>1723.359102376997</v>
      </c>
      <c r="S459" t="s">
        <v>43</v>
      </c>
      <c r="T459" t="s">
        <v>58</v>
      </c>
      <c r="U459" t="s">
        <v>35</v>
      </c>
      <c r="V459" t="s">
        <v>63</v>
      </c>
      <c r="W459" t="s">
        <v>37</v>
      </c>
      <c r="X459" s="2">
        <v>4390.9591023769972</v>
      </c>
      <c r="Y459" s="2">
        <v>2667.6</v>
      </c>
      <c r="Z459" s="2">
        <v>1723.359102376997</v>
      </c>
      <c r="AA459" s="3">
        <v>6.2988271285708941E-2</v>
      </c>
      <c r="AB459" s="3">
        <v>0</v>
      </c>
      <c r="AC459" t="s">
        <v>38</v>
      </c>
    </row>
    <row r="460" spans="1:29" x14ac:dyDescent="0.3">
      <c r="A460" t="s">
        <v>979</v>
      </c>
      <c r="B460" t="s">
        <v>980</v>
      </c>
      <c r="C460" t="s">
        <v>41</v>
      </c>
      <c r="D460" s="2">
        <v>103900</v>
      </c>
      <c r="E460" s="3">
        <v>0</v>
      </c>
      <c r="F460" s="2">
        <v>0</v>
      </c>
      <c r="G460" s="2">
        <v>103900</v>
      </c>
      <c r="H460" s="3">
        <v>0.1341</v>
      </c>
      <c r="I460">
        <v>36</v>
      </c>
      <c r="J460" s="3">
        <v>1.1174999999999999E-2</v>
      </c>
      <c r="K460" s="2">
        <v>3521.3551726449032</v>
      </c>
      <c r="L460" s="2">
        <v>126768.7862152165</v>
      </c>
      <c r="M460" s="2">
        <v>22868.786215216522</v>
      </c>
      <c r="N460" s="2">
        <v>1039</v>
      </c>
      <c r="O460" s="2">
        <v>20260.5</v>
      </c>
      <c r="P460" t="s">
        <v>42</v>
      </c>
      <c r="Q460" s="2">
        <v>41560</v>
      </c>
      <c r="R460" s="2">
        <v>-37912.713784783482</v>
      </c>
      <c r="S460" t="s">
        <v>77</v>
      </c>
      <c r="T460" t="s">
        <v>74</v>
      </c>
      <c r="U460" t="s">
        <v>48</v>
      </c>
      <c r="V460" t="s">
        <v>36</v>
      </c>
      <c r="W460" t="s">
        <v>37</v>
      </c>
      <c r="X460" s="2">
        <v>23907.786215216522</v>
      </c>
      <c r="Y460" s="2">
        <v>61820.5</v>
      </c>
      <c r="Z460" s="2">
        <v>-37912.713784783482</v>
      </c>
      <c r="AA460" s="3">
        <v>-0.3648961865715446</v>
      </c>
      <c r="AB460" s="3">
        <v>0.4</v>
      </c>
      <c r="AC460" t="s">
        <v>38</v>
      </c>
    </row>
    <row r="461" spans="1:29" x14ac:dyDescent="0.3">
      <c r="A461" t="s">
        <v>981</v>
      </c>
      <c r="B461" t="s">
        <v>982</v>
      </c>
      <c r="C461" t="s">
        <v>31</v>
      </c>
      <c r="D461" s="2">
        <v>100500</v>
      </c>
      <c r="E461" s="3">
        <v>0.05</v>
      </c>
      <c r="F461" s="2">
        <v>5025</v>
      </c>
      <c r="G461" s="2">
        <v>95475</v>
      </c>
      <c r="H461" s="3">
        <v>0.16120000000000001</v>
      </c>
      <c r="I461">
        <v>48</v>
      </c>
      <c r="J461" s="3">
        <v>1.343333333333333E-2</v>
      </c>
      <c r="K461" s="2">
        <v>2711.6596339718881</v>
      </c>
      <c r="L461" s="2">
        <v>130159.6624306506</v>
      </c>
      <c r="M461" s="2">
        <v>34684.662430650627</v>
      </c>
      <c r="N461" s="2">
        <v>954.75</v>
      </c>
      <c r="O461" s="2">
        <v>24823.5</v>
      </c>
      <c r="P461" t="s">
        <v>52</v>
      </c>
      <c r="Q461" s="2">
        <v>0</v>
      </c>
      <c r="R461" s="2">
        <v>10815.912430650629</v>
      </c>
      <c r="S461" t="s">
        <v>57</v>
      </c>
      <c r="T461" t="s">
        <v>67</v>
      </c>
      <c r="U461" t="s">
        <v>35</v>
      </c>
      <c r="V461" t="s">
        <v>63</v>
      </c>
      <c r="W461" t="s">
        <v>49</v>
      </c>
      <c r="X461" s="2">
        <v>35639.412430650627</v>
      </c>
      <c r="Y461" s="2">
        <v>24823.5</v>
      </c>
      <c r="Z461" s="2">
        <v>10815.912430650629</v>
      </c>
      <c r="AA461" s="3">
        <v>0.1132852833794253</v>
      </c>
      <c r="AB461" s="3">
        <v>0</v>
      </c>
      <c r="AC461" t="s">
        <v>38</v>
      </c>
    </row>
    <row r="462" spans="1:29" x14ac:dyDescent="0.3">
      <c r="A462" t="s">
        <v>983</v>
      </c>
      <c r="B462" t="s">
        <v>984</v>
      </c>
      <c r="C462" t="s">
        <v>41</v>
      </c>
      <c r="D462" s="2">
        <v>78600</v>
      </c>
      <c r="E462" s="3">
        <v>0</v>
      </c>
      <c r="F462" s="2">
        <v>0</v>
      </c>
      <c r="G462" s="2">
        <v>78600</v>
      </c>
      <c r="H462" s="3">
        <v>0.15820000000000001</v>
      </c>
      <c r="I462">
        <v>6</v>
      </c>
      <c r="J462" s="3">
        <v>1.318333333333333E-2</v>
      </c>
      <c r="K462" s="2">
        <v>13711.05236272611</v>
      </c>
      <c r="L462" s="2">
        <v>82266.314176356682</v>
      </c>
      <c r="M462" s="2">
        <v>3666.3141763566819</v>
      </c>
      <c r="N462" s="2">
        <v>786</v>
      </c>
      <c r="O462" s="2">
        <v>2554.5</v>
      </c>
      <c r="P462" t="s">
        <v>32</v>
      </c>
      <c r="Q462" s="2">
        <v>0</v>
      </c>
      <c r="R462" s="2">
        <v>1897.8141763566821</v>
      </c>
      <c r="S462" t="s">
        <v>77</v>
      </c>
      <c r="T462" t="s">
        <v>62</v>
      </c>
      <c r="U462" t="s">
        <v>35</v>
      </c>
      <c r="V462" t="s">
        <v>63</v>
      </c>
      <c r="W462" t="s">
        <v>64</v>
      </c>
      <c r="X462" s="2">
        <v>4452.3141763566819</v>
      </c>
      <c r="Y462" s="2">
        <v>2554.5</v>
      </c>
      <c r="Z462" s="2">
        <v>1897.8141763566821</v>
      </c>
      <c r="AA462" s="3">
        <v>2.414521852871096E-2</v>
      </c>
      <c r="AB462" s="3">
        <v>0</v>
      </c>
      <c r="AC462" t="s">
        <v>38</v>
      </c>
    </row>
    <row r="463" spans="1:29" x14ac:dyDescent="0.3">
      <c r="A463" t="s">
        <v>985</v>
      </c>
      <c r="B463" t="s">
        <v>986</v>
      </c>
      <c r="C463" t="s">
        <v>56</v>
      </c>
      <c r="D463" s="2">
        <v>1232500</v>
      </c>
      <c r="E463" s="3">
        <v>0.1</v>
      </c>
      <c r="F463" s="2">
        <v>123250</v>
      </c>
      <c r="G463" s="2">
        <v>1109250</v>
      </c>
      <c r="H463" s="3">
        <v>0.1009</v>
      </c>
      <c r="I463">
        <v>36</v>
      </c>
      <c r="J463" s="3">
        <v>8.4083333333333336E-3</v>
      </c>
      <c r="K463" s="2">
        <v>35839.266489171503</v>
      </c>
      <c r="L463" s="2">
        <v>1290213.593610174</v>
      </c>
      <c r="M463" s="2">
        <v>180963.59361017379</v>
      </c>
      <c r="N463" s="2">
        <v>11092.5</v>
      </c>
      <c r="O463" s="2">
        <v>216303.75</v>
      </c>
      <c r="P463" t="s">
        <v>32</v>
      </c>
      <c r="Q463" s="2">
        <v>0</v>
      </c>
      <c r="R463" s="2">
        <v>-24247.65638982621</v>
      </c>
      <c r="S463" t="s">
        <v>43</v>
      </c>
      <c r="T463" t="s">
        <v>74</v>
      </c>
      <c r="U463" t="s">
        <v>59</v>
      </c>
      <c r="V463" t="s">
        <v>36</v>
      </c>
      <c r="W463" t="s">
        <v>37</v>
      </c>
      <c r="X463" s="2">
        <v>192056.09361017379</v>
      </c>
      <c r="Y463" s="2">
        <v>216303.75</v>
      </c>
      <c r="Z463" s="2">
        <v>-24247.65638982621</v>
      </c>
      <c r="AA463" s="3">
        <v>-2.1859505422426151E-2</v>
      </c>
      <c r="AB463" s="3">
        <v>0</v>
      </c>
      <c r="AC463" t="s">
        <v>38</v>
      </c>
    </row>
    <row r="464" spans="1:29" x14ac:dyDescent="0.3">
      <c r="A464" t="s">
        <v>987</v>
      </c>
      <c r="B464" t="s">
        <v>988</v>
      </c>
      <c r="C464" t="s">
        <v>31</v>
      </c>
      <c r="D464" s="2">
        <v>142600</v>
      </c>
      <c r="E464" s="3">
        <v>0.25</v>
      </c>
      <c r="F464" s="2">
        <v>35650</v>
      </c>
      <c r="G464" s="2">
        <v>106950</v>
      </c>
      <c r="H464" s="3">
        <v>0.1103</v>
      </c>
      <c r="I464">
        <v>48</v>
      </c>
      <c r="J464" s="3">
        <v>9.1916666666666657E-3</v>
      </c>
      <c r="K464" s="2">
        <v>2765.7370464242222</v>
      </c>
      <c r="L464" s="2">
        <v>132755.37822836259</v>
      </c>
      <c r="M464" s="2">
        <v>25805.37822836265</v>
      </c>
      <c r="N464" s="2">
        <v>1069.5</v>
      </c>
      <c r="O464" s="2">
        <v>27807</v>
      </c>
      <c r="P464" t="s">
        <v>32</v>
      </c>
      <c r="Q464" s="2">
        <v>0</v>
      </c>
      <c r="R464" s="2">
        <v>-932.12177163735032</v>
      </c>
      <c r="S464" t="s">
        <v>43</v>
      </c>
      <c r="T464" t="s">
        <v>58</v>
      </c>
      <c r="U464" t="s">
        <v>48</v>
      </c>
      <c r="V464" t="s">
        <v>36</v>
      </c>
      <c r="W464" t="s">
        <v>49</v>
      </c>
      <c r="X464" s="2">
        <v>26874.87822836265</v>
      </c>
      <c r="Y464" s="2">
        <v>27807</v>
      </c>
      <c r="Z464" s="2">
        <v>-932.12177163735032</v>
      </c>
      <c r="AA464" s="3">
        <v>-8.7154910859032295E-3</v>
      </c>
      <c r="AB464" s="3">
        <v>0</v>
      </c>
      <c r="AC464" t="s">
        <v>38</v>
      </c>
    </row>
    <row r="465" spans="1:29" x14ac:dyDescent="0.3">
      <c r="A465" t="s">
        <v>989</v>
      </c>
      <c r="B465" t="s">
        <v>990</v>
      </c>
      <c r="C465" t="s">
        <v>56</v>
      </c>
      <c r="D465" s="2">
        <v>728000</v>
      </c>
      <c r="E465" s="3">
        <v>0.3</v>
      </c>
      <c r="F465" s="2">
        <v>218400</v>
      </c>
      <c r="G465" s="2">
        <v>509600</v>
      </c>
      <c r="H465" s="3">
        <v>9.3700000000000006E-2</v>
      </c>
      <c r="I465">
        <v>84</v>
      </c>
      <c r="J465" s="3">
        <v>7.8083333333333338E-3</v>
      </c>
      <c r="K465" s="2">
        <v>8295.0064350701141</v>
      </c>
      <c r="L465" s="2">
        <v>696780.54054588964</v>
      </c>
      <c r="M465" s="2">
        <v>187180.54054588961</v>
      </c>
      <c r="N465" s="2">
        <v>5096</v>
      </c>
      <c r="O465" s="2">
        <v>231868</v>
      </c>
      <c r="P465" t="s">
        <v>32</v>
      </c>
      <c r="Q465" s="2">
        <v>0</v>
      </c>
      <c r="R465" s="2">
        <v>-39591.459454110358</v>
      </c>
      <c r="S465" t="s">
        <v>57</v>
      </c>
      <c r="T465" t="s">
        <v>67</v>
      </c>
      <c r="U465" t="s">
        <v>59</v>
      </c>
      <c r="V465" t="s">
        <v>71</v>
      </c>
      <c r="W465" t="s">
        <v>49</v>
      </c>
      <c r="X465" s="2">
        <v>192276.54054588961</v>
      </c>
      <c r="Y465" s="2">
        <v>231868</v>
      </c>
      <c r="Z465" s="2">
        <v>-39591.459454110358</v>
      </c>
      <c r="AA465" s="3">
        <v>-7.7691246966464594E-2</v>
      </c>
      <c r="AB465" s="3">
        <v>0</v>
      </c>
      <c r="AC465" t="s">
        <v>38</v>
      </c>
    </row>
    <row r="466" spans="1:29" x14ac:dyDescent="0.3">
      <c r="A466" t="s">
        <v>991</v>
      </c>
      <c r="B466" t="s">
        <v>992</v>
      </c>
      <c r="C466" t="s">
        <v>56</v>
      </c>
      <c r="D466" s="2">
        <v>777000</v>
      </c>
      <c r="E466" s="3">
        <v>0.15</v>
      </c>
      <c r="F466" s="2">
        <v>116550</v>
      </c>
      <c r="G466" s="2">
        <v>660450</v>
      </c>
      <c r="H466" s="3">
        <v>0.112</v>
      </c>
      <c r="I466">
        <v>60</v>
      </c>
      <c r="J466" s="3">
        <v>9.3333333333333341E-3</v>
      </c>
      <c r="K466" s="2">
        <v>14425.745522701951</v>
      </c>
      <c r="L466" s="2">
        <v>865544.73136211676</v>
      </c>
      <c r="M466" s="2">
        <v>205094.73136211681</v>
      </c>
      <c r="N466" s="2">
        <v>6604.5</v>
      </c>
      <c r="O466" s="2">
        <v>214646.25</v>
      </c>
      <c r="P466" t="s">
        <v>52</v>
      </c>
      <c r="Q466" s="2">
        <v>0</v>
      </c>
      <c r="R466" s="2">
        <v>-2947.0186378832441</v>
      </c>
      <c r="S466" t="s">
        <v>57</v>
      </c>
      <c r="T466" t="s">
        <v>62</v>
      </c>
      <c r="U466" t="s">
        <v>59</v>
      </c>
      <c r="V466" t="s">
        <v>36</v>
      </c>
      <c r="W466" t="s">
        <v>49</v>
      </c>
      <c r="X466" s="2">
        <v>211699.23136211681</v>
      </c>
      <c r="Y466" s="2">
        <v>214646.25</v>
      </c>
      <c r="Z466" s="2">
        <v>-2947.0186378832441</v>
      </c>
      <c r="AA466" s="3">
        <v>-4.4621373879676646E-3</v>
      </c>
      <c r="AB466" s="3">
        <v>0</v>
      </c>
      <c r="AC466" t="s">
        <v>38</v>
      </c>
    </row>
    <row r="467" spans="1:29" x14ac:dyDescent="0.3">
      <c r="A467" t="s">
        <v>993</v>
      </c>
      <c r="B467" t="s">
        <v>994</v>
      </c>
      <c r="C467" t="s">
        <v>86</v>
      </c>
      <c r="D467" s="2">
        <v>89400</v>
      </c>
      <c r="E467" s="3">
        <v>0</v>
      </c>
      <c r="F467" s="2">
        <v>0</v>
      </c>
      <c r="G467" s="2">
        <v>89400</v>
      </c>
      <c r="H467" s="3">
        <v>0.15049999999999999</v>
      </c>
      <c r="I467">
        <v>24</v>
      </c>
      <c r="J467" s="3">
        <v>1.254166666666667E-2</v>
      </c>
      <c r="K467" s="2">
        <v>4336.8303995994966</v>
      </c>
      <c r="L467" s="2">
        <v>104083.9295903879</v>
      </c>
      <c r="M467" s="2">
        <v>14683.92959038791</v>
      </c>
      <c r="N467" s="2">
        <v>894</v>
      </c>
      <c r="O467" s="2">
        <v>11622</v>
      </c>
      <c r="P467" t="s">
        <v>32</v>
      </c>
      <c r="Q467" s="2">
        <v>0</v>
      </c>
      <c r="R467" s="2">
        <v>3955.9295903879101</v>
      </c>
      <c r="S467" t="s">
        <v>43</v>
      </c>
      <c r="T467" t="s">
        <v>58</v>
      </c>
      <c r="U467" t="s">
        <v>35</v>
      </c>
      <c r="V467" t="s">
        <v>63</v>
      </c>
      <c r="W467" t="s">
        <v>37</v>
      </c>
      <c r="X467" s="2">
        <v>15577.92959038791</v>
      </c>
      <c r="Y467" s="2">
        <v>11622</v>
      </c>
      <c r="Z467" s="2">
        <v>3955.9295903879101</v>
      </c>
      <c r="AA467" s="3">
        <v>4.4249771704562763E-2</v>
      </c>
      <c r="AB467" s="3">
        <v>0</v>
      </c>
      <c r="AC467" t="s">
        <v>38</v>
      </c>
    </row>
    <row r="468" spans="1:29" x14ac:dyDescent="0.3">
      <c r="A468" t="s">
        <v>995</v>
      </c>
      <c r="B468" t="s">
        <v>996</v>
      </c>
      <c r="C468" t="s">
        <v>41</v>
      </c>
      <c r="D468" s="2">
        <v>106300</v>
      </c>
      <c r="E468" s="3">
        <v>0.1</v>
      </c>
      <c r="F468" s="2">
        <v>10630</v>
      </c>
      <c r="G468" s="2">
        <v>95670</v>
      </c>
      <c r="H468" s="3">
        <v>0.123</v>
      </c>
      <c r="I468">
        <v>36</v>
      </c>
      <c r="J468" s="3">
        <v>1.025E-2</v>
      </c>
      <c r="K468" s="2">
        <v>3191.338611152682</v>
      </c>
      <c r="L468" s="2">
        <v>114888.19000149659</v>
      </c>
      <c r="M468" s="2">
        <v>19218.19000149655</v>
      </c>
      <c r="N468" s="2">
        <v>956.7</v>
      </c>
      <c r="O468" s="2">
        <v>18655.650000000001</v>
      </c>
      <c r="P468" t="s">
        <v>32</v>
      </c>
      <c r="Q468" s="2">
        <v>0</v>
      </c>
      <c r="R468" s="2">
        <v>1519.2400014965499</v>
      </c>
      <c r="S468" t="s">
        <v>33</v>
      </c>
      <c r="T468" t="s">
        <v>34</v>
      </c>
      <c r="U468" t="s">
        <v>35</v>
      </c>
      <c r="V468" t="s">
        <v>36</v>
      </c>
      <c r="W468" t="s">
        <v>37</v>
      </c>
      <c r="X468" s="2">
        <v>20174.890001496551</v>
      </c>
      <c r="Y468" s="2">
        <v>18655.650000000001</v>
      </c>
      <c r="Z468" s="2">
        <v>1519.2400014965499</v>
      </c>
      <c r="AA468" s="3">
        <v>1.588000419668182E-2</v>
      </c>
      <c r="AB468" s="3">
        <v>0</v>
      </c>
      <c r="AC468" t="s">
        <v>38</v>
      </c>
    </row>
    <row r="469" spans="1:29" x14ac:dyDescent="0.3">
      <c r="A469" t="s">
        <v>997</v>
      </c>
      <c r="B469" t="s">
        <v>998</v>
      </c>
      <c r="C469" t="s">
        <v>56</v>
      </c>
      <c r="D469" s="2">
        <v>1128200</v>
      </c>
      <c r="E469" s="3">
        <v>0.1</v>
      </c>
      <c r="F469" s="2">
        <v>112820</v>
      </c>
      <c r="G469" s="2">
        <v>1015380</v>
      </c>
      <c r="H469" s="3">
        <v>0.1046</v>
      </c>
      <c r="I469">
        <v>36</v>
      </c>
      <c r="J469" s="3">
        <v>8.716666666666666E-3</v>
      </c>
      <c r="K469" s="2">
        <v>32983.183087881007</v>
      </c>
      <c r="L469" s="2">
        <v>1187394.591163716</v>
      </c>
      <c r="M469" s="2">
        <v>172014.59116371631</v>
      </c>
      <c r="N469" s="2">
        <v>10153.799999999999</v>
      </c>
      <c r="O469" s="2">
        <v>197999.1</v>
      </c>
      <c r="P469" t="s">
        <v>32</v>
      </c>
      <c r="Q469" s="2">
        <v>0</v>
      </c>
      <c r="R469" s="2">
        <v>-15830.708836283709</v>
      </c>
      <c r="S469" t="s">
        <v>57</v>
      </c>
      <c r="T469" t="s">
        <v>116</v>
      </c>
      <c r="U469" t="s">
        <v>59</v>
      </c>
      <c r="V469" t="s">
        <v>36</v>
      </c>
      <c r="W469" t="s">
        <v>37</v>
      </c>
      <c r="X469" s="2">
        <v>182168.3911637163</v>
      </c>
      <c r="Y469" s="2">
        <v>197999.1</v>
      </c>
      <c r="Z469" s="2">
        <v>-15830.708836283709</v>
      </c>
      <c r="AA469" s="3">
        <v>-1.559092047931189E-2</v>
      </c>
      <c r="AB469" s="3">
        <v>0</v>
      </c>
      <c r="AC469" t="s">
        <v>38</v>
      </c>
    </row>
    <row r="470" spans="1:29" x14ac:dyDescent="0.3">
      <c r="A470" t="s">
        <v>999</v>
      </c>
      <c r="B470" t="s">
        <v>1000</v>
      </c>
      <c r="C470" t="s">
        <v>41</v>
      </c>
      <c r="D470" s="2">
        <v>93400</v>
      </c>
      <c r="E470" s="3">
        <v>0.05</v>
      </c>
      <c r="F470" s="2">
        <v>4670</v>
      </c>
      <c r="G470" s="2">
        <v>88730</v>
      </c>
      <c r="H470" s="3">
        <v>0.158</v>
      </c>
      <c r="I470">
        <v>9</v>
      </c>
      <c r="J470" s="3">
        <v>1.316666666666667E-2</v>
      </c>
      <c r="K470" s="2">
        <v>10519.249720123589</v>
      </c>
      <c r="L470" s="2">
        <v>94673.247481112354</v>
      </c>
      <c r="M470" s="2">
        <v>5943.2474811123539</v>
      </c>
      <c r="N470" s="2">
        <v>887.30000000000007</v>
      </c>
      <c r="O470" s="2">
        <v>4325.5874999999996</v>
      </c>
      <c r="P470" t="s">
        <v>32</v>
      </c>
      <c r="Q470" s="2">
        <v>0</v>
      </c>
      <c r="R470" s="2">
        <v>2504.9599811123539</v>
      </c>
      <c r="S470" t="s">
        <v>33</v>
      </c>
      <c r="T470" t="s">
        <v>204</v>
      </c>
      <c r="U470" t="s">
        <v>35</v>
      </c>
      <c r="V470" t="s">
        <v>63</v>
      </c>
      <c r="W470" t="s">
        <v>64</v>
      </c>
      <c r="X470" s="2">
        <v>6830.547481112354</v>
      </c>
      <c r="Y470" s="2">
        <v>4325.5874999999996</v>
      </c>
      <c r="Z470" s="2">
        <v>2504.9599811123539</v>
      </c>
      <c r="AA470" s="3">
        <v>2.8231263170431131E-2</v>
      </c>
      <c r="AB470" s="3">
        <v>0</v>
      </c>
      <c r="AC470" t="s">
        <v>38</v>
      </c>
    </row>
    <row r="471" spans="1:29" x14ac:dyDescent="0.3">
      <c r="A471" t="s">
        <v>1001</v>
      </c>
      <c r="B471" t="s">
        <v>1002</v>
      </c>
      <c r="C471" t="s">
        <v>41</v>
      </c>
      <c r="D471" s="2">
        <v>37600</v>
      </c>
      <c r="E471" s="3">
        <v>0.2</v>
      </c>
      <c r="F471" s="2">
        <v>7520</v>
      </c>
      <c r="G471" s="2">
        <v>30080</v>
      </c>
      <c r="H471" s="3">
        <v>0.16159999999999999</v>
      </c>
      <c r="I471">
        <v>24</v>
      </c>
      <c r="J471" s="3">
        <v>1.346666666666667E-2</v>
      </c>
      <c r="K471" s="2">
        <v>1475.1110001753591</v>
      </c>
      <c r="L471" s="2">
        <v>35402.664004208607</v>
      </c>
      <c r="M471" s="2">
        <v>5322.6640042086074</v>
      </c>
      <c r="N471" s="2">
        <v>499</v>
      </c>
      <c r="O471" s="2">
        <v>3910.4</v>
      </c>
      <c r="P471" t="s">
        <v>32</v>
      </c>
      <c r="Q471" s="2">
        <v>0</v>
      </c>
      <c r="R471" s="2">
        <v>1911.264004208607</v>
      </c>
      <c r="S471" t="s">
        <v>57</v>
      </c>
      <c r="T471" t="s">
        <v>58</v>
      </c>
      <c r="U471" t="s">
        <v>35</v>
      </c>
      <c r="V471" t="s">
        <v>63</v>
      </c>
      <c r="W471" t="s">
        <v>37</v>
      </c>
      <c r="X471" s="2">
        <v>5821.6640042086074</v>
      </c>
      <c r="Y471" s="2">
        <v>3910.4</v>
      </c>
      <c r="Z471" s="2">
        <v>1911.264004208607</v>
      </c>
      <c r="AA471" s="3">
        <v>6.3539361842041467E-2</v>
      </c>
      <c r="AB471" s="3">
        <v>0</v>
      </c>
      <c r="AC471" t="s">
        <v>38</v>
      </c>
    </row>
    <row r="472" spans="1:29" x14ac:dyDescent="0.3">
      <c r="A472" t="s">
        <v>1003</v>
      </c>
      <c r="B472" t="s">
        <v>1004</v>
      </c>
      <c r="C472" t="s">
        <v>41</v>
      </c>
      <c r="D472" s="2">
        <v>102200</v>
      </c>
      <c r="E472" s="3">
        <v>0.15</v>
      </c>
      <c r="F472" s="2">
        <v>15330</v>
      </c>
      <c r="G472" s="2">
        <v>86870</v>
      </c>
      <c r="H472" s="3">
        <v>0.1426</v>
      </c>
      <c r="I472">
        <v>6</v>
      </c>
      <c r="J472" s="3">
        <v>1.1883333333333331E-2</v>
      </c>
      <c r="K472" s="2">
        <v>15086.438918841841</v>
      </c>
      <c r="L472" s="2">
        <v>90518.633513051042</v>
      </c>
      <c r="M472" s="2">
        <v>3648.633513051042</v>
      </c>
      <c r="N472" s="2">
        <v>868.7</v>
      </c>
      <c r="O472" s="2">
        <v>2823.2750000000001</v>
      </c>
      <c r="P472" t="s">
        <v>52</v>
      </c>
      <c r="Q472" s="2">
        <v>0</v>
      </c>
      <c r="R472" s="2">
        <v>1694.058513051041</v>
      </c>
      <c r="S472" t="s">
        <v>43</v>
      </c>
      <c r="T472" t="s">
        <v>204</v>
      </c>
      <c r="U472" t="s">
        <v>35</v>
      </c>
      <c r="V472" t="s">
        <v>36</v>
      </c>
      <c r="W472" t="s">
        <v>64</v>
      </c>
      <c r="X472" s="2">
        <v>4517.3335130510413</v>
      </c>
      <c r="Y472" s="2">
        <v>2823.2750000000001</v>
      </c>
      <c r="Z472" s="2">
        <v>1694.058513051041</v>
      </c>
      <c r="AA472" s="3">
        <v>1.9501076471175799E-2</v>
      </c>
      <c r="AB472" s="3">
        <v>0</v>
      </c>
      <c r="AC472" t="s">
        <v>38</v>
      </c>
    </row>
    <row r="473" spans="1:29" x14ac:dyDescent="0.3">
      <c r="A473" t="s">
        <v>1005</v>
      </c>
      <c r="B473" t="s">
        <v>1006</v>
      </c>
      <c r="C473" t="s">
        <v>56</v>
      </c>
      <c r="D473" s="2">
        <v>1470400</v>
      </c>
      <c r="E473" s="3">
        <v>0.2</v>
      </c>
      <c r="F473" s="2">
        <v>294080</v>
      </c>
      <c r="G473" s="2">
        <v>1176320</v>
      </c>
      <c r="H473" s="3">
        <v>9.5699999999999993E-2</v>
      </c>
      <c r="I473">
        <v>72</v>
      </c>
      <c r="J473" s="3">
        <v>7.9749999999999995E-3</v>
      </c>
      <c r="K473" s="2">
        <v>21538.103442789841</v>
      </c>
      <c r="L473" s="2">
        <v>1550743.447880869</v>
      </c>
      <c r="M473" s="2">
        <v>374423.4478808688</v>
      </c>
      <c r="N473" s="2">
        <v>11763.2</v>
      </c>
      <c r="O473" s="2">
        <v>458764.79999999999</v>
      </c>
      <c r="P473" t="s">
        <v>52</v>
      </c>
      <c r="Q473" s="2">
        <v>0</v>
      </c>
      <c r="R473" s="2">
        <v>-72578.152119131235</v>
      </c>
      <c r="S473" t="s">
        <v>57</v>
      </c>
      <c r="T473" t="s">
        <v>74</v>
      </c>
      <c r="U473" t="s">
        <v>59</v>
      </c>
      <c r="V473" t="s">
        <v>71</v>
      </c>
      <c r="W473" t="s">
        <v>49</v>
      </c>
      <c r="X473" s="2">
        <v>386186.64788086881</v>
      </c>
      <c r="Y473" s="2">
        <v>458764.79999999999</v>
      </c>
      <c r="Z473" s="2">
        <v>-72578.152119131235</v>
      </c>
      <c r="AA473" s="3">
        <v>-6.169932681509388E-2</v>
      </c>
      <c r="AB473" s="3">
        <v>0</v>
      </c>
      <c r="AC473" t="s">
        <v>38</v>
      </c>
    </row>
    <row r="474" spans="1:29" x14ac:dyDescent="0.3">
      <c r="A474" t="s">
        <v>1007</v>
      </c>
      <c r="B474" t="s">
        <v>1008</v>
      </c>
      <c r="C474" t="s">
        <v>31</v>
      </c>
      <c r="D474" s="2">
        <v>175400</v>
      </c>
      <c r="E474" s="3">
        <v>0.05</v>
      </c>
      <c r="F474" s="2">
        <v>8770</v>
      </c>
      <c r="G474" s="2">
        <v>166630</v>
      </c>
      <c r="H474" s="3">
        <v>0.1188</v>
      </c>
      <c r="I474">
        <v>12</v>
      </c>
      <c r="J474" s="3">
        <v>9.9000000000000008E-3</v>
      </c>
      <c r="K474" s="2">
        <v>14795.521165256891</v>
      </c>
      <c r="L474" s="2">
        <v>177546.25398308269</v>
      </c>
      <c r="M474" s="2">
        <v>10916.253983082721</v>
      </c>
      <c r="N474" s="2">
        <v>1666.3</v>
      </c>
      <c r="O474" s="2">
        <v>10830.95</v>
      </c>
      <c r="P474" t="s">
        <v>32</v>
      </c>
      <c r="Q474" s="2">
        <v>0</v>
      </c>
      <c r="R474" s="2">
        <v>1751.603983082714</v>
      </c>
      <c r="S474" t="s">
        <v>57</v>
      </c>
      <c r="T474" t="s">
        <v>47</v>
      </c>
      <c r="U474" t="s">
        <v>48</v>
      </c>
      <c r="V474" t="s">
        <v>36</v>
      </c>
      <c r="W474" t="s">
        <v>64</v>
      </c>
      <c r="X474" s="2">
        <v>12582.553983082709</v>
      </c>
      <c r="Y474" s="2">
        <v>10830.95</v>
      </c>
      <c r="Z474" s="2">
        <v>1751.603983082714</v>
      </c>
      <c r="AA474" s="3">
        <v>1.051193652453168E-2</v>
      </c>
      <c r="AB474" s="3">
        <v>0</v>
      </c>
      <c r="AC474" t="s">
        <v>38</v>
      </c>
    </row>
    <row r="475" spans="1:29" x14ac:dyDescent="0.3">
      <c r="A475" t="s">
        <v>1009</v>
      </c>
      <c r="B475" t="s">
        <v>1010</v>
      </c>
      <c r="C475" t="s">
        <v>56</v>
      </c>
      <c r="D475" s="2">
        <v>1257500</v>
      </c>
      <c r="E475" s="3">
        <v>0.2</v>
      </c>
      <c r="F475" s="2">
        <v>251500</v>
      </c>
      <c r="G475" s="2">
        <v>1006000</v>
      </c>
      <c r="H475" s="3">
        <v>8.7300000000000003E-2</v>
      </c>
      <c r="I475">
        <v>36</v>
      </c>
      <c r="J475" s="3">
        <v>7.2750000000000002E-3</v>
      </c>
      <c r="K475" s="2">
        <v>31864.265548425359</v>
      </c>
      <c r="L475" s="2">
        <v>1147113.5597433129</v>
      </c>
      <c r="M475" s="2">
        <v>141113.55974331289</v>
      </c>
      <c r="N475" s="2">
        <v>10060</v>
      </c>
      <c r="O475" s="2">
        <v>196170</v>
      </c>
      <c r="P475" t="s">
        <v>32</v>
      </c>
      <c r="Q475" s="2">
        <v>0</v>
      </c>
      <c r="R475" s="2">
        <v>-44996.440256687107</v>
      </c>
      <c r="S475" t="s">
        <v>57</v>
      </c>
      <c r="T475" t="s">
        <v>204</v>
      </c>
      <c r="U475" t="s">
        <v>59</v>
      </c>
      <c r="V475" t="s">
        <v>71</v>
      </c>
      <c r="W475" t="s">
        <v>37</v>
      </c>
      <c r="X475" s="2">
        <v>151173.55974331289</v>
      </c>
      <c r="Y475" s="2">
        <v>196170</v>
      </c>
      <c r="Z475" s="2">
        <v>-44996.440256687107</v>
      </c>
      <c r="AA475" s="3">
        <v>-4.472807182573272E-2</v>
      </c>
      <c r="AB475" s="3">
        <v>0</v>
      </c>
      <c r="AC475" t="s">
        <v>38</v>
      </c>
    </row>
    <row r="476" spans="1:29" x14ac:dyDescent="0.3">
      <c r="A476" t="s">
        <v>1011</v>
      </c>
      <c r="B476" t="s">
        <v>1012</v>
      </c>
      <c r="C476" t="s">
        <v>86</v>
      </c>
      <c r="D476" s="2">
        <v>13600</v>
      </c>
      <c r="E476" s="3">
        <v>0.05</v>
      </c>
      <c r="F476" s="2">
        <v>680</v>
      </c>
      <c r="G476" s="2">
        <v>12920</v>
      </c>
      <c r="H476" s="3">
        <v>0.2051</v>
      </c>
      <c r="I476">
        <v>3</v>
      </c>
      <c r="J476" s="3">
        <v>1.7091666666666672E-2</v>
      </c>
      <c r="K476" s="2">
        <v>4454.7144856615341</v>
      </c>
      <c r="L476" s="2">
        <v>13364.143456984601</v>
      </c>
      <c r="M476" s="2">
        <v>444.14345698460238</v>
      </c>
      <c r="N476" s="2">
        <v>499</v>
      </c>
      <c r="O476" s="2">
        <v>209.95</v>
      </c>
      <c r="P476" t="s">
        <v>32</v>
      </c>
      <c r="Q476" s="2">
        <v>0</v>
      </c>
      <c r="R476" s="2">
        <v>733.19345698460234</v>
      </c>
      <c r="S476" t="s">
        <v>77</v>
      </c>
      <c r="T476" t="s">
        <v>107</v>
      </c>
      <c r="U476" t="s">
        <v>35</v>
      </c>
      <c r="V476" t="s">
        <v>63</v>
      </c>
      <c r="W476" t="s">
        <v>64</v>
      </c>
      <c r="X476" s="2">
        <v>943.14345698460238</v>
      </c>
      <c r="Y476" s="2">
        <v>209.95</v>
      </c>
      <c r="Z476" s="2">
        <v>733.19345698460234</v>
      </c>
      <c r="AA476" s="3">
        <v>5.6748719580851571E-2</v>
      </c>
      <c r="AB476" s="3">
        <v>0</v>
      </c>
      <c r="AC476" t="s">
        <v>38</v>
      </c>
    </row>
    <row r="477" spans="1:29" x14ac:dyDescent="0.3">
      <c r="A477" t="s">
        <v>1013</v>
      </c>
      <c r="B477" t="s">
        <v>1014</v>
      </c>
      <c r="C477" t="s">
        <v>31</v>
      </c>
      <c r="D477" s="2">
        <v>82800</v>
      </c>
      <c r="E477" s="3">
        <v>0.05</v>
      </c>
      <c r="F477" s="2">
        <v>4140</v>
      </c>
      <c r="G477" s="2">
        <v>78660</v>
      </c>
      <c r="H477" s="3">
        <v>0.16070000000000001</v>
      </c>
      <c r="I477">
        <v>12</v>
      </c>
      <c r="J477" s="3">
        <v>1.339166666666667E-2</v>
      </c>
      <c r="K477" s="2">
        <v>7139.4951842583732</v>
      </c>
      <c r="L477" s="2">
        <v>85673.942211100482</v>
      </c>
      <c r="M477" s="2">
        <v>7013.9422111004824</v>
      </c>
      <c r="N477" s="2">
        <v>786.6</v>
      </c>
      <c r="O477" s="2">
        <v>5112.9000000000005</v>
      </c>
      <c r="P477" t="s">
        <v>32</v>
      </c>
      <c r="Q477" s="2">
        <v>0</v>
      </c>
      <c r="R477" s="2">
        <v>2687.6422111004822</v>
      </c>
      <c r="S477" t="s">
        <v>43</v>
      </c>
      <c r="T477" t="s">
        <v>53</v>
      </c>
      <c r="U477" t="s">
        <v>35</v>
      </c>
      <c r="V477" t="s">
        <v>63</v>
      </c>
      <c r="W477" t="s">
        <v>64</v>
      </c>
      <c r="X477" s="2">
        <v>7800.5422111004827</v>
      </c>
      <c r="Y477" s="2">
        <v>5112.9000000000005</v>
      </c>
      <c r="Z477" s="2">
        <v>2687.6422111004822</v>
      </c>
      <c r="AA477" s="3">
        <v>3.4167838941018082E-2</v>
      </c>
      <c r="AB477" s="3">
        <v>0</v>
      </c>
      <c r="AC477" t="s">
        <v>38</v>
      </c>
    </row>
    <row r="478" spans="1:29" x14ac:dyDescent="0.3">
      <c r="A478" t="s">
        <v>1015</v>
      </c>
      <c r="B478" t="s">
        <v>1016</v>
      </c>
      <c r="C478" t="s">
        <v>41</v>
      </c>
      <c r="D478" s="2">
        <v>79700</v>
      </c>
      <c r="E478" s="3">
        <v>0</v>
      </c>
      <c r="F478" s="2">
        <v>0</v>
      </c>
      <c r="G478" s="2">
        <v>79700</v>
      </c>
      <c r="H478" s="3">
        <v>0.16969999999999999</v>
      </c>
      <c r="I478">
        <v>36</v>
      </c>
      <c r="J478" s="3">
        <v>1.414166666666667E-2</v>
      </c>
      <c r="K478" s="2">
        <v>2840.332563859648</v>
      </c>
      <c r="L478" s="2">
        <v>102251.97229894729</v>
      </c>
      <c r="M478" s="2">
        <v>22551.972298947341</v>
      </c>
      <c r="N478" s="2">
        <v>797</v>
      </c>
      <c r="O478" s="2">
        <v>15541.5</v>
      </c>
      <c r="P478" t="s">
        <v>32</v>
      </c>
      <c r="Q478" s="2">
        <v>0</v>
      </c>
      <c r="R478" s="2">
        <v>7807.4722989473375</v>
      </c>
      <c r="S478" t="s">
        <v>77</v>
      </c>
      <c r="T478" t="s">
        <v>47</v>
      </c>
      <c r="U478" t="s">
        <v>35</v>
      </c>
      <c r="V478" t="s">
        <v>63</v>
      </c>
      <c r="W478" t="s">
        <v>37</v>
      </c>
      <c r="X478" s="2">
        <v>23348.972298947341</v>
      </c>
      <c r="Y478" s="2">
        <v>15541.5</v>
      </c>
      <c r="Z478" s="2">
        <v>7807.4722989473375</v>
      </c>
      <c r="AA478" s="3">
        <v>9.7960756573994195E-2</v>
      </c>
      <c r="AB478" s="3">
        <v>0</v>
      </c>
      <c r="AC478" t="s">
        <v>38</v>
      </c>
    </row>
    <row r="479" spans="1:29" x14ac:dyDescent="0.3">
      <c r="A479" t="s">
        <v>1017</v>
      </c>
      <c r="B479" t="s">
        <v>1018</v>
      </c>
      <c r="C479" t="s">
        <v>86</v>
      </c>
      <c r="D479" s="2">
        <v>52800</v>
      </c>
      <c r="E479" s="3">
        <v>0.2</v>
      </c>
      <c r="F479" s="2">
        <v>10560</v>
      </c>
      <c r="G479" s="2">
        <v>42240</v>
      </c>
      <c r="H479" s="3">
        <v>0.17649999999999999</v>
      </c>
      <c r="I479">
        <v>12</v>
      </c>
      <c r="J479" s="3">
        <v>1.470833333333333E-2</v>
      </c>
      <c r="K479" s="2">
        <v>3865.5304753518299</v>
      </c>
      <c r="L479" s="2">
        <v>46386.365704221957</v>
      </c>
      <c r="M479" s="2">
        <v>4146.3657042219565</v>
      </c>
      <c r="N479" s="2">
        <v>499</v>
      </c>
      <c r="O479" s="2">
        <v>2745.6</v>
      </c>
      <c r="P479" t="s">
        <v>32</v>
      </c>
      <c r="Q479" s="2">
        <v>0</v>
      </c>
      <c r="R479" s="2">
        <v>1899.7657042219571</v>
      </c>
      <c r="S479" t="s">
        <v>57</v>
      </c>
      <c r="T479" t="s">
        <v>67</v>
      </c>
      <c r="U479" t="s">
        <v>35</v>
      </c>
      <c r="V479" t="s">
        <v>63</v>
      </c>
      <c r="W479" t="s">
        <v>64</v>
      </c>
      <c r="X479" s="2">
        <v>4645.3657042219565</v>
      </c>
      <c r="Y479" s="2">
        <v>2745.6</v>
      </c>
      <c r="Z479" s="2">
        <v>1899.7657042219571</v>
      </c>
      <c r="AA479" s="3">
        <v>4.4975513831012233E-2</v>
      </c>
      <c r="AB479" s="3">
        <v>0</v>
      </c>
      <c r="AC479" t="s">
        <v>38</v>
      </c>
    </row>
    <row r="480" spans="1:29" x14ac:dyDescent="0.3">
      <c r="A480" t="s">
        <v>1019</v>
      </c>
      <c r="B480" t="s">
        <v>1020</v>
      </c>
      <c r="C480" t="s">
        <v>56</v>
      </c>
      <c r="D480" s="2">
        <v>583500</v>
      </c>
      <c r="E480" s="3">
        <v>0.15</v>
      </c>
      <c r="F480" s="2">
        <v>87525</v>
      </c>
      <c r="G480" s="2">
        <v>495975</v>
      </c>
      <c r="H480" s="3">
        <v>8.8999999999999996E-2</v>
      </c>
      <c r="I480">
        <v>36</v>
      </c>
      <c r="J480" s="3">
        <v>7.416666666666666E-3</v>
      </c>
      <c r="K480" s="2">
        <v>15748.79923180006</v>
      </c>
      <c r="L480" s="2">
        <v>566956.77234480216</v>
      </c>
      <c r="M480" s="2">
        <v>70981.772344802157</v>
      </c>
      <c r="N480" s="2">
        <v>4959.75</v>
      </c>
      <c r="O480" s="2">
        <v>96715.125</v>
      </c>
      <c r="P480" t="s">
        <v>52</v>
      </c>
      <c r="Q480" s="2">
        <v>0</v>
      </c>
      <c r="R480" s="2">
        <v>-20773.602655197839</v>
      </c>
      <c r="S480" t="s">
        <v>57</v>
      </c>
      <c r="T480" t="s">
        <v>34</v>
      </c>
      <c r="U480" t="s">
        <v>151</v>
      </c>
      <c r="V480" t="s">
        <v>71</v>
      </c>
      <c r="W480" t="s">
        <v>37</v>
      </c>
      <c r="X480" s="2">
        <v>75941.522344802157</v>
      </c>
      <c r="Y480" s="2">
        <v>96715.125</v>
      </c>
      <c r="Z480" s="2">
        <v>-20773.602655197839</v>
      </c>
      <c r="AA480" s="3">
        <v>-4.188437452532455E-2</v>
      </c>
      <c r="AB480" s="3">
        <v>0</v>
      </c>
      <c r="AC480" t="s">
        <v>38</v>
      </c>
    </row>
    <row r="481" spans="1:29" x14ac:dyDescent="0.3">
      <c r="A481" t="s">
        <v>1021</v>
      </c>
      <c r="B481" t="s">
        <v>1022</v>
      </c>
      <c r="C481" t="s">
        <v>31</v>
      </c>
      <c r="D481" s="2">
        <v>103500</v>
      </c>
      <c r="E481" s="3">
        <v>0.25</v>
      </c>
      <c r="F481" s="2">
        <v>25875</v>
      </c>
      <c r="G481" s="2">
        <v>77625</v>
      </c>
      <c r="H481" s="3">
        <v>0.13039999999999999</v>
      </c>
      <c r="I481">
        <v>36</v>
      </c>
      <c r="J481" s="3">
        <v>1.086666666666667E-2</v>
      </c>
      <c r="K481" s="2">
        <v>2616.9888364466751</v>
      </c>
      <c r="L481" s="2">
        <v>94211.59811208029</v>
      </c>
      <c r="M481" s="2">
        <v>16586.59811208029</v>
      </c>
      <c r="N481" s="2">
        <v>776.25</v>
      </c>
      <c r="O481" s="2">
        <v>15136.875</v>
      </c>
      <c r="P481" t="s">
        <v>42</v>
      </c>
      <c r="Q481" s="2">
        <v>31050</v>
      </c>
      <c r="R481" s="2">
        <v>-28824.02688791971</v>
      </c>
      <c r="S481" t="s">
        <v>43</v>
      </c>
      <c r="T481" t="s">
        <v>116</v>
      </c>
      <c r="U481" t="s">
        <v>35</v>
      </c>
      <c r="V481" t="s">
        <v>36</v>
      </c>
      <c r="W481" t="s">
        <v>37</v>
      </c>
      <c r="X481" s="2">
        <v>17362.84811208029</v>
      </c>
      <c r="Y481" s="2">
        <v>46186.875</v>
      </c>
      <c r="Z481" s="2">
        <v>-28824.02688791971</v>
      </c>
      <c r="AA481" s="3">
        <v>-0.37132401787980301</v>
      </c>
      <c r="AB481" s="3">
        <v>0.4</v>
      </c>
      <c r="AC481" t="s">
        <v>38</v>
      </c>
    </row>
    <row r="482" spans="1:29" x14ac:dyDescent="0.3">
      <c r="A482" t="s">
        <v>1023</v>
      </c>
      <c r="B482" t="s">
        <v>1024</v>
      </c>
      <c r="C482" t="s">
        <v>56</v>
      </c>
      <c r="D482" s="2">
        <v>524200</v>
      </c>
      <c r="E482" s="3">
        <v>0.1</v>
      </c>
      <c r="F482" s="2">
        <v>52420</v>
      </c>
      <c r="G482" s="2">
        <v>471780</v>
      </c>
      <c r="H482" s="3">
        <v>9.7299999999999998E-2</v>
      </c>
      <c r="I482">
        <v>36</v>
      </c>
      <c r="J482" s="3">
        <v>8.1083333333333337E-3</v>
      </c>
      <c r="K482" s="2">
        <v>15163.27921361977</v>
      </c>
      <c r="L482" s="2">
        <v>545878.05169031175</v>
      </c>
      <c r="M482" s="2">
        <v>74098.051690311753</v>
      </c>
      <c r="N482" s="2">
        <v>4717.8</v>
      </c>
      <c r="O482" s="2">
        <v>91997.1</v>
      </c>
      <c r="P482" t="s">
        <v>52</v>
      </c>
      <c r="Q482" s="2">
        <v>0</v>
      </c>
      <c r="R482" s="2">
        <v>-13181.24830968825</v>
      </c>
      <c r="S482" t="s">
        <v>77</v>
      </c>
      <c r="T482" t="s">
        <v>62</v>
      </c>
      <c r="U482" t="s">
        <v>151</v>
      </c>
      <c r="V482" t="s">
        <v>71</v>
      </c>
      <c r="W482" t="s">
        <v>37</v>
      </c>
      <c r="X482" s="2">
        <v>78815.851690311756</v>
      </c>
      <c r="Y482" s="2">
        <v>91997.1</v>
      </c>
      <c r="Z482" s="2">
        <v>-13181.24830968825</v>
      </c>
      <c r="AA482" s="3">
        <v>-2.7939396137369642E-2</v>
      </c>
      <c r="AB482" s="3">
        <v>0</v>
      </c>
      <c r="AC482" t="s">
        <v>38</v>
      </c>
    </row>
    <row r="483" spans="1:29" x14ac:dyDescent="0.3">
      <c r="A483" t="s">
        <v>1025</v>
      </c>
      <c r="B483" t="s">
        <v>1026</v>
      </c>
      <c r="C483" t="s">
        <v>31</v>
      </c>
      <c r="D483" s="2">
        <v>222700</v>
      </c>
      <c r="E483" s="3">
        <v>0.25</v>
      </c>
      <c r="F483" s="2">
        <v>55675</v>
      </c>
      <c r="G483" s="2">
        <v>167025</v>
      </c>
      <c r="H483" s="3">
        <v>0.16139999999999999</v>
      </c>
      <c r="I483">
        <v>60</v>
      </c>
      <c r="J483" s="3">
        <v>1.345E-2</v>
      </c>
      <c r="K483" s="2">
        <v>4074.1583592761458</v>
      </c>
      <c r="L483" s="2">
        <v>244449.50155656869</v>
      </c>
      <c r="M483" s="2">
        <v>77424.50155656875</v>
      </c>
      <c r="N483" s="2">
        <v>1670.25</v>
      </c>
      <c r="O483" s="2">
        <v>54283.125</v>
      </c>
      <c r="P483" t="s">
        <v>52</v>
      </c>
      <c r="Q483" s="2">
        <v>0</v>
      </c>
      <c r="R483" s="2">
        <v>24811.62655656875</v>
      </c>
      <c r="S483" t="s">
        <v>77</v>
      </c>
      <c r="T483" t="s">
        <v>70</v>
      </c>
      <c r="U483" t="s">
        <v>48</v>
      </c>
      <c r="V483" t="s">
        <v>63</v>
      </c>
      <c r="W483" t="s">
        <v>49</v>
      </c>
      <c r="X483" s="2">
        <v>79094.75155656875</v>
      </c>
      <c r="Y483" s="2">
        <v>54283.125</v>
      </c>
      <c r="Z483" s="2">
        <v>24811.62655656875</v>
      </c>
      <c r="AA483" s="3">
        <v>0.14855037603094601</v>
      </c>
      <c r="AB483" s="3">
        <v>0</v>
      </c>
      <c r="AC483" t="s">
        <v>38</v>
      </c>
    </row>
    <row r="484" spans="1:29" x14ac:dyDescent="0.3">
      <c r="A484" t="s">
        <v>1027</v>
      </c>
      <c r="B484" t="s">
        <v>1028</v>
      </c>
      <c r="C484" t="s">
        <v>41</v>
      </c>
      <c r="D484" s="2">
        <v>112600</v>
      </c>
      <c r="E484" s="3">
        <v>0.05</v>
      </c>
      <c r="F484" s="2">
        <v>5630</v>
      </c>
      <c r="G484" s="2">
        <v>106970</v>
      </c>
      <c r="H484" s="3">
        <v>0.12759999999999999</v>
      </c>
      <c r="I484">
        <v>36</v>
      </c>
      <c r="J484" s="3">
        <v>1.063333333333333E-2</v>
      </c>
      <c r="K484" s="2">
        <v>3591.888860836531</v>
      </c>
      <c r="L484" s="2">
        <v>129307.9989901151</v>
      </c>
      <c r="M484" s="2">
        <v>22337.998990115098</v>
      </c>
      <c r="N484" s="2">
        <v>1069.7</v>
      </c>
      <c r="O484" s="2">
        <v>20859.150000000001</v>
      </c>
      <c r="P484" t="s">
        <v>32</v>
      </c>
      <c r="Q484" s="2">
        <v>0</v>
      </c>
      <c r="R484" s="2">
        <v>2548.5489901150981</v>
      </c>
      <c r="S484" t="s">
        <v>57</v>
      </c>
      <c r="T484" t="s">
        <v>47</v>
      </c>
      <c r="U484" t="s">
        <v>48</v>
      </c>
      <c r="V484" t="s">
        <v>36</v>
      </c>
      <c r="W484" t="s">
        <v>37</v>
      </c>
      <c r="X484" s="2">
        <v>23407.698990115099</v>
      </c>
      <c r="Y484" s="2">
        <v>20859.150000000001</v>
      </c>
      <c r="Z484" s="2">
        <v>2548.5489901150981</v>
      </c>
      <c r="AA484" s="3">
        <v>2.382489473791809E-2</v>
      </c>
      <c r="AB484" s="3">
        <v>0</v>
      </c>
      <c r="AC484" t="s">
        <v>38</v>
      </c>
    </row>
    <row r="485" spans="1:29" x14ac:dyDescent="0.3">
      <c r="A485" t="s">
        <v>1029</v>
      </c>
      <c r="B485" t="s">
        <v>1030</v>
      </c>
      <c r="C485" t="s">
        <v>56</v>
      </c>
      <c r="D485" s="2">
        <v>1014200</v>
      </c>
      <c r="E485" s="3">
        <v>0.1</v>
      </c>
      <c r="F485" s="2">
        <v>101420</v>
      </c>
      <c r="G485" s="2">
        <v>912780</v>
      </c>
      <c r="H485" s="3">
        <v>0.11459999999999999</v>
      </c>
      <c r="I485">
        <v>36</v>
      </c>
      <c r="J485" s="3">
        <v>9.5499999999999995E-3</v>
      </c>
      <c r="K485" s="2">
        <v>30082.47763363113</v>
      </c>
      <c r="L485" s="2">
        <v>1082969.1948107211</v>
      </c>
      <c r="M485" s="2">
        <v>170189.1948107206</v>
      </c>
      <c r="N485" s="2">
        <v>9127.8000000000011</v>
      </c>
      <c r="O485" s="2">
        <v>177992.1</v>
      </c>
      <c r="P485" t="s">
        <v>32</v>
      </c>
      <c r="Q485" s="2">
        <v>0</v>
      </c>
      <c r="R485" s="2">
        <v>1324.894810720609</v>
      </c>
      <c r="S485" t="s">
        <v>43</v>
      </c>
      <c r="T485" t="s">
        <v>70</v>
      </c>
      <c r="U485" t="s">
        <v>59</v>
      </c>
      <c r="V485" t="s">
        <v>36</v>
      </c>
      <c r="W485" t="s">
        <v>37</v>
      </c>
      <c r="X485" s="2">
        <v>179316.99481072059</v>
      </c>
      <c r="Y485" s="2">
        <v>177992.1</v>
      </c>
      <c r="Z485" s="2">
        <v>1324.894810720609</v>
      </c>
      <c r="AA485" s="3">
        <v>1.451494128618735E-3</v>
      </c>
      <c r="AB485" s="3">
        <v>0</v>
      </c>
      <c r="AC485" t="s">
        <v>38</v>
      </c>
    </row>
    <row r="486" spans="1:29" x14ac:dyDescent="0.3">
      <c r="A486" t="s">
        <v>1031</v>
      </c>
      <c r="B486" t="s">
        <v>1032</v>
      </c>
      <c r="C486" t="s">
        <v>56</v>
      </c>
      <c r="D486" s="2">
        <v>1337100</v>
      </c>
      <c r="E486" s="3">
        <v>0.25</v>
      </c>
      <c r="F486" s="2">
        <v>334275</v>
      </c>
      <c r="G486" s="2">
        <v>1002825</v>
      </c>
      <c r="H486" s="3">
        <v>0.1111</v>
      </c>
      <c r="I486">
        <v>36</v>
      </c>
      <c r="J486" s="3">
        <v>9.2583333333333337E-3</v>
      </c>
      <c r="K486" s="2">
        <v>32883.467780814528</v>
      </c>
      <c r="L486" s="2">
        <v>1183804.8401093229</v>
      </c>
      <c r="M486" s="2">
        <v>180979.84010932289</v>
      </c>
      <c r="N486" s="2">
        <v>10028.25</v>
      </c>
      <c r="O486" s="2">
        <v>195550.875</v>
      </c>
      <c r="P486" t="s">
        <v>32</v>
      </c>
      <c r="Q486" s="2">
        <v>0</v>
      </c>
      <c r="R486" s="2">
        <v>-4542.7848906770814</v>
      </c>
      <c r="S486" t="s">
        <v>77</v>
      </c>
      <c r="T486" t="s">
        <v>204</v>
      </c>
      <c r="U486" t="s">
        <v>59</v>
      </c>
      <c r="V486" t="s">
        <v>36</v>
      </c>
      <c r="W486" t="s">
        <v>37</v>
      </c>
      <c r="X486" s="2">
        <v>191008.09010932289</v>
      </c>
      <c r="Y486" s="2">
        <v>195550.875</v>
      </c>
      <c r="Z486" s="2">
        <v>-4542.7848906770814</v>
      </c>
      <c r="AA486" s="3">
        <v>-4.5299876754938111E-3</v>
      </c>
      <c r="AB486" s="3">
        <v>0</v>
      </c>
      <c r="AC486" t="s">
        <v>38</v>
      </c>
    </row>
    <row r="487" spans="1:29" x14ac:dyDescent="0.3">
      <c r="A487" t="s">
        <v>1033</v>
      </c>
      <c r="B487" t="s">
        <v>1034</v>
      </c>
      <c r="C487" t="s">
        <v>86</v>
      </c>
      <c r="D487" s="2">
        <v>32900</v>
      </c>
      <c r="E487" s="3">
        <v>0</v>
      </c>
      <c r="F487" s="2">
        <v>0</v>
      </c>
      <c r="G487" s="2">
        <v>32900</v>
      </c>
      <c r="H487" s="3">
        <v>0.1915</v>
      </c>
      <c r="I487">
        <v>12</v>
      </c>
      <c r="J487" s="3">
        <v>1.5958333333333331E-2</v>
      </c>
      <c r="K487" s="2">
        <v>3034.307182982604</v>
      </c>
      <c r="L487" s="2">
        <v>36411.686195791262</v>
      </c>
      <c r="M487" s="2">
        <v>3511.6861957912552</v>
      </c>
      <c r="N487" s="2">
        <v>499</v>
      </c>
      <c r="O487" s="2">
        <v>2138.5</v>
      </c>
      <c r="P487" t="s">
        <v>42</v>
      </c>
      <c r="Q487" s="2">
        <v>13160</v>
      </c>
      <c r="R487" s="2">
        <v>-11287.813804208739</v>
      </c>
      <c r="S487" t="s">
        <v>57</v>
      </c>
      <c r="T487" t="s">
        <v>34</v>
      </c>
      <c r="U487" t="s">
        <v>35</v>
      </c>
      <c r="V487" t="s">
        <v>63</v>
      </c>
      <c r="W487" t="s">
        <v>64</v>
      </c>
      <c r="X487" s="2">
        <v>4010.6861957912552</v>
      </c>
      <c r="Y487" s="2">
        <v>15298.5</v>
      </c>
      <c r="Z487" s="2">
        <v>-11287.813804208739</v>
      </c>
      <c r="AA487" s="3">
        <v>-0.34309464450482507</v>
      </c>
      <c r="AB487" s="3">
        <v>0.4</v>
      </c>
      <c r="AC487" t="s">
        <v>38</v>
      </c>
    </row>
    <row r="488" spans="1:29" x14ac:dyDescent="0.3">
      <c r="A488" t="s">
        <v>1035</v>
      </c>
      <c r="B488" t="s">
        <v>1036</v>
      </c>
      <c r="C488" t="s">
        <v>41</v>
      </c>
      <c r="D488" s="2">
        <v>132100</v>
      </c>
      <c r="E488" s="3">
        <v>0.15</v>
      </c>
      <c r="F488" s="2">
        <v>19815</v>
      </c>
      <c r="G488" s="2">
        <v>112285</v>
      </c>
      <c r="H488" s="3">
        <v>0.15579999999999999</v>
      </c>
      <c r="I488">
        <v>6</v>
      </c>
      <c r="J488" s="3">
        <v>1.2983333333333329E-2</v>
      </c>
      <c r="K488" s="2">
        <v>19573.710322431929</v>
      </c>
      <c r="L488" s="2">
        <v>117442.2619345916</v>
      </c>
      <c r="M488" s="2">
        <v>5157.2619345915737</v>
      </c>
      <c r="N488" s="2">
        <v>1122.8499999999999</v>
      </c>
      <c r="O488" s="2">
        <v>3649.2624999999998</v>
      </c>
      <c r="P488" t="s">
        <v>32</v>
      </c>
      <c r="Q488" s="2">
        <v>0</v>
      </c>
      <c r="R488" s="2">
        <v>2630.8494345915742</v>
      </c>
      <c r="S488" t="s">
        <v>33</v>
      </c>
      <c r="T488" t="s">
        <v>58</v>
      </c>
      <c r="U488" t="s">
        <v>48</v>
      </c>
      <c r="V488" t="s">
        <v>63</v>
      </c>
      <c r="W488" t="s">
        <v>64</v>
      </c>
      <c r="X488" s="2">
        <v>6280.111934591574</v>
      </c>
      <c r="Y488" s="2">
        <v>3649.2624999999998</v>
      </c>
      <c r="Z488" s="2">
        <v>2630.8494345915742</v>
      </c>
      <c r="AA488" s="3">
        <v>2.3430105843091902E-2</v>
      </c>
      <c r="AB488" s="3">
        <v>0</v>
      </c>
      <c r="AC488" t="s">
        <v>38</v>
      </c>
    </row>
    <row r="489" spans="1:29" x14ac:dyDescent="0.3">
      <c r="A489" t="s">
        <v>1037</v>
      </c>
      <c r="B489" t="s">
        <v>1038</v>
      </c>
      <c r="C489" t="s">
        <v>41</v>
      </c>
      <c r="D489" s="2">
        <v>29500</v>
      </c>
      <c r="E489" s="3">
        <v>0.2</v>
      </c>
      <c r="F489" s="2">
        <v>5900</v>
      </c>
      <c r="G489" s="2">
        <v>23600</v>
      </c>
      <c r="H489" s="3">
        <v>0.16389999999999999</v>
      </c>
      <c r="I489">
        <v>6</v>
      </c>
      <c r="J489" s="3">
        <v>1.365833333333333E-2</v>
      </c>
      <c r="K489" s="2">
        <v>4123.4884745439749</v>
      </c>
      <c r="L489" s="2">
        <v>24740.930847263851</v>
      </c>
      <c r="M489" s="2">
        <v>1140.9308472638511</v>
      </c>
      <c r="N489" s="2">
        <v>499</v>
      </c>
      <c r="O489" s="2">
        <v>767</v>
      </c>
      <c r="P489" t="s">
        <v>32</v>
      </c>
      <c r="Q489" s="2">
        <v>0</v>
      </c>
      <c r="R489" s="2">
        <v>872.93084726385132</v>
      </c>
      <c r="S489" t="s">
        <v>77</v>
      </c>
      <c r="T489" t="s">
        <v>70</v>
      </c>
      <c r="U489" t="s">
        <v>35</v>
      </c>
      <c r="V489" t="s">
        <v>63</v>
      </c>
      <c r="W489" t="s">
        <v>64</v>
      </c>
      <c r="X489" s="2">
        <v>1639.9308472638511</v>
      </c>
      <c r="Y489" s="2">
        <v>767</v>
      </c>
      <c r="Z489" s="2">
        <v>872.93084726385132</v>
      </c>
      <c r="AA489" s="3">
        <v>3.6988595223044547E-2</v>
      </c>
      <c r="AB489" s="3">
        <v>0</v>
      </c>
      <c r="AC489" t="s">
        <v>38</v>
      </c>
    </row>
    <row r="490" spans="1:29" x14ac:dyDescent="0.3">
      <c r="A490" t="s">
        <v>1039</v>
      </c>
      <c r="B490" t="s">
        <v>1040</v>
      </c>
      <c r="C490" t="s">
        <v>31</v>
      </c>
      <c r="D490" s="2">
        <v>217100</v>
      </c>
      <c r="E490" s="3">
        <v>0.15</v>
      </c>
      <c r="F490" s="2">
        <v>32565</v>
      </c>
      <c r="G490" s="2">
        <v>184535</v>
      </c>
      <c r="H490" s="3">
        <v>0.13650000000000001</v>
      </c>
      <c r="I490">
        <v>36</v>
      </c>
      <c r="J490" s="3">
        <v>1.1375E-2</v>
      </c>
      <c r="K490" s="2">
        <v>6275.6449471427286</v>
      </c>
      <c r="L490" s="2">
        <v>225923.21809713819</v>
      </c>
      <c r="M490" s="2">
        <v>41388.218097138219</v>
      </c>
      <c r="N490" s="2">
        <v>1845.35</v>
      </c>
      <c r="O490" s="2">
        <v>35984.324999999997</v>
      </c>
      <c r="P490" t="s">
        <v>32</v>
      </c>
      <c r="Q490" s="2">
        <v>0</v>
      </c>
      <c r="R490" s="2">
        <v>7249.24309713822</v>
      </c>
      <c r="S490" t="s">
        <v>43</v>
      </c>
      <c r="T490" t="s">
        <v>116</v>
      </c>
      <c r="U490" t="s">
        <v>48</v>
      </c>
      <c r="V490" t="s">
        <v>36</v>
      </c>
      <c r="W490" t="s">
        <v>37</v>
      </c>
      <c r="X490" s="2">
        <v>43233.568097138217</v>
      </c>
      <c r="Y490" s="2">
        <v>35984.324999999997</v>
      </c>
      <c r="Z490" s="2">
        <v>7249.24309713822</v>
      </c>
      <c r="AA490" s="3">
        <v>3.9283838280750112E-2</v>
      </c>
      <c r="AB490" s="3">
        <v>0</v>
      </c>
      <c r="AC490" t="s">
        <v>38</v>
      </c>
    </row>
    <row r="491" spans="1:29" x14ac:dyDescent="0.3">
      <c r="A491" t="s">
        <v>1041</v>
      </c>
      <c r="B491" t="s">
        <v>1042</v>
      </c>
      <c r="C491" t="s">
        <v>41</v>
      </c>
      <c r="D491" s="2">
        <v>120900</v>
      </c>
      <c r="E491" s="3">
        <v>0.1</v>
      </c>
      <c r="F491" s="2">
        <v>12090</v>
      </c>
      <c r="G491" s="2">
        <v>108810</v>
      </c>
      <c r="H491" s="3">
        <v>0.16800000000000001</v>
      </c>
      <c r="I491">
        <v>36</v>
      </c>
      <c r="J491" s="3">
        <v>1.4E-2</v>
      </c>
      <c r="K491" s="2">
        <v>3868.5513318089629</v>
      </c>
      <c r="L491" s="2">
        <v>139267.84794512269</v>
      </c>
      <c r="M491" s="2">
        <v>30457.847945122689</v>
      </c>
      <c r="N491" s="2">
        <v>1088.0999999999999</v>
      </c>
      <c r="O491" s="2">
        <v>21217.95</v>
      </c>
      <c r="P491" t="s">
        <v>32</v>
      </c>
      <c r="Q491" s="2">
        <v>0</v>
      </c>
      <c r="R491" s="2">
        <v>10327.99794512269</v>
      </c>
      <c r="S491" t="s">
        <v>33</v>
      </c>
      <c r="T491" t="s">
        <v>58</v>
      </c>
      <c r="U491" t="s">
        <v>48</v>
      </c>
      <c r="V491" t="s">
        <v>63</v>
      </c>
      <c r="W491" t="s">
        <v>37</v>
      </c>
      <c r="X491" s="2">
        <v>31545.947945122691</v>
      </c>
      <c r="Y491" s="2">
        <v>21217.95</v>
      </c>
      <c r="Z491" s="2">
        <v>10327.99794512269</v>
      </c>
      <c r="AA491" s="3">
        <v>9.4917727645645489E-2</v>
      </c>
      <c r="AB491" s="3">
        <v>0</v>
      </c>
      <c r="AC491" t="s">
        <v>38</v>
      </c>
    </row>
    <row r="492" spans="1:29" x14ac:dyDescent="0.3">
      <c r="A492" t="s">
        <v>1043</v>
      </c>
      <c r="B492" t="s">
        <v>1044</v>
      </c>
      <c r="C492" t="s">
        <v>31</v>
      </c>
      <c r="D492" s="2">
        <v>113200</v>
      </c>
      <c r="E492" s="3">
        <v>0.25</v>
      </c>
      <c r="F492" s="2">
        <v>28300</v>
      </c>
      <c r="G492" s="2">
        <v>84900</v>
      </c>
      <c r="H492" s="3">
        <v>0.1273</v>
      </c>
      <c r="I492">
        <v>36</v>
      </c>
      <c r="J492" s="3">
        <v>1.0608333333333331E-2</v>
      </c>
      <c r="K492" s="2">
        <v>2849.5878716732232</v>
      </c>
      <c r="L492" s="2">
        <v>102585.163380236</v>
      </c>
      <c r="M492" s="2">
        <v>17685.163380236019</v>
      </c>
      <c r="N492" s="2">
        <v>849</v>
      </c>
      <c r="O492" s="2">
        <v>16555.5</v>
      </c>
      <c r="P492" t="s">
        <v>32</v>
      </c>
      <c r="Q492" s="2">
        <v>0</v>
      </c>
      <c r="R492" s="2">
        <v>1978.6633802360161</v>
      </c>
      <c r="S492" t="s">
        <v>33</v>
      </c>
      <c r="T492" t="s">
        <v>62</v>
      </c>
      <c r="U492" t="s">
        <v>35</v>
      </c>
      <c r="V492" t="s">
        <v>36</v>
      </c>
      <c r="W492" t="s">
        <v>37</v>
      </c>
      <c r="X492" s="2">
        <v>18534.163380236019</v>
      </c>
      <c r="Y492" s="2">
        <v>16555.5</v>
      </c>
      <c r="Z492" s="2">
        <v>1978.6633802360161</v>
      </c>
      <c r="AA492" s="3">
        <v>2.330581131020042E-2</v>
      </c>
      <c r="AB492" s="3">
        <v>0</v>
      </c>
      <c r="AC492" t="s">
        <v>38</v>
      </c>
    </row>
    <row r="493" spans="1:29" x14ac:dyDescent="0.3">
      <c r="A493" t="s">
        <v>1045</v>
      </c>
      <c r="B493" t="s">
        <v>1046</v>
      </c>
      <c r="C493" t="s">
        <v>56</v>
      </c>
      <c r="D493" s="2">
        <v>941700</v>
      </c>
      <c r="E493" s="3">
        <v>0.1</v>
      </c>
      <c r="F493" s="2">
        <v>94170</v>
      </c>
      <c r="G493" s="2">
        <v>847530</v>
      </c>
      <c r="H493" s="3">
        <v>0.10970000000000001</v>
      </c>
      <c r="I493">
        <v>72</v>
      </c>
      <c r="J493" s="3">
        <v>9.1416666666666677E-3</v>
      </c>
      <c r="K493" s="2">
        <v>16118.93310807409</v>
      </c>
      <c r="L493" s="2">
        <v>1160563.183781334</v>
      </c>
      <c r="M493" s="2">
        <v>313033.18378133437</v>
      </c>
      <c r="N493" s="2">
        <v>8475.2999999999993</v>
      </c>
      <c r="O493" s="2">
        <v>330536.7</v>
      </c>
      <c r="P493" t="s">
        <v>52</v>
      </c>
      <c r="Q493" s="2">
        <v>0</v>
      </c>
      <c r="R493" s="2">
        <v>-9028.2162186655914</v>
      </c>
      <c r="S493" t="s">
        <v>43</v>
      </c>
      <c r="T493" t="s">
        <v>74</v>
      </c>
      <c r="U493" t="s">
        <v>59</v>
      </c>
      <c r="V493" t="s">
        <v>36</v>
      </c>
      <c r="W493" t="s">
        <v>49</v>
      </c>
      <c r="X493" s="2">
        <v>321508.48378133442</v>
      </c>
      <c r="Y493" s="2">
        <v>330536.7</v>
      </c>
      <c r="Z493" s="2">
        <v>-9028.2162186655914</v>
      </c>
      <c r="AA493" s="3">
        <v>-1.065238542431016E-2</v>
      </c>
      <c r="AB493" s="3">
        <v>0</v>
      </c>
      <c r="AC493" t="s">
        <v>38</v>
      </c>
    </row>
    <row r="494" spans="1:29" x14ac:dyDescent="0.3">
      <c r="A494" t="s">
        <v>1047</v>
      </c>
      <c r="B494" t="s">
        <v>1048</v>
      </c>
      <c r="C494" t="s">
        <v>86</v>
      </c>
      <c r="D494" s="2">
        <v>103400</v>
      </c>
      <c r="E494" s="3">
        <v>0.2</v>
      </c>
      <c r="F494" s="2">
        <v>20680</v>
      </c>
      <c r="G494" s="2">
        <v>82720</v>
      </c>
      <c r="H494" s="3">
        <v>0.15720000000000001</v>
      </c>
      <c r="I494">
        <v>6</v>
      </c>
      <c r="J494" s="3">
        <v>1.3100000000000001E-2</v>
      </c>
      <c r="K494" s="2">
        <v>14425.6404378639</v>
      </c>
      <c r="L494" s="2">
        <v>86553.842627183418</v>
      </c>
      <c r="M494" s="2">
        <v>3833.8426271834178</v>
      </c>
      <c r="N494" s="2">
        <v>827.2</v>
      </c>
      <c r="O494" s="2">
        <v>2688.4</v>
      </c>
      <c r="P494" t="s">
        <v>52</v>
      </c>
      <c r="Q494" s="2">
        <v>0</v>
      </c>
      <c r="R494" s="2">
        <v>1972.642627183418</v>
      </c>
      <c r="S494" t="s">
        <v>57</v>
      </c>
      <c r="T494" t="s">
        <v>62</v>
      </c>
      <c r="U494" t="s">
        <v>35</v>
      </c>
      <c r="V494" t="s">
        <v>63</v>
      </c>
      <c r="W494" t="s">
        <v>64</v>
      </c>
      <c r="X494" s="2">
        <v>4661.0426271834176</v>
      </c>
      <c r="Y494" s="2">
        <v>2688.4</v>
      </c>
      <c r="Z494" s="2">
        <v>1972.642627183418</v>
      </c>
      <c r="AA494" s="3">
        <v>2.3847227117787931E-2</v>
      </c>
      <c r="AB494" s="3">
        <v>0</v>
      </c>
      <c r="AC494" t="s">
        <v>38</v>
      </c>
    </row>
    <row r="495" spans="1:29" x14ac:dyDescent="0.3">
      <c r="A495" t="s">
        <v>1049</v>
      </c>
      <c r="B495" t="s">
        <v>1050</v>
      </c>
      <c r="C495" t="s">
        <v>56</v>
      </c>
      <c r="D495" s="2">
        <v>1321200</v>
      </c>
      <c r="E495" s="3">
        <v>0.25</v>
      </c>
      <c r="F495" s="2">
        <v>330300</v>
      </c>
      <c r="G495" s="2">
        <v>990900</v>
      </c>
      <c r="H495" s="3">
        <v>0.1027</v>
      </c>
      <c r="I495">
        <v>72</v>
      </c>
      <c r="J495" s="3">
        <v>8.5583333333333327E-3</v>
      </c>
      <c r="K495" s="2">
        <v>18492.45634620306</v>
      </c>
      <c r="L495" s="2">
        <v>1331456.85692662</v>
      </c>
      <c r="M495" s="2">
        <v>340556.85692662047</v>
      </c>
      <c r="N495" s="2">
        <v>9909</v>
      </c>
      <c r="O495" s="2">
        <v>386451</v>
      </c>
      <c r="P495" t="s">
        <v>32</v>
      </c>
      <c r="Q495" s="2">
        <v>0</v>
      </c>
      <c r="R495" s="2">
        <v>-35985.143073379528</v>
      </c>
      <c r="S495" t="s">
        <v>43</v>
      </c>
      <c r="T495" t="s">
        <v>116</v>
      </c>
      <c r="U495" t="s">
        <v>59</v>
      </c>
      <c r="V495" t="s">
        <v>36</v>
      </c>
      <c r="W495" t="s">
        <v>49</v>
      </c>
      <c r="X495" s="2">
        <v>350465.85692662047</v>
      </c>
      <c r="Y495" s="2">
        <v>386451</v>
      </c>
      <c r="Z495" s="2">
        <v>-35985.143073379528</v>
      </c>
      <c r="AA495" s="3">
        <v>-3.6315615171439629E-2</v>
      </c>
      <c r="AB495" s="3">
        <v>0</v>
      </c>
      <c r="AC495" t="s">
        <v>38</v>
      </c>
    </row>
    <row r="496" spans="1:29" x14ac:dyDescent="0.3">
      <c r="A496" t="s">
        <v>1051</v>
      </c>
      <c r="B496" t="s">
        <v>1052</v>
      </c>
      <c r="C496" t="s">
        <v>86</v>
      </c>
      <c r="D496" s="2">
        <v>90500</v>
      </c>
      <c r="E496" s="3">
        <v>0.15</v>
      </c>
      <c r="F496" s="2">
        <v>13575</v>
      </c>
      <c r="G496" s="2">
        <v>76925</v>
      </c>
      <c r="H496" s="3">
        <v>0.18429999999999999</v>
      </c>
      <c r="I496">
        <v>12</v>
      </c>
      <c r="J496" s="3">
        <v>1.535833333333333E-2</v>
      </c>
      <c r="K496" s="2">
        <v>7068.2351591889283</v>
      </c>
      <c r="L496" s="2">
        <v>84818.821910267143</v>
      </c>
      <c r="M496" s="2">
        <v>7893.8219102671428</v>
      </c>
      <c r="N496" s="2">
        <v>769.25</v>
      </c>
      <c r="O496" s="2">
        <v>5000.125</v>
      </c>
      <c r="P496" t="s">
        <v>32</v>
      </c>
      <c r="Q496" s="2">
        <v>0</v>
      </c>
      <c r="R496" s="2">
        <v>3662.9469102671428</v>
      </c>
      <c r="S496" t="s">
        <v>43</v>
      </c>
      <c r="T496" t="s">
        <v>44</v>
      </c>
      <c r="U496" t="s">
        <v>35</v>
      </c>
      <c r="V496" t="s">
        <v>63</v>
      </c>
      <c r="W496" t="s">
        <v>64</v>
      </c>
      <c r="X496" s="2">
        <v>8663.0719102671428</v>
      </c>
      <c r="Y496" s="2">
        <v>5000.125</v>
      </c>
      <c r="Z496" s="2">
        <v>3662.9469102671428</v>
      </c>
      <c r="AA496" s="3">
        <v>4.7617119405487719E-2</v>
      </c>
      <c r="AB496" s="3">
        <v>0</v>
      </c>
      <c r="AC496" t="s">
        <v>38</v>
      </c>
    </row>
    <row r="497" spans="1:29" x14ac:dyDescent="0.3">
      <c r="A497" t="s">
        <v>1053</v>
      </c>
      <c r="B497" t="s">
        <v>1054</v>
      </c>
      <c r="C497" t="s">
        <v>31</v>
      </c>
      <c r="D497" s="2">
        <v>235300</v>
      </c>
      <c r="E497" s="3">
        <v>0.25</v>
      </c>
      <c r="F497" s="2">
        <v>58825</v>
      </c>
      <c r="G497" s="2">
        <v>176475</v>
      </c>
      <c r="H497" s="3">
        <v>0.1103</v>
      </c>
      <c r="I497">
        <v>48</v>
      </c>
      <c r="J497" s="3">
        <v>9.1916666666666657E-3</v>
      </c>
      <c r="K497" s="2">
        <v>4563.6600773044847</v>
      </c>
      <c r="L497" s="2">
        <v>219055.6837106153</v>
      </c>
      <c r="M497" s="2">
        <v>42580.683710615267</v>
      </c>
      <c r="N497" s="2">
        <v>1764.75</v>
      </c>
      <c r="O497" s="2">
        <v>45883.5</v>
      </c>
      <c r="P497" t="s">
        <v>32</v>
      </c>
      <c r="Q497" s="2">
        <v>0</v>
      </c>
      <c r="R497" s="2">
        <v>-1538.066289384733</v>
      </c>
      <c r="S497" t="s">
        <v>77</v>
      </c>
      <c r="T497" t="s">
        <v>70</v>
      </c>
      <c r="U497" t="s">
        <v>48</v>
      </c>
      <c r="V497" t="s">
        <v>36</v>
      </c>
      <c r="W497" t="s">
        <v>49</v>
      </c>
      <c r="X497" s="2">
        <v>44345.433710615267</v>
      </c>
      <c r="Y497" s="2">
        <v>45883.5</v>
      </c>
      <c r="Z497" s="2">
        <v>-1538.066289384733</v>
      </c>
      <c r="AA497" s="3">
        <v>-8.7154910859030058E-3</v>
      </c>
      <c r="AB497" s="3">
        <v>0</v>
      </c>
      <c r="AC497" t="s">
        <v>38</v>
      </c>
    </row>
    <row r="498" spans="1:29" x14ac:dyDescent="0.3">
      <c r="A498" t="s">
        <v>1055</v>
      </c>
      <c r="B498" t="s">
        <v>1056</v>
      </c>
      <c r="C498" t="s">
        <v>56</v>
      </c>
      <c r="D498" s="2">
        <v>860500</v>
      </c>
      <c r="E498" s="3">
        <v>0.2</v>
      </c>
      <c r="F498" s="2">
        <v>172100</v>
      </c>
      <c r="G498" s="2">
        <v>688400</v>
      </c>
      <c r="H498" s="3">
        <v>0.1033</v>
      </c>
      <c r="I498">
        <v>48</v>
      </c>
      <c r="J498" s="3">
        <v>8.6083333333333342E-3</v>
      </c>
      <c r="K498" s="2">
        <v>17568.902688248261</v>
      </c>
      <c r="L498" s="2">
        <v>843307.32903591637</v>
      </c>
      <c r="M498" s="2">
        <v>154907.32903591639</v>
      </c>
      <c r="N498" s="2">
        <v>6884</v>
      </c>
      <c r="O498" s="2">
        <v>178984</v>
      </c>
      <c r="P498" t="s">
        <v>32</v>
      </c>
      <c r="Q498" s="2">
        <v>0</v>
      </c>
      <c r="R498" s="2">
        <v>-17192.670964083631</v>
      </c>
      <c r="S498" t="s">
        <v>77</v>
      </c>
      <c r="T498" t="s">
        <v>204</v>
      </c>
      <c r="U498" t="s">
        <v>59</v>
      </c>
      <c r="V498" t="s">
        <v>36</v>
      </c>
      <c r="W498" t="s">
        <v>49</v>
      </c>
      <c r="X498" s="2">
        <v>161791.32903591639</v>
      </c>
      <c r="Y498" s="2">
        <v>178984</v>
      </c>
      <c r="Z498" s="2">
        <v>-17192.670964083631</v>
      </c>
      <c r="AA498" s="3">
        <v>-2.4974827083212719E-2</v>
      </c>
      <c r="AB498" s="3">
        <v>0</v>
      </c>
      <c r="AC498" t="s">
        <v>38</v>
      </c>
    </row>
    <row r="499" spans="1:29" x14ac:dyDescent="0.3">
      <c r="A499" t="s">
        <v>1057</v>
      </c>
      <c r="B499" t="s">
        <v>1058</v>
      </c>
      <c r="C499" t="s">
        <v>41</v>
      </c>
      <c r="D499" s="2">
        <v>41700</v>
      </c>
      <c r="E499" s="3">
        <v>0.2</v>
      </c>
      <c r="F499" s="2">
        <v>8340</v>
      </c>
      <c r="G499" s="2">
        <v>33360</v>
      </c>
      <c r="H499" s="3">
        <v>0.153</v>
      </c>
      <c r="I499">
        <v>36</v>
      </c>
      <c r="J499" s="3">
        <v>1.2749999999999999E-2</v>
      </c>
      <c r="K499" s="2">
        <v>1161.3423300168561</v>
      </c>
      <c r="L499" s="2">
        <v>41808.323880606818</v>
      </c>
      <c r="M499" s="2">
        <v>8448.3238806068184</v>
      </c>
      <c r="N499" s="2">
        <v>499</v>
      </c>
      <c r="O499" s="2">
        <v>6505.2000000000007</v>
      </c>
      <c r="P499" t="s">
        <v>52</v>
      </c>
      <c r="Q499" s="2">
        <v>0</v>
      </c>
      <c r="R499" s="2">
        <v>2442.1238806068181</v>
      </c>
      <c r="S499" t="s">
        <v>77</v>
      </c>
      <c r="T499" t="s">
        <v>44</v>
      </c>
      <c r="U499" t="s">
        <v>35</v>
      </c>
      <c r="V499" t="s">
        <v>63</v>
      </c>
      <c r="W499" t="s">
        <v>37</v>
      </c>
      <c r="X499" s="2">
        <v>8947.3238806068184</v>
      </c>
      <c r="Y499" s="2">
        <v>6505.2000000000007</v>
      </c>
      <c r="Z499" s="2">
        <v>2442.1238806068181</v>
      </c>
      <c r="AA499" s="3">
        <v>7.320515229636744E-2</v>
      </c>
      <c r="AB499" s="3">
        <v>0</v>
      </c>
      <c r="AC499" t="s">
        <v>38</v>
      </c>
    </row>
    <row r="500" spans="1:29" x14ac:dyDescent="0.3">
      <c r="A500" t="s">
        <v>1059</v>
      </c>
      <c r="B500" t="s">
        <v>1060</v>
      </c>
      <c r="C500" t="s">
        <v>31</v>
      </c>
      <c r="D500" s="2">
        <v>192900</v>
      </c>
      <c r="E500" s="3">
        <v>0.25</v>
      </c>
      <c r="F500" s="2">
        <v>48225</v>
      </c>
      <c r="G500" s="2">
        <v>144675</v>
      </c>
      <c r="H500" s="3">
        <v>0.1174</v>
      </c>
      <c r="I500">
        <v>24</v>
      </c>
      <c r="J500" s="3">
        <v>9.7833333333333331E-3</v>
      </c>
      <c r="K500" s="2">
        <v>6792.8016973179474</v>
      </c>
      <c r="L500" s="2">
        <v>163027.24073563071</v>
      </c>
      <c r="M500" s="2">
        <v>18352.240735630741</v>
      </c>
      <c r="N500" s="2">
        <v>1446.75</v>
      </c>
      <c r="O500" s="2">
        <v>18807.75</v>
      </c>
      <c r="P500" t="s">
        <v>32</v>
      </c>
      <c r="Q500" s="2">
        <v>0</v>
      </c>
      <c r="R500" s="2">
        <v>991.24073563073762</v>
      </c>
      <c r="S500" t="s">
        <v>77</v>
      </c>
      <c r="T500" t="s">
        <v>67</v>
      </c>
      <c r="U500" t="s">
        <v>48</v>
      </c>
      <c r="V500" t="s">
        <v>36</v>
      </c>
      <c r="W500" t="s">
        <v>37</v>
      </c>
      <c r="X500" s="2">
        <v>19798.990735630741</v>
      </c>
      <c r="Y500" s="2">
        <v>18807.75</v>
      </c>
      <c r="Z500" s="2">
        <v>991.24073563073762</v>
      </c>
      <c r="AA500" s="3">
        <v>6.8514998142784698E-3</v>
      </c>
      <c r="AB500" s="3">
        <v>0</v>
      </c>
      <c r="AC500" t="s">
        <v>38</v>
      </c>
    </row>
    <row r="501" spans="1:29" x14ac:dyDescent="0.3">
      <c r="A501" t="s">
        <v>1061</v>
      </c>
      <c r="B501" t="s">
        <v>1062</v>
      </c>
      <c r="C501" t="s">
        <v>86</v>
      </c>
      <c r="D501" s="2">
        <v>87600</v>
      </c>
      <c r="E501" s="3">
        <v>0.15</v>
      </c>
      <c r="F501" s="2">
        <v>13140</v>
      </c>
      <c r="G501" s="2">
        <v>74460</v>
      </c>
      <c r="H501" s="3">
        <v>0.218</v>
      </c>
      <c r="I501">
        <v>6</v>
      </c>
      <c r="J501" s="3">
        <v>1.8166666666666671E-2</v>
      </c>
      <c r="K501" s="2">
        <v>13210.905221833191</v>
      </c>
      <c r="L501" s="2">
        <v>79265.431330999156</v>
      </c>
      <c r="M501" s="2">
        <v>4805.4313309991558</v>
      </c>
      <c r="N501" s="2">
        <v>744.6</v>
      </c>
      <c r="O501" s="2">
        <v>2419.9499999999998</v>
      </c>
      <c r="P501" t="s">
        <v>32</v>
      </c>
      <c r="Q501" s="2">
        <v>0</v>
      </c>
      <c r="R501" s="2">
        <v>3130.0813309991559</v>
      </c>
      <c r="S501" t="s">
        <v>77</v>
      </c>
      <c r="T501" t="s">
        <v>44</v>
      </c>
      <c r="U501" t="s">
        <v>35</v>
      </c>
      <c r="V501" t="s">
        <v>63</v>
      </c>
      <c r="W501" t="s">
        <v>64</v>
      </c>
      <c r="X501" s="2">
        <v>5550.0313309991561</v>
      </c>
      <c r="Y501" s="2">
        <v>2419.9499999999998</v>
      </c>
      <c r="Z501" s="2">
        <v>3130.0813309991559</v>
      </c>
      <c r="AA501" s="3">
        <v>4.2037084756905131E-2</v>
      </c>
      <c r="AB501" s="3">
        <v>0</v>
      </c>
      <c r="AC501" t="s">
        <v>38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election activeCell="B1" sqref="B1:B1048576"/>
    </sheetView>
  </sheetViews>
  <sheetFormatPr defaultRowHeight="14.4" x14ac:dyDescent="0.3"/>
  <cols>
    <col min="1" max="1" width="26" customWidth="1"/>
    <col min="2" max="2" width="67.88671875" customWidth="1"/>
  </cols>
  <sheetData>
    <row r="1" spans="1:2" x14ac:dyDescent="0.3">
      <c r="A1" s="1" t="s">
        <v>1063</v>
      </c>
      <c r="B1" s="1" t="s">
        <v>1064</v>
      </c>
    </row>
    <row r="2" spans="1:2" x14ac:dyDescent="0.3">
      <c r="A2" t="s">
        <v>20</v>
      </c>
      <c r="B2" t="s">
        <v>1065</v>
      </c>
    </row>
    <row r="3" spans="1:2" x14ac:dyDescent="0.3">
      <c r="A3" t="s">
        <v>21</v>
      </c>
      <c r="B3" t="s">
        <v>1066</v>
      </c>
    </row>
    <row r="4" spans="1:2" x14ac:dyDescent="0.3">
      <c r="A4" t="s">
        <v>22</v>
      </c>
      <c r="B4" t="s">
        <v>1067</v>
      </c>
    </row>
    <row r="5" spans="1:2" x14ac:dyDescent="0.3">
      <c r="A5" t="s">
        <v>23</v>
      </c>
      <c r="B5" t="s">
        <v>1068</v>
      </c>
    </row>
    <row r="6" spans="1:2" x14ac:dyDescent="0.3">
      <c r="A6" t="s">
        <v>24</v>
      </c>
      <c r="B6" t="s">
        <v>1069</v>
      </c>
    </row>
    <row r="7" spans="1:2" x14ac:dyDescent="0.3">
      <c r="A7" t="s">
        <v>25</v>
      </c>
      <c r="B7" t="s">
        <v>1070</v>
      </c>
    </row>
    <row r="8" spans="1:2" x14ac:dyDescent="0.3">
      <c r="A8" t="s">
        <v>26</v>
      </c>
      <c r="B8" t="s">
        <v>1071</v>
      </c>
    </row>
    <row r="9" spans="1:2" x14ac:dyDescent="0.3">
      <c r="A9" t="s">
        <v>27</v>
      </c>
      <c r="B9" t="s">
        <v>1072</v>
      </c>
    </row>
    <row r="10" spans="1:2" x14ac:dyDescent="0.3">
      <c r="A10" t="s">
        <v>28</v>
      </c>
      <c r="B10" t="s">
        <v>1073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92D50-6EB7-476A-94D3-A0D2E64909A2}">
  <dimension ref="A1:B23"/>
  <sheetViews>
    <sheetView workbookViewId="0">
      <selection activeCell="B22" sqref="B22"/>
    </sheetView>
  </sheetViews>
  <sheetFormatPr defaultRowHeight="14.4" x14ac:dyDescent="0.3"/>
  <cols>
    <col min="1" max="1" width="23.6640625" customWidth="1"/>
    <col min="2" max="2" width="28.109375" customWidth="1"/>
  </cols>
  <sheetData>
    <row r="1" spans="1:2" ht="18" x14ac:dyDescent="0.3">
      <c r="A1" s="14" t="s">
        <v>1099</v>
      </c>
    </row>
    <row r="3" spans="1:2" x14ac:dyDescent="0.3">
      <c r="A3" s="4" t="s">
        <v>1100</v>
      </c>
    </row>
    <row r="5" spans="1:2" x14ac:dyDescent="0.3">
      <c r="A5" s="4" t="s">
        <v>1101</v>
      </c>
    </row>
    <row r="6" spans="1:2" x14ac:dyDescent="0.3">
      <c r="A6" s="15"/>
    </row>
    <row r="7" spans="1:2" x14ac:dyDescent="0.3">
      <c r="A7" s="16" t="s">
        <v>1102</v>
      </c>
    </row>
    <row r="8" spans="1:2" x14ac:dyDescent="0.3">
      <c r="A8" s="16" t="s">
        <v>1103</v>
      </c>
    </row>
    <row r="9" spans="1:2" x14ac:dyDescent="0.3">
      <c r="A9" s="16" t="s">
        <v>1104</v>
      </c>
    </row>
    <row r="10" spans="1:2" x14ac:dyDescent="0.3">
      <c r="A10" s="16" t="s">
        <v>1105</v>
      </c>
    </row>
    <row r="12" spans="1:2" x14ac:dyDescent="0.3">
      <c r="A12" s="4" t="s">
        <v>1106</v>
      </c>
    </row>
    <row r="14" spans="1:2" ht="18" x14ac:dyDescent="0.3">
      <c r="A14" s="14" t="s">
        <v>1107</v>
      </c>
    </row>
    <row r="16" spans="1:2" x14ac:dyDescent="0.3">
      <c r="A16" s="5" t="s">
        <v>1108</v>
      </c>
      <c r="B16" s="5" t="s">
        <v>1109</v>
      </c>
    </row>
    <row r="17" spans="1:2" x14ac:dyDescent="0.3">
      <c r="A17" s="8" t="s">
        <v>1110</v>
      </c>
      <c r="B17" s="8" t="s">
        <v>1111</v>
      </c>
    </row>
    <row r="18" spans="1:2" x14ac:dyDescent="0.3">
      <c r="A18" s="8" t="s">
        <v>1112</v>
      </c>
      <c r="B18" s="8" t="s">
        <v>1113</v>
      </c>
    </row>
    <row r="19" spans="1:2" x14ac:dyDescent="0.3">
      <c r="A19" s="8" t="s">
        <v>1114</v>
      </c>
      <c r="B19" s="8" t="s">
        <v>1115</v>
      </c>
    </row>
    <row r="20" spans="1:2" x14ac:dyDescent="0.3">
      <c r="A20" s="8" t="s">
        <v>1116</v>
      </c>
      <c r="B20" s="8" t="s">
        <v>1117</v>
      </c>
    </row>
    <row r="21" spans="1:2" ht="28.8" x14ac:dyDescent="0.3">
      <c r="A21" s="8" t="s">
        <v>1118</v>
      </c>
      <c r="B21" s="8" t="s">
        <v>1119</v>
      </c>
    </row>
    <row r="22" spans="1:2" x14ac:dyDescent="0.3">
      <c r="A22" s="8" t="s">
        <v>1120</v>
      </c>
      <c r="B22" s="8" t="s">
        <v>1121</v>
      </c>
    </row>
    <row r="23" spans="1:2" ht="28.8" x14ac:dyDescent="0.3">
      <c r="A23" s="8" t="s">
        <v>1122</v>
      </c>
      <c r="B23" s="8" t="s">
        <v>1123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F391D-3EF4-4512-8B93-CC007CB1472F}">
  <dimension ref="A1:F19"/>
  <sheetViews>
    <sheetView workbookViewId="0">
      <selection activeCell="E21" sqref="E21"/>
    </sheetView>
  </sheetViews>
  <sheetFormatPr defaultRowHeight="14.4" x14ac:dyDescent="0.3"/>
  <cols>
    <col min="1" max="1" width="15.21875" customWidth="1"/>
    <col min="2" max="2" width="32.6640625" customWidth="1"/>
    <col min="3" max="3" width="28.6640625" bestFit="1" customWidth="1"/>
    <col min="4" max="4" width="23.33203125" bestFit="1" customWidth="1"/>
    <col min="5" max="5" width="22.109375" bestFit="1" customWidth="1"/>
    <col min="6" max="6" width="24.77734375" bestFit="1" customWidth="1"/>
  </cols>
  <sheetData>
    <row r="1" spans="1:6" x14ac:dyDescent="0.3">
      <c r="A1" s="5" t="s">
        <v>1074</v>
      </c>
      <c r="B1" s="7" t="s">
        <v>1075</v>
      </c>
    </row>
    <row r="2" spans="1:6" ht="28.8" x14ac:dyDescent="0.3">
      <c r="A2" s="8" t="s">
        <v>1076</v>
      </c>
      <c r="B2" s="6">
        <f>COUNTA(LoanData[Loan ID])</f>
        <v>500</v>
      </c>
    </row>
    <row r="3" spans="1:6" x14ac:dyDescent="0.3">
      <c r="A3" s="8" t="s">
        <v>1077</v>
      </c>
      <c r="B3" s="6">
        <f>SUM(LoanData[Loan Amount / Principal (Rs.)])</f>
        <v>127369335</v>
      </c>
    </row>
    <row r="4" spans="1:6" x14ac:dyDescent="0.3">
      <c r="A4" s="8" t="s">
        <v>1078</v>
      </c>
      <c r="B4" s="6">
        <f>SUM(LoanData[Total Interest Income (Rs.)])</f>
        <v>31872004.69113832</v>
      </c>
    </row>
    <row r="5" spans="1:6" x14ac:dyDescent="0.3">
      <c r="A5" s="8" t="s">
        <v>1079</v>
      </c>
      <c r="B5" s="6">
        <f>SUM(LoanData[Processing Fee (Rs.)])</f>
        <v>1291126.2500000002</v>
      </c>
    </row>
    <row r="6" spans="1:6" x14ac:dyDescent="0.3">
      <c r="A6" s="8" t="s">
        <v>1080</v>
      </c>
      <c r="B6" s="6">
        <f>SUM(LoanData[Calculated Revenue (Rs.)])</f>
        <v>33163130.941138342</v>
      </c>
    </row>
    <row r="7" spans="1:6" x14ac:dyDescent="0.3">
      <c r="A7" s="8" t="s">
        <v>1081</v>
      </c>
      <c r="B7" s="11">
        <f>SUM(LoanData[Cost of Funds (Rs.)])</f>
        <v>35182043.81250003</v>
      </c>
    </row>
    <row r="8" spans="1:6" x14ac:dyDescent="0.3">
      <c r="A8" s="8" t="s">
        <v>1082</v>
      </c>
      <c r="B8" s="6">
        <f>SUM(LoanData[Default Loss (Rs.)])</f>
        <v>1585612</v>
      </c>
    </row>
    <row r="9" spans="1:6" x14ac:dyDescent="0.3">
      <c r="A9" s="8" t="s">
        <v>1083</v>
      </c>
      <c r="B9" s="6">
        <f>SUM(LoanData[Calculated Cost (Rs.)])</f>
        <v>36767655.81250003</v>
      </c>
    </row>
    <row r="10" spans="1:6" x14ac:dyDescent="0.3">
      <c r="A10" s="9" t="s">
        <v>1084</v>
      </c>
      <c r="B10" s="6">
        <f>SUM(LoanData[Net Bank Profit (Rs.)])</f>
        <v>-3604524.8713616622</v>
      </c>
    </row>
    <row r="11" spans="1:6" x14ac:dyDescent="0.3">
      <c r="A11" s="9" t="s">
        <v>26</v>
      </c>
      <c r="B11" s="6">
        <f>SUM(LoanData[Net Bank Profit (Rs.)])/SUM(LoanData[Loan Amount / Principal (Rs.)])</f>
        <v>-2.8299785590948263E-2</v>
      </c>
    </row>
    <row r="13" spans="1:6" x14ac:dyDescent="0.3">
      <c r="A13" s="19" t="s">
        <v>1085</v>
      </c>
      <c r="B13" s="19"/>
    </row>
    <row r="16" spans="1:6" x14ac:dyDescent="0.3">
      <c r="A16" t="s">
        <v>1124</v>
      </c>
      <c r="B16" t="s">
        <v>1125</v>
      </c>
      <c r="C16" t="s">
        <v>1126</v>
      </c>
      <c r="D16" t="s">
        <v>1127</v>
      </c>
      <c r="E16" t="s">
        <v>1088</v>
      </c>
      <c r="F16" t="s">
        <v>1089</v>
      </c>
    </row>
    <row r="17" spans="1:6" x14ac:dyDescent="0.3">
      <c r="A17">
        <v>500</v>
      </c>
      <c r="B17" s="18">
        <v>127369335</v>
      </c>
      <c r="C17" s="18">
        <v>33163130.941138342</v>
      </c>
      <c r="D17" s="18">
        <v>35182043.81250003</v>
      </c>
      <c r="E17" s="18">
        <v>1585612</v>
      </c>
      <c r="F17" s="18">
        <v>-3604524.8713616622</v>
      </c>
    </row>
    <row r="19" spans="1:6" x14ac:dyDescent="0.3">
      <c r="C19" s="17">
        <f>GETPIVOTDATA("Sum of Net Bank Profit (Rs.)",$A$16)/GETPIVOTDATA("Sum of Loan Amount / Principal (Rs.)",$A$16)</f>
        <v>-2.8299785590948263E-2</v>
      </c>
    </row>
  </sheetData>
  <mergeCells count="1">
    <mergeCell ref="A13:B1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777E7-11C4-499E-9704-FCD473879ADF}">
  <dimension ref="A1:I43"/>
  <sheetViews>
    <sheetView topLeftCell="A15" zoomScale="84" workbookViewId="0">
      <selection activeCell="B37" sqref="B37"/>
    </sheetView>
  </sheetViews>
  <sheetFormatPr defaultRowHeight="14.4" x14ac:dyDescent="0.3"/>
  <cols>
    <col min="1" max="1" width="24.77734375" bestFit="1" customWidth="1"/>
    <col min="2" max="2" width="15.5546875" bestFit="1" customWidth="1"/>
    <col min="3" max="3" width="12.88671875" bestFit="1" customWidth="1"/>
    <col min="4" max="4" width="12.33203125" bestFit="1" customWidth="1"/>
    <col min="5" max="5" width="13.44140625" bestFit="1" customWidth="1"/>
    <col min="6" max="6" width="6.5546875" bestFit="1" customWidth="1"/>
    <col min="7" max="8" width="12.6640625" bestFit="1" customWidth="1"/>
    <col min="9" max="9" width="35.77734375" bestFit="1" customWidth="1"/>
    <col min="10" max="10" width="33.44140625" bestFit="1" customWidth="1"/>
    <col min="11" max="11" width="37.109375" bestFit="1" customWidth="1"/>
    <col min="12" max="12" width="47.5546875" bestFit="1" customWidth="1"/>
    <col min="13" max="13" width="44.109375" bestFit="1" customWidth="1"/>
    <col min="14" max="14" width="35.5546875" bestFit="1" customWidth="1"/>
    <col min="15" max="15" width="33.44140625" bestFit="1" customWidth="1"/>
    <col min="16" max="16" width="37.109375" bestFit="1" customWidth="1"/>
    <col min="17" max="17" width="55" bestFit="1" customWidth="1"/>
    <col min="18" max="18" width="51.5546875" bestFit="1" customWidth="1"/>
    <col min="19" max="19" width="42.6640625" bestFit="1" customWidth="1"/>
    <col min="20" max="20" width="40.88671875" bestFit="1" customWidth="1"/>
    <col min="21" max="21" width="44.33203125" bestFit="1" customWidth="1"/>
  </cols>
  <sheetData>
    <row r="1" spans="1:9" x14ac:dyDescent="0.3">
      <c r="A1" s="19" t="s">
        <v>1094</v>
      </c>
      <c r="B1" s="19"/>
      <c r="D1" s="19" t="s">
        <v>1093</v>
      </c>
      <c r="E1" s="19"/>
      <c r="F1" s="19"/>
      <c r="G1" s="19"/>
      <c r="H1" s="19"/>
      <c r="I1" s="19"/>
    </row>
    <row r="2" spans="1:9" x14ac:dyDescent="0.3">
      <c r="A2" s="12" t="s">
        <v>2</v>
      </c>
      <c r="B2" t="s">
        <v>1090</v>
      </c>
      <c r="D2" s="12" t="s">
        <v>1089</v>
      </c>
      <c r="E2" s="12" t="s">
        <v>1092</v>
      </c>
    </row>
    <row r="3" spans="1:9" x14ac:dyDescent="0.3">
      <c r="A3" s="13" t="s">
        <v>41</v>
      </c>
      <c r="B3" s="2">
        <v>164303.92267011473</v>
      </c>
      <c r="D3" s="12" t="s">
        <v>1086</v>
      </c>
      <c r="E3" t="s">
        <v>151</v>
      </c>
      <c r="F3" t="s">
        <v>48</v>
      </c>
      <c r="G3" t="s">
        <v>35</v>
      </c>
      <c r="H3" t="s">
        <v>59</v>
      </c>
      <c r="I3" t="s">
        <v>1087</v>
      </c>
    </row>
    <row r="4" spans="1:9" x14ac:dyDescent="0.3">
      <c r="A4" s="13" t="s">
        <v>31</v>
      </c>
      <c r="B4" s="2">
        <v>46453.855527096428</v>
      </c>
      <c r="D4" s="13" t="s">
        <v>31</v>
      </c>
      <c r="E4" s="2">
        <v>26244.112569322489</v>
      </c>
      <c r="F4" s="2">
        <v>-16346.244963218938</v>
      </c>
      <c r="G4" s="2">
        <v>36555.987920992848</v>
      </c>
      <c r="H4" s="2"/>
      <c r="I4" s="2">
        <v>46453.855527096399</v>
      </c>
    </row>
    <row r="5" spans="1:9" x14ac:dyDescent="0.3">
      <c r="A5" s="13" t="s">
        <v>86</v>
      </c>
      <c r="B5" s="2">
        <v>-73807.374809622546</v>
      </c>
      <c r="D5" s="13" t="s">
        <v>56</v>
      </c>
      <c r="E5" s="2">
        <v>-353001.36910458369</v>
      </c>
      <c r="F5" s="2"/>
      <c r="G5" s="2"/>
      <c r="H5" s="2">
        <v>-3388473.9056446655</v>
      </c>
      <c r="I5" s="2">
        <v>-3741475.2747492492</v>
      </c>
    </row>
    <row r="6" spans="1:9" x14ac:dyDescent="0.3">
      <c r="A6" s="13" t="s">
        <v>56</v>
      </c>
      <c r="B6" s="2">
        <v>-3741475.2747492492</v>
      </c>
      <c r="D6" s="13" t="s">
        <v>41</v>
      </c>
      <c r="E6" s="2"/>
      <c r="F6" s="2">
        <v>34094.585141462972</v>
      </c>
      <c r="G6" s="2">
        <v>130209.33752865175</v>
      </c>
      <c r="H6" s="2"/>
      <c r="I6" s="2">
        <v>164303.92267011473</v>
      </c>
    </row>
    <row r="7" spans="1:9" x14ac:dyDescent="0.3">
      <c r="A7" s="13" t="s">
        <v>1087</v>
      </c>
      <c r="B7" s="2">
        <v>-3604524.8713616608</v>
      </c>
      <c r="D7" s="13" t="s">
        <v>86</v>
      </c>
      <c r="E7" s="2"/>
      <c r="F7" s="2">
        <v>-73344.291197250524</v>
      </c>
      <c r="G7" s="2">
        <v>-463.08361237202598</v>
      </c>
      <c r="H7" s="2"/>
      <c r="I7" s="2">
        <v>-73807.374809622546</v>
      </c>
    </row>
    <row r="8" spans="1:9" x14ac:dyDescent="0.3">
      <c r="D8" s="13" t="s">
        <v>1087</v>
      </c>
      <c r="E8" s="2">
        <v>-326757.25653526117</v>
      </c>
      <c r="F8" s="2">
        <v>-55595.95101900649</v>
      </c>
      <c r="G8" s="2">
        <v>166302.24183727257</v>
      </c>
      <c r="H8" s="2">
        <v>-3388473.9056446655</v>
      </c>
      <c r="I8" s="2">
        <v>-3604524.8713616608</v>
      </c>
    </row>
    <row r="10" spans="1:9" x14ac:dyDescent="0.3">
      <c r="A10" s="19" t="s">
        <v>1095</v>
      </c>
      <c r="B10" s="19"/>
    </row>
    <row r="11" spans="1:9" x14ac:dyDescent="0.3">
      <c r="A11" s="12" t="s">
        <v>1086</v>
      </c>
      <c r="B11" t="s">
        <v>1089</v>
      </c>
    </row>
    <row r="12" spans="1:9" x14ac:dyDescent="0.3">
      <c r="A12" s="13" t="s">
        <v>63</v>
      </c>
      <c r="B12" s="2">
        <v>249787.63112490394</v>
      </c>
    </row>
    <row r="13" spans="1:9" x14ac:dyDescent="0.3">
      <c r="A13" s="13" t="s">
        <v>36</v>
      </c>
      <c r="B13" s="2">
        <v>-1184863.5995789084</v>
      </c>
    </row>
    <row r="14" spans="1:9" x14ac:dyDescent="0.3">
      <c r="A14" s="13" t="s">
        <v>71</v>
      </c>
      <c r="B14" s="2">
        <v>-2669448.9029076565</v>
      </c>
    </row>
    <row r="15" spans="1:9" x14ac:dyDescent="0.3">
      <c r="A15" s="13" t="s">
        <v>1087</v>
      </c>
      <c r="B15" s="2">
        <v>-3604524.8713616608</v>
      </c>
    </row>
    <row r="17" spans="1:5" x14ac:dyDescent="0.3">
      <c r="A17" s="19" t="s">
        <v>1091</v>
      </c>
      <c r="B17" s="19"/>
    </row>
    <row r="19" spans="1:5" x14ac:dyDescent="0.3">
      <c r="A19" s="12" t="s">
        <v>1089</v>
      </c>
      <c r="B19" s="12" t="s">
        <v>1092</v>
      </c>
    </row>
    <row r="20" spans="1:5" x14ac:dyDescent="0.3">
      <c r="A20" s="12" t="s">
        <v>1086</v>
      </c>
      <c r="B20" t="s">
        <v>63</v>
      </c>
      <c r="C20" t="s">
        <v>71</v>
      </c>
      <c r="D20" t="s">
        <v>36</v>
      </c>
      <c r="E20" t="s">
        <v>1087</v>
      </c>
    </row>
    <row r="21" spans="1:5" x14ac:dyDescent="0.3">
      <c r="A21" s="13" t="s">
        <v>31</v>
      </c>
      <c r="B21" s="2">
        <v>69602.780802355963</v>
      </c>
      <c r="C21" s="2"/>
      <c r="D21" s="2">
        <v>-23148.925275259593</v>
      </c>
      <c r="E21" s="2">
        <v>46453.85552709637</v>
      </c>
    </row>
    <row r="22" spans="1:5" x14ac:dyDescent="0.3">
      <c r="A22" s="13" t="s">
        <v>56</v>
      </c>
      <c r="B22" s="2"/>
      <c r="C22" s="2">
        <v>-2669448.9029076565</v>
      </c>
      <c r="D22" s="2">
        <v>-1072026.3718415932</v>
      </c>
      <c r="E22" s="2">
        <v>-3741475.2747492497</v>
      </c>
    </row>
    <row r="23" spans="1:5" x14ac:dyDescent="0.3">
      <c r="A23" s="13" t="s">
        <v>41</v>
      </c>
      <c r="B23" s="2">
        <v>275229.57010968431</v>
      </c>
      <c r="C23" s="2"/>
      <c r="D23" s="2">
        <v>-110925.64743956961</v>
      </c>
      <c r="E23" s="2">
        <v>164303.9226701147</v>
      </c>
    </row>
    <row r="24" spans="1:5" x14ac:dyDescent="0.3">
      <c r="A24" s="13" t="s">
        <v>86</v>
      </c>
      <c r="B24" s="2">
        <v>-95044.719787136259</v>
      </c>
      <c r="C24" s="2"/>
      <c r="D24" s="2">
        <v>21237.344977513683</v>
      </c>
      <c r="E24" s="2">
        <v>-73807.374809622575</v>
      </c>
    </row>
    <row r="25" spans="1:5" x14ac:dyDescent="0.3">
      <c r="A25" s="13" t="s">
        <v>1087</v>
      </c>
      <c r="B25" s="2">
        <v>249787.63112490403</v>
      </c>
      <c r="C25" s="2">
        <v>-2669448.9029076565</v>
      </c>
      <c r="D25" s="2">
        <v>-1184863.5995789089</v>
      </c>
      <c r="E25" s="2">
        <v>-3604524.8713616612</v>
      </c>
    </row>
    <row r="27" spans="1:5" x14ac:dyDescent="0.3">
      <c r="A27" s="19" t="s">
        <v>1096</v>
      </c>
      <c r="B27" s="19"/>
    </row>
    <row r="28" spans="1:5" x14ac:dyDescent="0.3">
      <c r="A28" s="12" t="s">
        <v>1089</v>
      </c>
      <c r="B28" s="12" t="s">
        <v>1092</v>
      </c>
    </row>
    <row r="29" spans="1:5" x14ac:dyDescent="0.3">
      <c r="A29" s="12" t="s">
        <v>1086</v>
      </c>
      <c r="B29" t="s">
        <v>49</v>
      </c>
      <c r="C29" t="s">
        <v>37</v>
      </c>
      <c r="D29" t="s">
        <v>64</v>
      </c>
      <c r="E29" t="s">
        <v>1087</v>
      </c>
    </row>
    <row r="30" spans="1:5" x14ac:dyDescent="0.3">
      <c r="A30" s="13" t="s">
        <v>31</v>
      </c>
      <c r="B30" s="2">
        <v>207107.15361408959</v>
      </c>
      <c r="C30" s="2">
        <v>136044.14282257479</v>
      </c>
      <c r="D30" s="2">
        <v>-296697.44090956799</v>
      </c>
      <c r="E30" s="2">
        <v>46453.855527096428</v>
      </c>
    </row>
    <row r="31" spans="1:5" x14ac:dyDescent="0.3">
      <c r="A31" s="13" t="s">
        <v>56</v>
      </c>
      <c r="B31" s="2">
        <v>-3382232.8918078081</v>
      </c>
      <c r="C31" s="2">
        <v>-359242.38294144091</v>
      </c>
      <c r="D31" s="2"/>
      <c r="E31" s="2">
        <v>-3741475.2747492492</v>
      </c>
    </row>
    <row r="32" spans="1:5" x14ac:dyDescent="0.3">
      <c r="A32" s="13" t="s">
        <v>41</v>
      </c>
      <c r="B32" s="2"/>
      <c r="C32" s="2">
        <v>250092.23467660643</v>
      </c>
      <c r="D32" s="2">
        <v>-85788.31200649176</v>
      </c>
      <c r="E32" s="2">
        <v>164303.92267011467</v>
      </c>
    </row>
    <row r="33" spans="1:8" x14ac:dyDescent="0.3">
      <c r="A33" s="13" t="s">
        <v>86</v>
      </c>
      <c r="B33" s="2"/>
      <c r="C33" s="2">
        <v>25409.656545601199</v>
      </c>
      <c r="D33" s="2">
        <v>-99217.031355223764</v>
      </c>
      <c r="E33" s="2">
        <v>-73807.374809622561</v>
      </c>
    </row>
    <row r="34" spans="1:8" x14ac:dyDescent="0.3">
      <c r="A34" s="13" t="s">
        <v>1087</v>
      </c>
      <c r="B34" s="2">
        <v>-3175125.7381937187</v>
      </c>
      <c r="C34" s="2">
        <v>52303.651103341515</v>
      </c>
      <c r="D34" s="2">
        <v>-481702.78427128354</v>
      </c>
      <c r="E34" s="2">
        <v>-3604524.8713616608</v>
      </c>
    </row>
    <row r="36" spans="1:8" x14ac:dyDescent="0.3">
      <c r="A36" s="19" t="s">
        <v>1097</v>
      </c>
      <c r="B36" s="19"/>
      <c r="D36" s="19" t="s">
        <v>1098</v>
      </c>
      <c r="E36" s="19"/>
      <c r="F36" s="19"/>
      <c r="G36" s="19"/>
      <c r="H36" s="19"/>
    </row>
    <row r="37" spans="1:8" x14ac:dyDescent="0.3">
      <c r="A37" s="12" t="s">
        <v>1086</v>
      </c>
      <c r="B37" t="s">
        <v>1128</v>
      </c>
      <c r="D37" s="12" t="s">
        <v>1088</v>
      </c>
      <c r="E37" s="12" t="s">
        <v>1092</v>
      </c>
    </row>
    <row r="38" spans="1:8" x14ac:dyDescent="0.3">
      <c r="A38" s="13" t="s">
        <v>33</v>
      </c>
      <c r="B38" s="2">
        <v>-518432.75842005986</v>
      </c>
      <c r="D38" s="12" t="s">
        <v>1086</v>
      </c>
      <c r="E38" t="s">
        <v>32</v>
      </c>
      <c r="F38" t="s">
        <v>52</v>
      </c>
      <c r="G38" t="s">
        <v>42</v>
      </c>
      <c r="H38" t="s">
        <v>1087</v>
      </c>
    </row>
    <row r="39" spans="1:8" x14ac:dyDescent="0.3">
      <c r="A39" s="13" t="s">
        <v>57</v>
      </c>
      <c r="B39" s="2">
        <v>-835441.13016215619</v>
      </c>
      <c r="D39" s="13" t="s">
        <v>77</v>
      </c>
      <c r="E39" s="2">
        <v>0</v>
      </c>
      <c r="F39" s="2">
        <v>0</v>
      </c>
      <c r="G39" s="2">
        <v>484588</v>
      </c>
      <c r="H39" s="2">
        <v>484588</v>
      </c>
    </row>
    <row r="40" spans="1:8" x14ac:dyDescent="0.3">
      <c r="A40" s="13" t="s">
        <v>43</v>
      </c>
      <c r="B40" s="2">
        <v>-1078907.5023543828</v>
      </c>
      <c r="D40" s="13" t="s">
        <v>33</v>
      </c>
      <c r="E40" s="2">
        <v>0</v>
      </c>
      <c r="F40" s="2">
        <v>0</v>
      </c>
      <c r="G40" s="2">
        <v>397942</v>
      </c>
      <c r="H40" s="2">
        <v>397942</v>
      </c>
    </row>
    <row r="41" spans="1:8" x14ac:dyDescent="0.3">
      <c r="A41" s="13" t="s">
        <v>77</v>
      </c>
      <c r="B41" s="2">
        <v>-1171743.4804250626</v>
      </c>
      <c r="D41" s="13" t="s">
        <v>43</v>
      </c>
      <c r="E41" s="2">
        <v>0</v>
      </c>
      <c r="F41" s="2">
        <v>0</v>
      </c>
      <c r="G41" s="2">
        <v>390356</v>
      </c>
      <c r="H41" s="2">
        <v>390356</v>
      </c>
    </row>
    <row r="42" spans="1:8" x14ac:dyDescent="0.3">
      <c r="A42" s="13" t="s">
        <v>1087</v>
      </c>
      <c r="B42" s="2">
        <v>-3604524.8713616617</v>
      </c>
      <c r="D42" s="13" t="s">
        <v>57</v>
      </c>
      <c r="E42" s="2">
        <v>0</v>
      </c>
      <c r="F42" s="2">
        <v>0</v>
      </c>
      <c r="G42" s="2">
        <v>312726</v>
      </c>
      <c r="H42" s="2">
        <v>312726</v>
      </c>
    </row>
    <row r="43" spans="1:8" x14ac:dyDescent="0.3">
      <c r="D43" s="13" t="s">
        <v>1087</v>
      </c>
      <c r="E43" s="2">
        <v>0</v>
      </c>
      <c r="F43" s="2">
        <v>0</v>
      </c>
      <c r="G43" s="2">
        <v>1585612</v>
      </c>
      <c r="H43" s="2">
        <v>1585612</v>
      </c>
    </row>
  </sheetData>
  <mergeCells count="7">
    <mergeCell ref="A36:B36"/>
    <mergeCell ref="D36:H36"/>
    <mergeCell ref="A17:B17"/>
    <mergeCell ref="A1:B1"/>
    <mergeCell ref="A10:B10"/>
    <mergeCell ref="A27:B27"/>
    <mergeCell ref="D1:I1"/>
  </mergeCells>
  <pageMargins left="0.7" right="0.7" top="0.75" bottom="0.75" header="0.3" footer="0.3"/>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9F245-EC6D-4FE2-A574-7E747888C0AE}">
  <sheetPr>
    <tabColor theme="6" tint="0.59999389629810485"/>
  </sheetPr>
  <dimension ref="A1"/>
  <sheetViews>
    <sheetView showGridLines="0" tabSelected="1" topLeftCell="A4" zoomScale="92" zoomScaleNormal="130" workbookViewId="0">
      <selection activeCell="U10" sqref="U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Data_Dictionary</vt:lpstr>
      <vt:lpstr>Business Decisions</vt:lpstr>
      <vt:lpstr>Business helath</vt:lpstr>
      <vt:lpstr>Product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Tufan Bera</cp:lastModifiedBy>
  <dcterms:created xsi:type="dcterms:W3CDTF">2026-08-27T17:07:36Z</dcterms:created>
  <dcterms:modified xsi:type="dcterms:W3CDTF">2026-08-29T11:08:09Z</dcterms:modified>
</cp:coreProperties>
</file>