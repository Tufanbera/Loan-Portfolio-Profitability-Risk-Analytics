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FD3CBA92681E540/Documents/"/>
    </mc:Choice>
  </mc:AlternateContent>
  <xr:revisionPtr revIDLastSave="177" documentId="8_{766746BB-5A56-4767-A46C-11A729B7BAE5}" xr6:coauthVersionLast="47" xr6:coauthVersionMax="47" xr10:uidLastSave="{CC2A9E62-3B23-4983-BD2A-5B04AF63B69B}"/>
  <bookViews>
    <workbookView xWindow="-108" yWindow="-108" windowWidth="23256" windowHeight="13176" xr2:uid="{A359F4B1-D1B5-4458-B41D-CD07DF39EB00}"/>
  </bookViews>
  <sheets>
    <sheet name="Raw data 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01" i="1" l="1"/>
  <c r="F501" i="1"/>
  <c r="G501" i="1" s="1"/>
  <c r="J500" i="1"/>
  <c r="K500" i="1" s="1"/>
  <c r="L500" i="1" s="1"/>
  <c r="M500" i="1" s="1"/>
  <c r="G500" i="1"/>
  <c r="F500" i="1"/>
  <c r="J499" i="1"/>
  <c r="F499" i="1"/>
  <c r="G499" i="1" s="1"/>
  <c r="J498" i="1"/>
  <c r="K498" i="1" s="1"/>
  <c r="L498" i="1" s="1"/>
  <c r="M498" i="1" s="1"/>
  <c r="G498" i="1"/>
  <c r="F498" i="1"/>
  <c r="J497" i="1"/>
  <c r="K497" i="1" s="1"/>
  <c r="L497" i="1" s="1"/>
  <c r="M497" i="1" s="1"/>
  <c r="F497" i="1"/>
  <c r="G497" i="1" s="1"/>
  <c r="J496" i="1"/>
  <c r="K496" i="1" s="1"/>
  <c r="L496" i="1" s="1"/>
  <c r="M496" i="1" s="1"/>
  <c r="F496" i="1"/>
  <c r="G496" i="1" s="1"/>
  <c r="J495" i="1"/>
  <c r="F495" i="1"/>
  <c r="G495" i="1" s="1"/>
  <c r="J494" i="1"/>
  <c r="K494" i="1" s="1"/>
  <c r="L494" i="1" s="1"/>
  <c r="M494" i="1" s="1"/>
  <c r="G494" i="1"/>
  <c r="F494" i="1"/>
  <c r="J493" i="1"/>
  <c r="K493" i="1" s="1"/>
  <c r="L493" i="1" s="1"/>
  <c r="M493" i="1" s="1"/>
  <c r="F493" i="1"/>
  <c r="G493" i="1" s="1"/>
  <c r="J492" i="1"/>
  <c r="K492" i="1" s="1"/>
  <c r="L492" i="1" s="1"/>
  <c r="M492" i="1" s="1"/>
  <c r="F492" i="1"/>
  <c r="G492" i="1" s="1"/>
  <c r="J491" i="1"/>
  <c r="F491" i="1"/>
  <c r="G491" i="1" s="1"/>
  <c r="K490" i="1"/>
  <c r="L490" i="1" s="1"/>
  <c r="M490" i="1" s="1"/>
  <c r="J490" i="1"/>
  <c r="F490" i="1"/>
  <c r="G490" i="1" s="1"/>
  <c r="J489" i="1"/>
  <c r="F489" i="1"/>
  <c r="G489" i="1" s="1"/>
  <c r="J488" i="1"/>
  <c r="K488" i="1" s="1"/>
  <c r="L488" i="1" s="1"/>
  <c r="M488" i="1" s="1"/>
  <c r="G488" i="1"/>
  <c r="F488" i="1"/>
  <c r="J487" i="1"/>
  <c r="F487" i="1"/>
  <c r="G487" i="1" s="1"/>
  <c r="J486" i="1"/>
  <c r="F486" i="1"/>
  <c r="G486" i="1" s="1"/>
  <c r="J485" i="1"/>
  <c r="F485" i="1"/>
  <c r="G485" i="1" s="1"/>
  <c r="J484" i="1"/>
  <c r="F484" i="1"/>
  <c r="G484" i="1" s="1"/>
  <c r="J483" i="1"/>
  <c r="F483" i="1"/>
  <c r="G483" i="1" s="1"/>
  <c r="J482" i="1"/>
  <c r="G482" i="1"/>
  <c r="F482" i="1"/>
  <c r="J481" i="1"/>
  <c r="F481" i="1"/>
  <c r="G481" i="1" s="1"/>
  <c r="J480" i="1"/>
  <c r="F480" i="1"/>
  <c r="G480" i="1" s="1"/>
  <c r="J479" i="1"/>
  <c r="K479" i="1" s="1"/>
  <c r="L479" i="1" s="1"/>
  <c r="M479" i="1" s="1"/>
  <c r="F479" i="1"/>
  <c r="G479" i="1" s="1"/>
  <c r="J478" i="1"/>
  <c r="G478" i="1"/>
  <c r="F478" i="1"/>
  <c r="J477" i="1"/>
  <c r="K477" i="1" s="1"/>
  <c r="L477" i="1" s="1"/>
  <c r="M477" i="1" s="1"/>
  <c r="G477" i="1"/>
  <c r="F477" i="1"/>
  <c r="J476" i="1"/>
  <c r="G476" i="1"/>
  <c r="F476" i="1"/>
  <c r="J475" i="1"/>
  <c r="K475" i="1" s="1"/>
  <c r="L475" i="1" s="1"/>
  <c r="M475" i="1" s="1"/>
  <c r="F475" i="1"/>
  <c r="G475" i="1" s="1"/>
  <c r="J474" i="1"/>
  <c r="K474" i="1" s="1"/>
  <c r="L474" i="1" s="1"/>
  <c r="M474" i="1" s="1"/>
  <c r="F474" i="1"/>
  <c r="G474" i="1" s="1"/>
  <c r="K473" i="1"/>
  <c r="L473" i="1" s="1"/>
  <c r="M473" i="1" s="1"/>
  <c r="J473" i="1"/>
  <c r="F473" i="1"/>
  <c r="G473" i="1" s="1"/>
  <c r="J472" i="1"/>
  <c r="F472" i="1"/>
  <c r="G472" i="1" s="1"/>
  <c r="J471" i="1"/>
  <c r="F471" i="1"/>
  <c r="G471" i="1" s="1"/>
  <c r="J470" i="1"/>
  <c r="F470" i="1"/>
  <c r="G470" i="1" s="1"/>
  <c r="J469" i="1"/>
  <c r="F469" i="1"/>
  <c r="G469" i="1" s="1"/>
  <c r="L468" i="1"/>
  <c r="M468" i="1" s="1"/>
  <c r="J468" i="1"/>
  <c r="K468" i="1" s="1"/>
  <c r="F468" i="1"/>
  <c r="G468" i="1" s="1"/>
  <c r="K467" i="1"/>
  <c r="L467" i="1" s="1"/>
  <c r="M467" i="1" s="1"/>
  <c r="J467" i="1"/>
  <c r="F467" i="1"/>
  <c r="G467" i="1" s="1"/>
  <c r="J466" i="1"/>
  <c r="F466" i="1"/>
  <c r="G466" i="1" s="1"/>
  <c r="J465" i="1"/>
  <c r="K465" i="1" s="1"/>
  <c r="L465" i="1" s="1"/>
  <c r="M465" i="1" s="1"/>
  <c r="G465" i="1"/>
  <c r="F465" i="1"/>
  <c r="J464" i="1"/>
  <c r="G464" i="1"/>
  <c r="F464" i="1"/>
  <c r="J463" i="1"/>
  <c r="K463" i="1" s="1"/>
  <c r="L463" i="1" s="1"/>
  <c r="M463" i="1" s="1"/>
  <c r="F463" i="1"/>
  <c r="G463" i="1" s="1"/>
  <c r="J462" i="1"/>
  <c r="K462" i="1" s="1"/>
  <c r="L462" i="1" s="1"/>
  <c r="M462" i="1" s="1"/>
  <c r="R462" i="1" s="1"/>
  <c r="F462" i="1"/>
  <c r="G462" i="1" s="1"/>
  <c r="K461" i="1"/>
  <c r="L461" i="1" s="1"/>
  <c r="M461" i="1" s="1"/>
  <c r="J461" i="1"/>
  <c r="F461" i="1"/>
  <c r="G461" i="1" s="1"/>
  <c r="J460" i="1"/>
  <c r="K460" i="1" s="1"/>
  <c r="L460" i="1" s="1"/>
  <c r="M460" i="1" s="1"/>
  <c r="G460" i="1"/>
  <c r="F460" i="1"/>
  <c r="J459" i="1"/>
  <c r="K459" i="1" s="1"/>
  <c r="L459" i="1" s="1"/>
  <c r="M459" i="1" s="1"/>
  <c r="F459" i="1"/>
  <c r="G459" i="1" s="1"/>
  <c r="J458" i="1"/>
  <c r="K458" i="1" s="1"/>
  <c r="L458" i="1" s="1"/>
  <c r="M458" i="1" s="1"/>
  <c r="G458" i="1"/>
  <c r="F458" i="1"/>
  <c r="J457" i="1"/>
  <c r="F457" i="1"/>
  <c r="G457" i="1" s="1"/>
  <c r="J456" i="1"/>
  <c r="K456" i="1" s="1"/>
  <c r="L456" i="1" s="1"/>
  <c r="M456" i="1" s="1"/>
  <c r="F456" i="1"/>
  <c r="G456" i="1" s="1"/>
  <c r="J455" i="1"/>
  <c r="F455" i="1"/>
  <c r="G455" i="1" s="1"/>
  <c r="J454" i="1"/>
  <c r="F454" i="1"/>
  <c r="G454" i="1" s="1"/>
  <c r="K453" i="1"/>
  <c r="L453" i="1" s="1"/>
  <c r="M453" i="1" s="1"/>
  <c r="J453" i="1"/>
  <c r="F453" i="1"/>
  <c r="G453" i="1" s="1"/>
  <c r="J452" i="1"/>
  <c r="G452" i="1"/>
  <c r="F452" i="1"/>
  <c r="J451" i="1"/>
  <c r="F451" i="1"/>
  <c r="G451" i="1" s="1"/>
  <c r="J450" i="1"/>
  <c r="F450" i="1"/>
  <c r="G450" i="1" s="1"/>
  <c r="J449" i="1"/>
  <c r="K449" i="1" s="1"/>
  <c r="L449" i="1" s="1"/>
  <c r="M449" i="1" s="1"/>
  <c r="F449" i="1"/>
  <c r="G449" i="1" s="1"/>
  <c r="K448" i="1"/>
  <c r="L448" i="1" s="1"/>
  <c r="M448" i="1" s="1"/>
  <c r="J448" i="1"/>
  <c r="F448" i="1"/>
  <c r="G448" i="1" s="1"/>
  <c r="L447" i="1"/>
  <c r="M447" i="1" s="1"/>
  <c r="J447" i="1"/>
  <c r="K447" i="1" s="1"/>
  <c r="F447" i="1"/>
  <c r="G447" i="1" s="1"/>
  <c r="J446" i="1"/>
  <c r="G446" i="1"/>
  <c r="F446" i="1"/>
  <c r="J445" i="1"/>
  <c r="F445" i="1"/>
  <c r="G445" i="1" s="1"/>
  <c r="J444" i="1"/>
  <c r="F444" i="1"/>
  <c r="G444" i="1" s="1"/>
  <c r="K443" i="1"/>
  <c r="L443" i="1" s="1"/>
  <c r="M443" i="1" s="1"/>
  <c r="J443" i="1"/>
  <c r="F443" i="1"/>
  <c r="G443" i="1" s="1"/>
  <c r="J442" i="1"/>
  <c r="F442" i="1"/>
  <c r="G442" i="1" s="1"/>
  <c r="J441" i="1"/>
  <c r="G441" i="1"/>
  <c r="F441" i="1"/>
  <c r="J440" i="1"/>
  <c r="K440" i="1" s="1"/>
  <c r="L440" i="1" s="1"/>
  <c r="M440" i="1" s="1"/>
  <c r="F440" i="1"/>
  <c r="G440" i="1" s="1"/>
  <c r="K439" i="1"/>
  <c r="L439" i="1" s="1"/>
  <c r="M439" i="1" s="1"/>
  <c r="J439" i="1"/>
  <c r="F439" i="1"/>
  <c r="G439" i="1" s="1"/>
  <c r="J438" i="1"/>
  <c r="K438" i="1" s="1"/>
  <c r="L438" i="1" s="1"/>
  <c r="M438" i="1" s="1"/>
  <c r="G438" i="1"/>
  <c r="F438" i="1"/>
  <c r="M437" i="1"/>
  <c r="R437" i="1" s="1"/>
  <c r="K437" i="1"/>
  <c r="L437" i="1" s="1"/>
  <c r="J437" i="1"/>
  <c r="F437" i="1"/>
  <c r="G437" i="1" s="1"/>
  <c r="K436" i="1"/>
  <c r="L436" i="1" s="1"/>
  <c r="M436" i="1" s="1"/>
  <c r="J436" i="1"/>
  <c r="G436" i="1"/>
  <c r="F436" i="1"/>
  <c r="J435" i="1"/>
  <c r="F435" i="1"/>
  <c r="G435" i="1" s="1"/>
  <c r="J434" i="1"/>
  <c r="F434" i="1"/>
  <c r="G434" i="1" s="1"/>
  <c r="J433" i="1"/>
  <c r="K433" i="1" s="1"/>
  <c r="L433" i="1" s="1"/>
  <c r="M433" i="1" s="1"/>
  <c r="F433" i="1"/>
  <c r="G433" i="1" s="1"/>
  <c r="J432" i="1"/>
  <c r="K432" i="1" s="1"/>
  <c r="L432" i="1" s="1"/>
  <c r="M432" i="1" s="1"/>
  <c r="G432" i="1"/>
  <c r="F432" i="1"/>
  <c r="K431" i="1"/>
  <c r="L431" i="1" s="1"/>
  <c r="M431" i="1" s="1"/>
  <c r="J431" i="1"/>
  <c r="F431" i="1"/>
  <c r="G431" i="1" s="1"/>
  <c r="J430" i="1"/>
  <c r="K430" i="1" s="1"/>
  <c r="L430" i="1" s="1"/>
  <c r="M430" i="1" s="1"/>
  <c r="G430" i="1"/>
  <c r="F430" i="1"/>
  <c r="K429" i="1"/>
  <c r="L429" i="1" s="1"/>
  <c r="M429" i="1" s="1"/>
  <c r="J429" i="1"/>
  <c r="F429" i="1"/>
  <c r="G429" i="1" s="1"/>
  <c r="M428" i="1"/>
  <c r="J428" i="1"/>
  <c r="K428" i="1" s="1"/>
  <c r="L428" i="1" s="1"/>
  <c r="F428" i="1"/>
  <c r="G428" i="1" s="1"/>
  <c r="J427" i="1"/>
  <c r="F427" i="1"/>
  <c r="G427" i="1" s="1"/>
  <c r="J426" i="1"/>
  <c r="K426" i="1" s="1"/>
  <c r="L426" i="1" s="1"/>
  <c r="M426" i="1" s="1"/>
  <c r="G426" i="1"/>
  <c r="R426" i="1" s="1"/>
  <c r="F426" i="1"/>
  <c r="K425" i="1"/>
  <c r="L425" i="1" s="1"/>
  <c r="M425" i="1" s="1"/>
  <c r="J425" i="1"/>
  <c r="F425" i="1"/>
  <c r="G425" i="1" s="1"/>
  <c r="J424" i="1"/>
  <c r="K424" i="1" s="1"/>
  <c r="L424" i="1" s="1"/>
  <c r="M424" i="1" s="1"/>
  <c r="G424" i="1"/>
  <c r="F424" i="1"/>
  <c r="J423" i="1"/>
  <c r="K423" i="1" s="1"/>
  <c r="L423" i="1" s="1"/>
  <c r="M423" i="1" s="1"/>
  <c r="G423" i="1"/>
  <c r="F423" i="1"/>
  <c r="J422" i="1"/>
  <c r="G422" i="1"/>
  <c r="F422" i="1"/>
  <c r="J421" i="1"/>
  <c r="F421" i="1"/>
  <c r="G421" i="1" s="1"/>
  <c r="J420" i="1"/>
  <c r="G420" i="1"/>
  <c r="F420" i="1"/>
  <c r="J419" i="1"/>
  <c r="K419" i="1" s="1"/>
  <c r="L419" i="1" s="1"/>
  <c r="M419" i="1" s="1"/>
  <c r="F419" i="1"/>
  <c r="G419" i="1" s="1"/>
  <c r="J418" i="1"/>
  <c r="F418" i="1"/>
  <c r="G418" i="1" s="1"/>
  <c r="J417" i="1"/>
  <c r="K417" i="1" s="1"/>
  <c r="L417" i="1" s="1"/>
  <c r="M417" i="1" s="1"/>
  <c r="G417" i="1"/>
  <c r="F417" i="1"/>
  <c r="J416" i="1"/>
  <c r="G416" i="1"/>
  <c r="F416" i="1"/>
  <c r="J415" i="1"/>
  <c r="K415" i="1" s="1"/>
  <c r="L415" i="1" s="1"/>
  <c r="M415" i="1" s="1"/>
  <c r="F415" i="1"/>
  <c r="G415" i="1" s="1"/>
  <c r="J414" i="1"/>
  <c r="G414" i="1"/>
  <c r="F414" i="1"/>
  <c r="M413" i="1"/>
  <c r="L413" i="1"/>
  <c r="J413" i="1"/>
  <c r="K413" i="1" s="1"/>
  <c r="F413" i="1"/>
  <c r="G413" i="1" s="1"/>
  <c r="J412" i="1"/>
  <c r="F412" i="1"/>
  <c r="G412" i="1" s="1"/>
  <c r="J411" i="1"/>
  <c r="K411" i="1" s="1"/>
  <c r="L411" i="1" s="1"/>
  <c r="M411" i="1" s="1"/>
  <c r="G411" i="1"/>
  <c r="F411" i="1"/>
  <c r="J410" i="1"/>
  <c r="K410" i="1" s="1"/>
  <c r="L410" i="1" s="1"/>
  <c r="M410" i="1" s="1"/>
  <c r="F410" i="1"/>
  <c r="G410" i="1" s="1"/>
  <c r="J409" i="1"/>
  <c r="K409" i="1" s="1"/>
  <c r="L409" i="1" s="1"/>
  <c r="M409" i="1" s="1"/>
  <c r="F409" i="1"/>
  <c r="G409" i="1" s="1"/>
  <c r="J408" i="1"/>
  <c r="F408" i="1"/>
  <c r="G408" i="1" s="1"/>
  <c r="L407" i="1"/>
  <c r="M407" i="1" s="1"/>
  <c r="J407" i="1"/>
  <c r="K407" i="1" s="1"/>
  <c r="F407" i="1"/>
  <c r="G407" i="1" s="1"/>
  <c r="K406" i="1"/>
  <c r="L406" i="1" s="1"/>
  <c r="M406" i="1" s="1"/>
  <c r="J406" i="1"/>
  <c r="F406" i="1"/>
  <c r="G406" i="1" s="1"/>
  <c r="J405" i="1"/>
  <c r="F405" i="1"/>
  <c r="G405" i="1" s="1"/>
  <c r="J404" i="1"/>
  <c r="F404" i="1"/>
  <c r="G404" i="1" s="1"/>
  <c r="J403" i="1"/>
  <c r="F403" i="1"/>
  <c r="G403" i="1" s="1"/>
  <c r="J402" i="1"/>
  <c r="F402" i="1"/>
  <c r="G402" i="1" s="1"/>
  <c r="J401" i="1"/>
  <c r="F401" i="1"/>
  <c r="G401" i="1" s="1"/>
  <c r="J400" i="1"/>
  <c r="F400" i="1"/>
  <c r="G400" i="1" s="1"/>
  <c r="J399" i="1"/>
  <c r="K399" i="1" s="1"/>
  <c r="L399" i="1" s="1"/>
  <c r="M399" i="1" s="1"/>
  <c r="F399" i="1"/>
  <c r="G399" i="1" s="1"/>
  <c r="J398" i="1"/>
  <c r="K398" i="1" s="1"/>
  <c r="L398" i="1" s="1"/>
  <c r="M398" i="1" s="1"/>
  <c r="F398" i="1"/>
  <c r="G398" i="1" s="1"/>
  <c r="J397" i="1"/>
  <c r="G397" i="1"/>
  <c r="F397" i="1"/>
  <c r="J396" i="1"/>
  <c r="K396" i="1" s="1"/>
  <c r="L396" i="1" s="1"/>
  <c r="M396" i="1" s="1"/>
  <c r="G396" i="1"/>
  <c r="F396" i="1"/>
  <c r="L395" i="1"/>
  <c r="M395" i="1" s="1"/>
  <c r="J395" i="1"/>
  <c r="K395" i="1" s="1"/>
  <c r="F395" i="1"/>
  <c r="G395" i="1" s="1"/>
  <c r="J394" i="1"/>
  <c r="K394" i="1" s="1"/>
  <c r="L394" i="1" s="1"/>
  <c r="M394" i="1" s="1"/>
  <c r="F394" i="1"/>
  <c r="G394" i="1" s="1"/>
  <c r="J393" i="1"/>
  <c r="K393" i="1" s="1"/>
  <c r="L393" i="1" s="1"/>
  <c r="M393" i="1" s="1"/>
  <c r="F393" i="1"/>
  <c r="G393" i="1" s="1"/>
  <c r="J392" i="1"/>
  <c r="F392" i="1"/>
  <c r="G392" i="1" s="1"/>
  <c r="J391" i="1"/>
  <c r="G391" i="1"/>
  <c r="F391" i="1"/>
  <c r="J390" i="1"/>
  <c r="F390" i="1"/>
  <c r="G390" i="1" s="1"/>
  <c r="J389" i="1"/>
  <c r="F389" i="1"/>
  <c r="G389" i="1" s="1"/>
  <c r="J388" i="1"/>
  <c r="F388" i="1"/>
  <c r="G388" i="1" s="1"/>
  <c r="K387" i="1"/>
  <c r="L387" i="1" s="1"/>
  <c r="M387" i="1" s="1"/>
  <c r="J387" i="1"/>
  <c r="F387" i="1"/>
  <c r="G387" i="1" s="1"/>
  <c r="J386" i="1"/>
  <c r="F386" i="1"/>
  <c r="G386" i="1" s="1"/>
  <c r="J385" i="1"/>
  <c r="K385" i="1" s="1"/>
  <c r="L385" i="1" s="1"/>
  <c r="M385" i="1" s="1"/>
  <c r="G385" i="1"/>
  <c r="F385" i="1"/>
  <c r="J384" i="1"/>
  <c r="F384" i="1"/>
  <c r="G384" i="1" s="1"/>
  <c r="L383" i="1"/>
  <c r="M383" i="1" s="1"/>
  <c r="J383" i="1"/>
  <c r="K383" i="1" s="1"/>
  <c r="F383" i="1"/>
  <c r="G383" i="1" s="1"/>
  <c r="M382" i="1"/>
  <c r="J382" i="1"/>
  <c r="K382" i="1" s="1"/>
  <c r="L382" i="1" s="1"/>
  <c r="F382" i="1"/>
  <c r="G382" i="1" s="1"/>
  <c r="J381" i="1"/>
  <c r="K381" i="1" s="1"/>
  <c r="L381" i="1" s="1"/>
  <c r="M381" i="1" s="1"/>
  <c r="F381" i="1"/>
  <c r="G381" i="1" s="1"/>
  <c r="J380" i="1"/>
  <c r="K380" i="1" s="1"/>
  <c r="L380" i="1" s="1"/>
  <c r="M380" i="1" s="1"/>
  <c r="G380" i="1"/>
  <c r="F380" i="1"/>
  <c r="J379" i="1"/>
  <c r="G379" i="1"/>
  <c r="F379" i="1"/>
  <c r="J378" i="1"/>
  <c r="K378" i="1" s="1"/>
  <c r="L378" i="1" s="1"/>
  <c r="M378" i="1" s="1"/>
  <c r="G378" i="1"/>
  <c r="F378" i="1"/>
  <c r="J377" i="1"/>
  <c r="G377" i="1"/>
  <c r="F377" i="1"/>
  <c r="J376" i="1"/>
  <c r="K376" i="1" s="1"/>
  <c r="L376" i="1" s="1"/>
  <c r="M376" i="1" s="1"/>
  <c r="F376" i="1"/>
  <c r="G376" i="1" s="1"/>
  <c r="L375" i="1"/>
  <c r="M375" i="1" s="1"/>
  <c r="K375" i="1"/>
  <c r="J375" i="1"/>
  <c r="F375" i="1"/>
  <c r="G375" i="1" s="1"/>
  <c r="J374" i="1"/>
  <c r="F374" i="1"/>
  <c r="G374" i="1" s="1"/>
  <c r="J373" i="1"/>
  <c r="F373" i="1"/>
  <c r="G373" i="1" s="1"/>
  <c r="J372" i="1"/>
  <c r="K372" i="1" s="1"/>
  <c r="L372" i="1" s="1"/>
  <c r="M372" i="1" s="1"/>
  <c r="G372" i="1"/>
  <c r="F372" i="1"/>
  <c r="J371" i="1"/>
  <c r="G371" i="1"/>
  <c r="F371" i="1"/>
  <c r="J370" i="1"/>
  <c r="K370" i="1" s="1"/>
  <c r="L370" i="1" s="1"/>
  <c r="M370" i="1" s="1"/>
  <c r="F370" i="1"/>
  <c r="G370" i="1" s="1"/>
  <c r="L369" i="1"/>
  <c r="M369" i="1" s="1"/>
  <c r="K369" i="1"/>
  <c r="J369" i="1"/>
  <c r="F369" i="1"/>
  <c r="G369" i="1" s="1"/>
  <c r="J368" i="1"/>
  <c r="F368" i="1"/>
  <c r="G368" i="1" s="1"/>
  <c r="J367" i="1"/>
  <c r="G367" i="1"/>
  <c r="F367" i="1"/>
  <c r="J366" i="1"/>
  <c r="F366" i="1"/>
  <c r="G366" i="1" s="1"/>
  <c r="J365" i="1"/>
  <c r="F365" i="1"/>
  <c r="G365" i="1" s="1"/>
  <c r="J364" i="1"/>
  <c r="K364" i="1" s="1"/>
  <c r="L364" i="1" s="1"/>
  <c r="M364" i="1" s="1"/>
  <c r="F364" i="1"/>
  <c r="G364" i="1" s="1"/>
  <c r="J363" i="1"/>
  <c r="K363" i="1" s="1"/>
  <c r="L363" i="1" s="1"/>
  <c r="M363" i="1" s="1"/>
  <c r="F363" i="1"/>
  <c r="G363" i="1" s="1"/>
  <c r="J362" i="1"/>
  <c r="K362" i="1" s="1"/>
  <c r="L362" i="1" s="1"/>
  <c r="M362" i="1" s="1"/>
  <c r="G362" i="1"/>
  <c r="F362" i="1"/>
  <c r="K361" i="1"/>
  <c r="L361" i="1" s="1"/>
  <c r="M361" i="1" s="1"/>
  <c r="J361" i="1"/>
  <c r="G361" i="1"/>
  <c r="F361" i="1"/>
  <c r="J360" i="1"/>
  <c r="K360" i="1" s="1"/>
  <c r="L360" i="1" s="1"/>
  <c r="M360" i="1" s="1"/>
  <c r="G360" i="1"/>
  <c r="F360" i="1"/>
  <c r="J359" i="1"/>
  <c r="K359" i="1" s="1"/>
  <c r="L359" i="1" s="1"/>
  <c r="M359" i="1" s="1"/>
  <c r="G359" i="1"/>
  <c r="F359" i="1"/>
  <c r="J358" i="1"/>
  <c r="K358" i="1" s="1"/>
  <c r="L358" i="1" s="1"/>
  <c r="M358" i="1" s="1"/>
  <c r="F358" i="1"/>
  <c r="G358" i="1" s="1"/>
  <c r="J357" i="1"/>
  <c r="F357" i="1"/>
  <c r="G357" i="1" s="1"/>
  <c r="J356" i="1"/>
  <c r="F356" i="1"/>
  <c r="G356" i="1" s="1"/>
  <c r="J355" i="1"/>
  <c r="F355" i="1"/>
  <c r="G355" i="1" s="1"/>
  <c r="J354" i="1"/>
  <c r="G354" i="1"/>
  <c r="F354" i="1"/>
  <c r="J353" i="1"/>
  <c r="F353" i="1"/>
  <c r="G353" i="1" s="1"/>
  <c r="J352" i="1"/>
  <c r="F352" i="1"/>
  <c r="G352" i="1" s="1"/>
  <c r="K351" i="1"/>
  <c r="L351" i="1" s="1"/>
  <c r="M351" i="1" s="1"/>
  <c r="J351" i="1"/>
  <c r="F351" i="1"/>
  <c r="G351" i="1" s="1"/>
  <c r="J350" i="1"/>
  <c r="G350" i="1"/>
  <c r="F350" i="1"/>
  <c r="J349" i="1"/>
  <c r="K349" i="1" s="1"/>
  <c r="L349" i="1" s="1"/>
  <c r="M349" i="1" s="1"/>
  <c r="G349" i="1"/>
  <c r="F349" i="1"/>
  <c r="K348" i="1"/>
  <c r="L348" i="1" s="1"/>
  <c r="M348" i="1" s="1"/>
  <c r="J348" i="1"/>
  <c r="G348" i="1"/>
  <c r="F348" i="1"/>
  <c r="J347" i="1"/>
  <c r="G347" i="1"/>
  <c r="F347" i="1"/>
  <c r="J346" i="1"/>
  <c r="F346" i="1"/>
  <c r="G346" i="1" s="1"/>
  <c r="J345" i="1"/>
  <c r="F345" i="1"/>
  <c r="G345" i="1" s="1"/>
  <c r="K344" i="1"/>
  <c r="L344" i="1" s="1"/>
  <c r="M344" i="1" s="1"/>
  <c r="J344" i="1"/>
  <c r="G344" i="1"/>
  <c r="F344" i="1"/>
  <c r="J343" i="1"/>
  <c r="F343" i="1"/>
  <c r="G343" i="1" s="1"/>
  <c r="J342" i="1"/>
  <c r="F342" i="1"/>
  <c r="G342" i="1" s="1"/>
  <c r="J341" i="1"/>
  <c r="G341" i="1"/>
  <c r="F341" i="1"/>
  <c r="J340" i="1"/>
  <c r="G340" i="1"/>
  <c r="F340" i="1"/>
  <c r="K339" i="1"/>
  <c r="L339" i="1" s="1"/>
  <c r="M339" i="1" s="1"/>
  <c r="J339" i="1"/>
  <c r="F339" i="1"/>
  <c r="G339" i="1" s="1"/>
  <c r="J338" i="1"/>
  <c r="G338" i="1"/>
  <c r="F338" i="1"/>
  <c r="J337" i="1"/>
  <c r="K337" i="1" s="1"/>
  <c r="L337" i="1" s="1"/>
  <c r="M337" i="1" s="1"/>
  <c r="G337" i="1"/>
  <c r="F337" i="1"/>
  <c r="J336" i="1"/>
  <c r="F336" i="1"/>
  <c r="G336" i="1" s="1"/>
  <c r="J335" i="1"/>
  <c r="G335" i="1"/>
  <c r="F335" i="1"/>
  <c r="J334" i="1"/>
  <c r="F334" i="1"/>
  <c r="G334" i="1" s="1"/>
  <c r="K333" i="1"/>
  <c r="L333" i="1" s="1"/>
  <c r="M333" i="1" s="1"/>
  <c r="J333" i="1"/>
  <c r="F333" i="1"/>
  <c r="G333" i="1" s="1"/>
  <c r="J332" i="1"/>
  <c r="F332" i="1"/>
  <c r="G332" i="1" s="1"/>
  <c r="L331" i="1"/>
  <c r="M331" i="1" s="1"/>
  <c r="K331" i="1"/>
  <c r="J331" i="1"/>
  <c r="F331" i="1"/>
  <c r="G331" i="1" s="1"/>
  <c r="J330" i="1"/>
  <c r="F330" i="1"/>
  <c r="G330" i="1" s="1"/>
  <c r="J329" i="1"/>
  <c r="F329" i="1"/>
  <c r="G329" i="1" s="1"/>
  <c r="J328" i="1"/>
  <c r="F328" i="1"/>
  <c r="G328" i="1" s="1"/>
  <c r="K327" i="1"/>
  <c r="L327" i="1" s="1"/>
  <c r="M327" i="1" s="1"/>
  <c r="J327" i="1"/>
  <c r="F327" i="1"/>
  <c r="G327" i="1" s="1"/>
  <c r="J326" i="1"/>
  <c r="K326" i="1" s="1"/>
  <c r="L326" i="1" s="1"/>
  <c r="M326" i="1" s="1"/>
  <c r="G326" i="1"/>
  <c r="F326" i="1"/>
  <c r="J325" i="1"/>
  <c r="F325" i="1"/>
  <c r="G325" i="1" s="1"/>
  <c r="J324" i="1"/>
  <c r="G324" i="1"/>
  <c r="F324" i="1"/>
  <c r="K323" i="1"/>
  <c r="L323" i="1" s="1"/>
  <c r="M323" i="1" s="1"/>
  <c r="J323" i="1"/>
  <c r="G323" i="1"/>
  <c r="F323" i="1"/>
  <c r="J322" i="1"/>
  <c r="F322" i="1"/>
  <c r="G322" i="1" s="1"/>
  <c r="J321" i="1"/>
  <c r="F321" i="1"/>
  <c r="G321" i="1" s="1"/>
  <c r="R320" i="1"/>
  <c r="J320" i="1"/>
  <c r="K320" i="1" s="1"/>
  <c r="L320" i="1" s="1"/>
  <c r="M320" i="1" s="1"/>
  <c r="G320" i="1"/>
  <c r="F320" i="1"/>
  <c r="J319" i="1"/>
  <c r="K319" i="1" s="1"/>
  <c r="L319" i="1" s="1"/>
  <c r="M319" i="1" s="1"/>
  <c r="G319" i="1"/>
  <c r="F319" i="1"/>
  <c r="J318" i="1"/>
  <c r="G318" i="1"/>
  <c r="F318" i="1"/>
  <c r="J317" i="1"/>
  <c r="F317" i="1"/>
  <c r="G317" i="1" s="1"/>
  <c r="J316" i="1"/>
  <c r="G316" i="1"/>
  <c r="F316" i="1"/>
  <c r="M315" i="1"/>
  <c r="K315" i="1"/>
  <c r="L315" i="1" s="1"/>
  <c r="J315" i="1"/>
  <c r="F315" i="1"/>
  <c r="G315" i="1" s="1"/>
  <c r="J314" i="1"/>
  <c r="F314" i="1"/>
  <c r="G314" i="1" s="1"/>
  <c r="J313" i="1"/>
  <c r="F313" i="1"/>
  <c r="G313" i="1" s="1"/>
  <c r="J312" i="1"/>
  <c r="K312" i="1" s="1"/>
  <c r="L312" i="1" s="1"/>
  <c r="M312" i="1" s="1"/>
  <c r="F312" i="1"/>
  <c r="G312" i="1" s="1"/>
  <c r="J311" i="1"/>
  <c r="F311" i="1"/>
  <c r="G311" i="1" s="1"/>
  <c r="K311" i="1" s="1"/>
  <c r="L311" i="1" s="1"/>
  <c r="M311" i="1" s="1"/>
  <c r="J310" i="1"/>
  <c r="F310" i="1"/>
  <c r="G310" i="1" s="1"/>
  <c r="J309" i="1"/>
  <c r="K309" i="1" s="1"/>
  <c r="L309" i="1" s="1"/>
  <c r="M309" i="1" s="1"/>
  <c r="F309" i="1"/>
  <c r="G309" i="1" s="1"/>
  <c r="J308" i="1"/>
  <c r="F308" i="1"/>
  <c r="G308" i="1" s="1"/>
  <c r="J307" i="1"/>
  <c r="G307" i="1"/>
  <c r="F307" i="1"/>
  <c r="L306" i="1"/>
  <c r="M306" i="1" s="1"/>
  <c r="K306" i="1"/>
  <c r="J306" i="1"/>
  <c r="G306" i="1"/>
  <c r="F306" i="1"/>
  <c r="J305" i="1"/>
  <c r="G305" i="1"/>
  <c r="F305" i="1"/>
  <c r="J304" i="1"/>
  <c r="F304" i="1"/>
  <c r="G304" i="1" s="1"/>
  <c r="J303" i="1"/>
  <c r="F303" i="1"/>
  <c r="G303" i="1" s="1"/>
  <c r="J302" i="1"/>
  <c r="G302" i="1"/>
  <c r="F302" i="1"/>
  <c r="J301" i="1"/>
  <c r="F301" i="1"/>
  <c r="G301" i="1" s="1"/>
  <c r="M300" i="1"/>
  <c r="R300" i="1" s="1"/>
  <c r="L300" i="1"/>
  <c r="J300" i="1"/>
  <c r="G300" i="1"/>
  <c r="K300" i="1" s="1"/>
  <c r="F300" i="1"/>
  <c r="J299" i="1"/>
  <c r="K299" i="1" s="1"/>
  <c r="L299" i="1" s="1"/>
  <c r="M299" i="1" s="1"/>
  <c r="G299" i="1"/>
  <c r="F299" i="1"/>
  <c r="J298" i="1"/>
  <c r="F298" i="1"/>
  <c r="G298" i="1" s="1"/>
  <c r="J297" i="1"/>
  <c r="K297" i="1" s="1"/>
  <c r="L297" i="1" s="1"/>
  <c r="M297" i="1" s="1"/>
  <c r="G297" i="1"/>
  <c r="R297" i="1" s="1"/>
  <c r="F297" i="1"/>
  <c r="J296" i="1"/>
  <c r="F296" i="1"/>
  <c r="G296" i="1" s="1"/>
  <c r="K295" i="1"/>
  <c r="L295" i="1" s="1"/>
  <c r="M295" i="1" s="1"/>
  <c r="J295" i="1"/>
  <c r="F295" i="1"/>
  <c r="G295" i="1" s="1"/>
  <c r="J294" i="1"/>
  <c r="G294" i="1"/>
  <c r="K294" i="1" s="1"/>
  <c r="L294" i="1" s="1"/>
  <c r="M294" i="1" s="1"/>
  <c r="F294" i="1"/>
  <c r="M293" i="1"/>
  <c r="L293" i="1"/>
  <c r="K293" i="1"/>
  <c r="J293" i="1"/>
  <c r="G293" i="1"/>
  <c r="F293" i="1"/>
  <c r="J292" i="1"/>
  <c r="F292" i="1"/>
  <c r="G292" i="1" s="1"/>
  <c r="J291" i="1"/>
  <c r="K291" i="1" s="1"/>
  <c r="L291" i="1" s="1"/>
  <c r="M291" i="1" s="1"/>
  <c r="G291" i="1"/>
  <c r="F291" i="1"/>
  <c r="J290" i="1"/>
  <c r="F290" i="1"/>
  <c r="G290" i="1" s="1"/>
  <c r="J289" i="1"/>
  <c r="F289" i="1"/>
  <c r="G289" i="1" s="1"/>
  <c r="K289" i="1" s="1"/>
  <c r="L289" i="1" s="1"/>
  <c r="M289" i="1" s="1"/>
  <c r="K288" i="1"/>
  <c r="L288" i="1" s="1"/>
  <c r="M288" i="1" s="1"/>
  <c r="J288" i="1"/>
  <c r="G288" i="1"/>
  <c r="F288" i="1"/>
  <c r="J287" i="1"/>
  <c r="K287" i="1" s="1"/>
  <c r="L287" i="1" s="1"/>
  <c r="M287" i="1" s="1"/>
  <c r="R287" i="1" s="1"/>
  <c r="G287" i="1"/>
  <c r="F287" i="1"/>
  <c r="J286" i="1"/>
  <c r="F286" i="1"/>
  <c r="G286" i="1" s="1"/>
  <c r="J285" i="1"/>
  <c r="K285" i="1" s="1"/>
  <c r="L285" i="1" s="1"/>
  <c r="M285" i="1" s="1"/>
  <c r="G285" i="1"/>
  <c r="F285" i="1"/>
  <c r="J284" i="1"/>
  <c r="F284" i="1"/>
  <c r="G284" i="1" s="1"/>
  <c r="K283" i="1"/>
  <c r="L283" i="1" s="1"/>
  <c r="M283" i="1" s="1"/>
  <c r="J283" i="1"/>
  <c r="F283" i="1"/>
  <c r="G283" i="1" s="1"/>
  <c r="J282" i="1"/>
  <c r="G282" i="1"/>
  <c r="F282" i="1"/>
  <c r="J281" i="1"/>
  <c r="K281" i="1" s="1"/>
  <c r="L281" i="1" s="1"/>
  <c r="M281" i="1" s="1"/>
  <c r="G281" i="1"/>
  <c r="F281" i="1"/>
  <c r="J280" i="1"/>
  <c r="F280" i="1"/>
  <c r="G280" i="1" s="1"/>
  <c r="K279" i="1"/>
  <c r="L279" i="1" s="1"/>
  <c r="M279" i="1" s="1"/>
  <c r="J279" i="1"/>
  <c r="F279" i="1"/>
  <c r="G279" i="1" s="1"/>
  <c r="J278" i="1"/>
  <c r="F278" i="1"/>
  <c r="G278" i="1" s="1"/>
  <c r="J277" i="1"/>
  <c r="F277" i="1"/>
  <c r="G277" i="1" s="1"/>
  <c r="R276" i="1"/>
  <c r="K276" i="1"/>
  <c r="L276" i="1" s="1"/>
  <c r="M276" i="1" s="1"/>
  <c r="J276" i="1"/>
  <c r="G276" i="1"/>
  <c r="F276" i="1"/>
  <c r="M275" i="1"/>
  <c r="K275" i="1"/>
  <c r="L275" i="1" s="1"/>
  <c r="J275" i="1"/>
  <c r="G275" i="1"/>
  <c r="F275" i="1"/>
  <c r="J274" i="1"/>
  <c r="K274" i="1" s="1"/>
  <c r="L274" i="1" s="1"/>
  <c r="M274" i="1" s="1"/>
  <c r="F274" i="1"/>
  <c r="G274" i="1" s="1"/>
  <c r="J273" i="1"/>
  <c r="K273" i="1" s="1"/>
  <c r="L273" i="1" s="1"/>
  <c r="M273" i="1" s="1"/>
  <c r="G273" i="1"/>
  <c r="F273" i="1"/>
  <c r="J272" i="1"/>
  <c r="K272" i="1" s="1"/>
  <c r="L272" i="1" s="1"/>
  <c r="M272" i="1" s="1"/>
  <c r="G272" i="1"/>
  <c r="F272" i="1"/>
  <c r="K271" i="1"/>
  <c r="L271" i="1" s="1"/>
  <c r="M271" i="1" s="1"/>
  <c r="J271" i="1"/>
  <c r="F271" i="1"/>
  <c r="G271" i="1" s="1"/>
  <c r="J270" i="1"/>
  <c r="G270" i="1"/>
  <c r="F270" i="1"/>
  <c r="M269" i="1"/>
  <c r="L269" i="1"/>
  <c r="J269" i="1"/>
  <c r="K269" i="1" s="1"/>
  <c r="G269" i="1"/>
  <c r="F269" i="1"/>
  <c r="J268" i="1"/>
  <c r="K268" i="1" s="1"/>
  <c r="L268" i="1" s="1"/>
  <c r="M268" i="1" s="1"/>
  <c r="F268" i="1"/>
  <c r="G268" i="1" s="1"/>
  <c r="J267" i="1"/>
  <c r="F267" i="1"/>
  <c r="G267" i="1" s="1"/>
  <c r="J266" i="1"/>
  <c r="F266" i="1"/>
  <c r="G266" i="1" s="1"/>
  <c r="J265" i="1"/>
  <c r="F265" i="1"/>
  <c r="G265" i="1" s="1"/>
  <c r="J264" i="1"/>
  <c r="F264" i="1"/>
  <c r="G264" i="1" s="1"/>
  <c r="K264" i="1" s="1"/>
  <c r="L264" i="1" s="1"/>
  <c r="M264" i="1" s="1"/>
  <c r="J263" i="1"/>
  <c r="K263" i="1" s="1"/>
  <c r="L263" i="1" s="1"/>
  <c r="M263" i="1" s="1"/>
  <c r="G263" i="1"/>
  <c r="F263" i="1"/>
  <c r="J262" i="1"/>
  <c r="F262" i="1"/>
  <c r="G262" i="1" s="1"/>
  <c r="J261" i="1"/>
  <c r="F261" i="1"/>
  <c r="G261" i="1" s="1"/>
  <c r="J260" i="1"/>
  <c r="F260" i="1"/>
  <c r="G260" i="1" s="1"/>
  <c r="J259" i="1"/>
  <c r="F259" i="1"/>
  <c r="G259" i="1" s="1"/>
  <c r="J258" i="1"/>
  <c r="F258" i="1"/>
  <c r="G258" i="1" s="1"/>
  <c r="K258" i="1" s="1"/>
  <c r="L258" i="1" s="1"/>
  <c r="M258" i="1" s="1"/>
  <c r="R258" i="1" s="1"/>
  <c r="J257" i="1"/>
  <c r="K257" i="1" s="1"/>
  <c r="L257" i="1" s="1"/>
  <c r="M257" i="1" s="1"/>
  <c r="G257" i="1"/>
  <c r="F257" i="1"/>
  <c r="J256" i="1"/>
  <c r="K256" i="1" s="1"/>
  <c r="L256" i="1" s="1"/>
  <c r="M256" i="1" s="1"/>
  <c r="G256" i="1"/>
  <c r="F256" i="1"/>
  <c r="J255" i="1"/>
  <c r="G255" i="1"/>
  <c r="F255" i="1"/>
  <c r="J254" i="1"/>
  <c r="K254" i="1" s="1"/>
  <c r="L254" i="1" s="1"/>
  <c r="M254" i="1" s="1"/>
  <c r="R254" i="1" s="1"/>
  <c r="G254" i="1"/>
  <c r="F254" i="1"/>
  <c r="J253" i="1"/>
  <c r="F253" i="1"/>
  <c r="G253" i="1" s="1"/>
  <c r="K253" i="1" s="1"/>
  <c r="L253" i="1" s="1"/>
  <c r="M253" i="1" s="1"/>
  <c r="R253" i="1" s="1"/>
  <c r="J252" i="1"/>
  <c r="K252" i="1" s="1"/>
  <c r="L252" i="1" s="1"/>
  <c r="M252" i="1" s="1"/>
  <c r="G252" i="1"/>
  <c r="F252" i="1"/>
  <c r="J251" i="1"/>
  <c r="K251" i="1" s="1"/>
  <c r="L251" i="1" s="1"/>
  <c r="M251" i="1" s="1"/>
  <c r="G251" i="1"/>
  <c r="F251" i="1"/>
  <c r="J250" i="1"/>
  <c r="F250" i="1"/>
  <c r="G250" i="1" s="1"/>
  <c r="J249" i="1"/>
  <c r="G249" i="1"/>
  <c r="F249" i="1"/>
  <c r="J248" i="1"/>
  <c r="K248" i="1" s="1"/>
  <c r="L248" i="1" s="1"/>
  <c r="M248" i="1" s="1"/>
  <c r="G248" i="1"/>
  <c r="F248" i="1"/>
  <c r="K247" i="1"/>
  <c r="L247" i="1" s="1"/>
  <c r="M247" i="1" s="1"/>
  <c r="J247" i="1"/>
  <c r="F247" i="1"/>
  <c r="G247" i="1" s="1"/>
  <c r="J246" i="1"/>
  <c r="G246" i="1"/>
  <c r="F246" i="1"/>
  <c r="J245" i="1"/>
  <c r="K245" i="1" s="1"/>
  <c r="L245" i="1" s="1"/>
  <c r="M245" i="1" s="1"/>
  <c r="F245" i="1"/>
  <c r="G245" i="1" s="1"/>
  <c r="J244" i="1"/>
  <c r="F244" i="1"/>
  <c r="G244" i="1" s="1"/>
  <c r="J243" i="1"/>
  <c r="F243" i="1"/>
  <c r="G243" i="1" s="1"/>
  <c r="M242" i="1"/>
  <c r="J242" i="1"/>
  <c r="K242" i="1" s="1"/>
  <c r="L242" i="1" s="1"/>
  <c r="G242" i="1"/>
  <c r="F242" i="1"/>
  <c r="J241" i="1"/>
  <c r="F241" i="1"/>
  <c r="G241" i="1" s="1"/>
  <c r="K240" i="1"/>
  <c r="L240" i="1" s="1"/>
  <c r="M240" i="1" s="1"/>
  <c r="J240" i="1"/>
  <c r="G240" i="1"/>
  <c r="F240" i="1"/>
  <c r="J239" i="1"/>
  <c r="F239" i="1"/>
  <c r="G239" i="1" s="1"/>
  <c r="J238" i="1"/>
  <c r="K238" i="1" s="1"/>
  <c r="L238" i="1" s="1"/>
  <c r="M238" i="1" s="1"/>
  <c r="G238" i="1"/>
  <c r="F238" i="1"/>
  <c r="J237" i="1"/>
  <c r="G237" i="1"/>
  <c r="F237" i="1"/>
  <c r="J236" i="1"/>
  <c r="G236" i="1"/>
  <c r="F236" i="1"/>
  <c r="J235" i="1"/>
  <c r="F235" i="1"/>
  <c r="G235" i="1" s="1"/>
  <c r="J234" i="1"/>
  <c r="K234" i="1" s="1"/>
  <c r="L234" i="1" s="1"/>
  <c r="M234" i="1" s="1"/>
  <c r="G234" i="1"/>
  <c r="F234" i="1"/>
  <c r="J233" i="1"/>
  <c r="F233" i="1"/>
  <c r="G233" i="1" s="1"/>
  <c r="J232" i="1"/>
  <c r="K232" i="1" s="1"/>
  <c r="L232" i="1" s="1"/>
  <c r="M232" i="1" s="1"/>
  <c r="G232" i="1"/>
  <c r="F232" i="1"/>
  <c r="J231" i="1"/>
  <c r="G231" i="1"/>
  <c r="F231" i="1"/>
  <c r="J230" i="1"/>
  <c r="G230" i="1"/>
  <c r="F230" i="1"/>
  <c r="K229" i="1"/>
  <c r="L229" i="1" s="1"/>
  <c r="M229" i="1" s="1"/>
  <c r="J229" i="1"/>
  <c r="F229" i="1"/>
  <c r="G229" i="1" s="1"/>
  <c r="J228" i="1"/>
  <c r="K228" i="1" s="1"/>
  <c r="L228" i="1" s="1"/>
  <c r="M228" i="1" s="1"/>
  <c r="G228" i="1"/>
  <c r="F228" i="1"/>
  <c r="J227" i="1"/>
  <c r="K227" i="1" s="1"/>
  <c r="L227" i="1" s="1"/>
  <c r="M227" i="1" s="1"/>
  <c r="G227" i="1"/>
  <c r="F227" i="1"/>
  <c r="J226" i="1"/>
  <c r="K226" i="1" s="1"/>
  <c r="L226" i="1" s="1"/>
  <c r="M226" i="1" s="1"/>
  <c r="F226" i="1"/>
  <c r="G226" i="1" s="1"/>
  <c r="J225" i="1"/>
  <c r="F225" i="1"/>
  <c r="G225" i="1" s="1"/>
  <c r="J224" i="1"/>
  <c r="F224" i="1"/>
  <c r="G224" i="1" s="1"/>
  <c r="J223" i="1"/>
  <c r="F223" i="1"/>
  <c r="G223" i="1" s="1"/>
  <c r="K223" i="1" s="1"/>
  <c r="L223" i="1" s="1"/>
  <c r="M223" i="1" s="1"/>
  <c r="J222" i="1"/>
  <c r="K222" i="1" s="1"/>
  <c r="L222" i="1" s="1"/>
  <c r="M222" i="1" s="1"/>
  <c r="G222" i="1"/>
  <c r="F222" i="1"/>
  <c r="J221" i="1"/>
  <c r="F221" i="1"/>
  <c r="G221" i="1" s="1"/>
  <c r="J220" i="1"/>
  <c r="K220" i="1" s="1"/>
  <c r="L220" i="1" s="1"/>
  <c r="M220" i="1" s="1"/>
  <c r="G220" i="1"/>
  <c r="F220" i="1"/>
  <c r="J219" i="1"/>
  <c r="F219" i="1"/>
  <c r="G219" i="1" s="1"/>
  <c r="J218" i="1"/>
  <c r="F218" i="1"/>
  <c r="G218" i="1" s="1"/>
  <c r="K217" i="1"/>
  <c r="L217" i="1" s="1"/>
  <c r="M217" i="1" s="1"/>
  <c r="J217" i="1"/>
  <c r="F217" i="1"/>
  <c r="G217" i="1" s="1"/>
  <c r="J216" i="1"/>
  <c r="G216" i="1"/>
  <c r="K216" i="1" s="1"/>
  <c r="L216" i="1" s="1"/>
  <c r="M216" i="1" s="1"/>
  <c r="F216" i="1"/>
  <c r="J215" i="1"/>
  <c r="F215" i="1"/>
  <c r="G215" i="1" s="1"/>
  <c r="J214" i="1"/>
  <c r="G214" i="1"/>
  <c r="F214" i="1"/>
  <c r="J213" i="1"/>
  <c r="K213" i="1" s="1"/>
  <c r="L213" i="1" s="1"/>
  <c r="M213" i="1" s="1"/>
  <c r="G213" i="1"/>
  <c r="F213" i="1"/>
  <c r="J212" i="1"/>
  <c r="G212" i="1"/>
  <c r="F212" i="1"/>
  <c r="K211" i="1"/>
  <c r="L211" i="1" s="1"/>
  <c r="M211" i="1" s="1"/>
  <c r="J211" i="1"/>
  <c r="F211" i="1"/>
  <c r="G211" i="1" s="1"/>
  <c r="J210" i="1"/>
  <c r="K210" i="1" s="1"/>
  <c r="L210" i="1" s="1"/>
  <c r="M210" i="1" s="1"/>
  <c r="G210" i="1"/>
  <c r="F210" i="1"/>
  <c r="J209" i="1"/>
  <c r="K209" i="1" s="1"/>
  <c r="L209" i="1" s="1"/>
  <c r="M209" i="1" s="1"/>
  <c r="G209" i="1"/>
  <c r="F209" i="1"/>
  <c r="L208" i="1"/>
  <c r="M208" i="1" s="1"/>
  <c r="J208" i="1"/>
  <c r="K208" i="1" s="1"/>
  <c r="G208" i="1"/>
  <c r="F208" i="1"/>
  <c r="J207" i="1"/>
  <c r="F207" i="1"/>
  <c r="G207" i="1" s="1"/>
  <c r="J206" i="1"/>
  <c r="K206" i="1" s="1"/>
  <c r="L206" i="1" s="1"/>
  <c r="M206" i="1" s="1"/>
  <c r="G206" i="1"/>
  <c r="F206" i="1"/>
  <c r="J205" i="1"/>
  <c r="F205" i="1"/>
  <c r="G205" i="1" s="1"/>
  <c r="K205" i="1" s="1"/>
  <c r="L205" i="1" s="1"/>
  <c r="M205" i="1" s="1"/>
  <c r="K204" i="1"/>
  <c r="L204" i="1" s="1"/>
  <c r="M204" i="1" s="1"/>
  <c r="R204" i="1" s="1"/>
  <c r="J204" i="1"/>
  <c r="G204" i="1"/>
  <c r="F204" i="1"/>
  <c r="J203" i="1"/>
  <c r="F203" i="1"/>
  <c r="G203" i="1" s="1"/>
  <c r="J202" i="1"/>
  <c r="F202" i="1"/>
  <c r="G202" i="1" s="1"/>
  <c r="J201" i="1"/>
  <c r="K201" i="1" s="1"/>
  <c r="L201" i="1" s="1"/>
  <c r="M201" i="1" s="1"/>
  <c r="F201" i="1"/>
  <c r="G201" i="1" s="1"/>
  <c r="J200" i="1"/>
  <c r="G200" i="1"/>
  <c r="F200" i="1"/>
  <c r="J199" i="1"/>
  <c r="F199" i="1"/>
  <c r="G199" i="1" s="1"/>
  <c r="J198" i="1"/>
  <c r="K198" i="1" s="1"/>
  <c r="L198" i="1" s="1"/>
  <c r="M198" i="1" s="1"/>
  <c r="G198" i="1"/>
  <c r="F198" i="1"/>
  <c r="J197" i="1"/>
  <c r="K197" i="1" s="1"/>
  <c r="L197" i="1" s="1"/>
  <c r="M197" i="1" s="1"/>
  <c r="F197" i="1"/>
  <c r="G197" i="1" s="1"/>
  <c r="J196" i="1"/>
  <c r="K196" i="1" s="1"/>
  <c r="L196" i="1" s="1"/>
  <c r="M196" i="1" s="1"/>
  <c r="F196" i="1"/>
  <c r="G196" i="1" s="1"/>
  <c r="J195" i="1"/>
  <c r="F195" i="1"/>
  <c r="G195" i="1" s="1"/>
  <c r="J194" i="1"/>
  <c r="F194" i="1"/>
  <c r="G194" i="1" s="1"/>
  <c r="J193" i="1"/>
  <c r="F193" i="1"/>
  <c r="G193" i="1" s="1"/>
  <c r="K193" i="1" s="1"/>
  <c r="L193" i="1" s="1"/>
  <c r="M193" i="1" s="1"/>
  <c r="J192" i="1"/>
  <c r="G192" i="1"/>
  <c r="F192" i="1"/>
  <c r="J191" i="1"/>
  <c r="F191" i="1"/>
  <c r="G191" i="1" s="1"/>
  <c r="J190" i="1"/>
  <c r="K190" i="1" s="1"/>
  <c r="L190" i="1" s="1"/>
  <c r="M190" i="1" s="1"/>
  <c r="G190" i="1"/>
  <c r="F190" i="1"/>
  <c r="J189" i="1"/>
  <c r="F189" i="1"/>
  <c r="G189" i="1" s="1"/>
  <c r="K188" i="1"/>
  <c r="L188" i="1" s="1"/>
  <c r="M188" i="1" s="1"/>
  <c r="J188" i="1"/>
  <c r="F188" i="1"/>
  <c r="G188" i="1" s="1"/>
  <c r="J187" i="1"/>
  <c r="F187" i="1"/>
  <c r="G187" i="1" s="1"/>
  <c r="J186" i="1"/>
  <c r="G186" i="1"/>
  <c r="F186" i="1"/>
  <c r="J185" i="1"/>
  <c r="K185" i="1" s="1"/>
  <c r="L185" i="1" s="1"/>
  <c r="M185" i="1" s="1"/>
  <c r="G185" i="1"/>
  <c r="F185" i="1"/>
  <c r="J184" i="1"/>
  <c r="F184" i="1"/>
  <c r="G184" i="1" s="1"/>
  <c r="K184" i="1" s="1"/>
  <c r="L184" i="1" s="1"/>
  <c r="M184" i="1" s="1"/>
  <c r="M183" i="1"/>
  <c r="L183" i="1"/>
  <c r="J183" i="1"/>
  <c r="K183" i="1" s="1"/>
  <c r="G183" i="1"/>
  <c r="F183" i="1"/>
  <c r="K182" i="1"/>
  <c r="L182" i="1" s="1"/>
  <c r="M182" i="1" s="1"/>
  <c r="J182" i="1"/>
  <c r="F182" i="1"/>
  <c r="G182" i="1" s="1"/>
  <c r="J181" i="1"/>
  <c r="G181" i="1"/>
  <c r="F181" i="1"/>
  <c r="J180" i="1"/>
  <c r="F180" i="1"/>
  <c r="G180" i="1" s="1"/>
  <c r="J179" i="1"/>
  <c r="K179" i="1" s="1"/>
  <c r="L179" i="1" s="1"/>
  <c r="M179" i="1" s="1"/>
  <c r="G179" i="1"/>
  <c r="F179" i="1"/>
  <c r="J178" i="1"/>
  <c r="F178" i="1"/>
  <c r="G178" i="1" s="1"/>
  <c r="K178" i="1" s="1"/>
  <c r="L178" i="1" s="1"/>
  <c r="M178" i="1" s="1"/>
  <c r="L177" i="1"/>
  <c r="M177" i="1" s="1"/>
  <c r="J177" i="1"/>
  <c r="K177" i="1" s="1"/>
  <c r="G177" i="1"/>
  <c r="F177" i="1"/>
  <c r="J176" i="1"/>
  <c r="F176" i="1"/>
  <c r="G176" i="1" s="1"/>
  <c r="J175" i="1"/>
  <c r="F175" i="1"/>
  <c r="G175" i="1" s="1"/>
  <c r="J174" i="1"/>
  <c r="F174" i="1"/>
  <c r="G174" i="1" s="1"/>
  <c r="J173" i="1"/>
  <c r="K173" i="1" s="1"/>
  <c r="L173" i="1" s="1"/>
  <c r="M173" i="1" s="1"/>
  <c r="G173" i="1"/>
  <c r="F173" i="1"/>
  <c r="J172" i="1"/>
  <c r="F172" i="1"/>
  <c r="G172" i="1" s="1"/>
  <c r="K172" i="1" s="1"/>
  <c r="L172" i="1" s="1"/>
  <c r="M172" i="1" s="1"/>
  <c r="M171" i="1"/>
  <c r="L171" i="1"/>
  <c r="J171" i="1"/>
  <c r="K171" i="1" s="1"/>
  <c r="G171" i="1"/>
  <c r="F171" i="1"/>
  <c r="J170" i="1"/>
  <c r="K170" i="1" s="1"/>
  <c r="L170" i="1" s="1"/>
  <c r="M170" i="1" s="1"/>
  <c r="F170" i="1"/>
  <c r="G170" i="1" s="1"/>
  <c r="J169" i="1"/>
  <c r="F169" i="1"/>
  <c r="G169" i="1" s="1"/>
  <c r="J168" i="1"/>
  <c r="F168" i="1"/>
  <c r="G168" i="1" s="1"/>
  <c r="J167" i="1"/>
  <c r="K167" i="1" s="1"/>
  <c r="L167" i="1" s="1"/>
  <c r="M167" i="1" s="1"/>
  <c r="G167" i="1"/>
  <c r="F167" i="1"/>
  <c r="J166" i="1"/>
  <c r="F166" i="1"/>
  <c r="G166" i="1" s="1"/>
  <c r="K166" i="1" s="1"/>
  <c r="L166" i="1" s="1"/>
  <c r="M166" i="1" s="1"/>
  <c r="J165" i="1"/>
  <c r="K165" i="1" s="1"/>
  <c r="L165" i="1" s="1"/>
  <c r="M165" i="1" s="1"/>
  <c r="G165" i="1"/>
  <c r="F165" i="1"/>
  <c r="L164" i="1"/>
  <c r="M164" i="1" s="1"/>
  <c r="K164" i="1"/>
  <c r="J164" i="1"/>
  <c r="F164" i="1"/>
  <c r="G164" i="1" s="1"/>
  <c r="J163" i="1"/>
  <c r="K163" i="1" s="1"/>
  <c r="L163" i="1" s="1"/>
  <c r="M163" i="1" s="1"/>
  <c r="G163" i="1"/>
  <c r="F163" i="1"/>
  <c r="J162" i="1"/>
  <c r="G162" i="1"/>
  <c r="F162" i="1"/>
  <c r="J161" i="1"/>
  <c r="K161" i="1" s="1"/>
  <c r="L161" i="1" s="1"/>
  <c r="M161" i="1" s="1"/>
  <c r="G161" i="1"/>
  <c r="F161" i="1"/>
  <c r="J160" i="1"/>
  <c r="K160" i="1" s="1"/>
  <c r="L160" i="1" s="1"/>
  <c r="M160" i="1" s="1"/>
  <c r="F160" i="1"/>
  <c r="G160" i="1" s="1"/>
  <c r="J159" i="1"/>
  <c r="K159" i="1" s="1"/>
  <c r="L159" i="1" s="1"/>
  <c r="M159" i="1" s="1"/>
  <c r="F159" i="1"/>
  <c r="G159" i="1" s="1"/>
  <c r="K158" i="1"/>
  <c r="L158" i="1" s="1"/>
  <c r="M158" i="1" s="1"/>
  <c r="J158" i="1"/>
  <c r="F158" i="1"/>
  <c r="G158" i="1" s="1"/>
  <c r="J157" i="1"/>
  <c r="K157" i="1" s="1"/>
  <c r="L157" i="1" s="1"/>
  <c r="M157" i="1" s="1"/>
  <c r="G157" i="1"/>
  <c r="F157" i="1"/>
  <c r="J156" i="1"/>
  <c r="G156" i="1"/>
  <c r="F156" i="1"/>
  <c r="J155" i="1"/>
  <c r="K155" i="1" s="1"/>
  <c r="L155" i="1" s="1"/>
  <c r="M155" i="1" s="1"/>
  <c r="G155" i="1"/>
  <c r="F155" i="1"/>
  <c r="J154" i="1"/>
  <c r="F154" i="1"/>
  <c r="G154" i="1" s="1"/>
  <c r="J153" i="1"/>
  <c r="F153" i="1"/>
  <c r="G153" i="1" s="1"/>
  <c r="J152" i="1"/>
  <c r="K152" i="1" s="1"/>
  <c r="L152" i="1" s="1"/>
  <c r="M152" i="1" s="1"/>
  <c r="F152" i="1"/>
  <c r="G152" i="1" s="1"/>
  <c r="J151" i="1"/>
  <c r="F151" i="1"/>
  <c r="G151" i="1" s="1"/>
  <c r="J150" i="1"/>
  <c r="F150" i="1"/>
  <c r="G150" i="1" s="1"/>
  <c r="J149" i="1"/>
  <c r="K149" i="1" s="1"/>
  <c r="L149" i="1" s="1"/>
  <c r="M149" i="1" s="1"/>
  <c r="G149" i="1"/>
  <c r="F149" i="1"/>
  <c r="J148" i="1"/>
  <c r="F148" i="1"/>
  <c r="G148" i="1" s="1"/>
  <c r="J147" i="1"/>
  <c r="F147" i="1"/>
  <c r="G147" i="1" s="1"/>
  <c r="J146" i="1"/>
  <c r="K146" i="1" s="1"/>
  <c r="L146" i="1" s="1"/>
  <c r="M146" i="1" s="1"/>
  <c r="F146" i="1"/>
  <c r="G146" i="1" s="1"/>
  <c r="J145" i="1"/>
  <c r="F145" i="1"/>
  <c r="G145" i="1" s="1"/>
  <c r="J144" i="1"/>
  <c r="F144" i="1"/>
  <c r="G144" i="1" s="1"/>
  <c r="J143" i="1"/>
  <c r="G143" i="1"/>
  <c r="F143" i="1"/>
  <c r="J142" i="1"/>
  <c r="F142" i="1"/>
  <c r="G142" i="1" s="1"/>
  <c r="J141" i="1"/>
  <c r="F141" i="1"/>
  <c r="G141" i="1" s="1"/>
  <c r="J140" i="1"/>
  <c r="K140" i="1" s="1"/>
  <c r="L140" i="1" s="1"/>
  <c r="M140" i="1" s="1"/>
  <c r="F140" i="1"/>
  <c r="G140" i="1" s="1"/>
  <c r="J139" i="1"/>
  <c r="K139" i="1" s="1"/>
  <c r="L139" i="1" s="1"/>
  <c r="M139" i="1" s="1"/>
  <c r="G139" i="1"/>
  <c r="F139" i="1"/>
  <c r="J138" i="1"/>
  <c r="F138" i="1"/>
  <c r="G138" i="1" s="1"/>
  <c r="J137" i="1"/>
  <c r="G137" i="1"/>
  <c r="F137" i="1"/>
  <c r="J136" i="1"/>
  <c r="K136" i="1" s="1"/>
  <c r="L136" i="1" s="1"/>
  <c r="M136" i="1" s="1"/>
  <c r="F136" i="1"/>
  <c r="G136" i="1" s="1"/>
  <c r="J135" i="1"/>
  <c r="F135" i="1"/>
  <c r="G135" i="1" s="1"/>
  <c r="J134" i="1"/>
  <c r="K134" i="1" s="1"/>
  <c r="L134" i="1" s="1"/>
  <c r="M134" i="1" s="1"/>
  <c r="R134" i="1" s="1"/>
  <c r="F134" i="1"/>
  <c r="G134" i="1" s="1"/>
  <c r="J133" i="1"/>
  <c r="K133" i="1" s="1"/>
  <c r="L133" i="1" s="1"/>
  <c r="M133" i="1" s="1"/>
  <c r="G133" i="1"/>
  <c r="F133" i="1"/>
  <c r="J132" i="1"/>
  <c r="K132" i="1" s="1"/>
  <c r="L132" i="1" s="1"/>
  <c r="M132" i="1" s="1"/>
  <c r="G132" i="1"/>
  <c r="F132" i="1"/>
  <c r="J131" i="1"/>
  <c r="G131" i="1"/>
  <c r="F131" i="1"/>
  <c r="J130" i="1"/>
  <c r="F130" i="1"/>
  <c r="G130" i="1" s="1"/>
  <c r="J129" i="1"/>
  <c r="F129" i="1"/>
  <c r="G129" i="1" s="1"/>
  <c r="J128" i="1"/>
  <c r="K128" i="1" s="1"/>
  <c r="L128" i="1" s="1"/>
  <c r="M128" i="1" s="1"/>
  <c r="F128" i="1"/>
  <c r="G128" i="1" s="1"/>
  <c r="J127" i="1"/>
  <c r="F127" i="1"/>
  <c r="G127" i="1" s="1"/>
  <c r="J126" i="1"/>
  <c r="F126" i="1"/>
  <c r="G126" i="1" s="1"/>
  <c r="J125" i="1"/>
  <c r="F125" i="1"/>
  <c r="G125" i="1" s="1"/>
  <c r="J124" i="1"/>
  <c r="F124" i="1"/>
  <c r="G124" i="1" s="1"/>
  <c r="J123" i="1"/>
  <c r="F123" i="1"/>
  <c r="G123" i="1" s="1"/>
  <c r="L122" i="1"/>
  <c r="M122" i="1" s="1"/>
  <c r="K122" i="1"/>
  <c r="J122" i="1"/>
  <c r="F122" i="1"/>
  <c r="G122" i="1" s="1"/>
  <c r="J121" i="1"/>
  <c r="F121" i="1"/>
  <c r="G121" i="1" s="1"/>
  <c r="L120" i="1"/>
  <c r="M120" i="1" s="1"/>
  <c r="K120" i="1"/>
  <c r="J120" i="1"/>
  <c r="G120" i="1"/>
  <c r="F120" i="1"/>
  <c r="J119" i="1"/>
  <c r="K119" i="1" s="1"/>
  <c r="L119" i="1" s="1"/>
  <c r="M119" i="1" s="1"/>
  <c r="G119" i="1"/>
  <c r="F119" i="1"/>
  <c r="J118" i="1"/>
  <c r="F118" i="1"/>
  <c r="G118" i="1" s="1"/>
  <c r="J117" i="1"/>
  <c r="F117" i="1"/>
  <c r="G117" i="1" s="1"/>
  <c r="J116" i="1"/>
  <c r="K116" i="1" s="1"/>
  <c r="L116" i="1" s="1"/>
  <c r="M116" i="1" s="1"/>
  <c r="F116" i="1"/>
  <c r="G116" i="1" s="1"/>
  <c r="J115" i="1"/>
  <c r="F115" i="1"/>
  <c r="G115" i="1" s="1"/>
  <c r="J114" i="1"/>
  <c r="K114" i="1" s="1"/>
  <c r="L114" i="1" s="1"/>
  <c r="M114" i="1" s="1"/>
  <c r="G114" i="1"/>
  <c r="F114" i="1"/>
  <c r="J113" i="1"/>
  <c r="K113" i="1" s="1"/>
  <c r="L113" i="1" s="1"/>
  <c r="M113" i="1" s="1"/>
  <c r="G113" i="1"/>
  <c r="F113" i="1"/>
  <c r="J112" i="1"/>
  <c r="K112" i="1" s="1"/>
  <c r="L112" i="1" s="1"/>
  <c r="M112" i="1" s="1"/>
  <c r="F112" i="1"/>
  <c r="G112" i="1" s="1"/>
  <c r="J111" i="1"/>
  <c r="K111" i="1" s="1"/>
  <c r="L111" i="1" s="1"/>
  <c r="M111" i="1" s="1"/>
  <c r="F111" i="1"/>
  <c r="G111" i="1" s="1"/>
  <c r="J110" i="1"/>
  <c r="F110" i="1"/>
  <c r="G110" i="1" s="1"/>
  <c r="J109" i="1"/>
  <c r="K109" i="1" s="1"/>
  <c r="L109" i="1" s="1"/>
  <c r="M109" i="1" s="1"/>
  <c r="G109" i="1"/>
  <c r="F109" i="1"/>
  <c r="J108" i="1"/>
  <c r="K108" i="1" s="1"/>
  <c r="L108" i="1" s="1"/>
  <c r="M108" i="1" s="1"/>
  <c r="G108" i="1"/>
  <c r="F108" i="1"/>
  <c r="J107" i="1"/>
  <c r="F107" i="1"/>
  <c r="G107" i="1" s="1"/>
  <c r="J106" i="1"/>
  <c r="K106" i="1" s="1"/>
  <c r="L106" i="1" s="1"/>
  <c r="M106" i="1" s="1"/>
  <c r="R106" i="1" s="1"/>
  <c r="F106" i="1"/>
  <c r="G106" i="1" s="1"/>
  <c r="L105" i="1"/>
  <c r="M105" i="1" s="1"/>
  <c r="J105" i="1"/>
  <c r="K105" i="1" s="1"/>
  <c r="F105" i="1"/>
  <c r="G105" i="1" s="1"/>
  <c r="J104" i="1"/>
  <c r="F104" i="1"/>
  <c r="G104" i="1" s="1"/>
  <c r="K104" i="1" s="1"/>
  <c r="L104" i="1" s="1"/>
  <c r="M104" i="1" s="1"/>
  <c r="J103" i="1"/>
  <c r="G103" i="1"/>
  <c r="F103" i="1"/>
  <c r="J102" i="1"/>
  <c r="F102" i="1"/>
  <c r="G102" i="1" s="1"/>
  <c r="J101" i="1"/>
  <c r="F101" i="1"/>
  <c r="G101" i="1" s="1"/>
  <c r="J100" i="1"/>
  <c r="F100" i="1"/>
  <c r="G100" i="1" s="1"/>
  <c r="L99" i="1"/>
  <c r="M99" i="1" s="1"/>
  <c r="R99" i="1" s="1"/>
  <c r="J99" i="1"/>
  <c r="K99" i="1" s="1"/>
  <c r="F99" i="1"/>
  <c r="G99" i="1" s="1"/>
  <c r="J98" i="1"/>
  <c r="F98" i="1"/>
  <c r="G98" i="1" s="1"/>
  <c r="J97" i="1"/>
  <c r="F97" i="1"/>
  <c r="G97" i="1" s="1"/>
  <c r="J96" i="1"/>
  <c r="F96" i="1"/>
  <c r="G96" i="1" s="1"/>
  <c r="J95" i="1"/>
  <c r="F95" i="1"/>
  <c r="G95" i="1" s="1"/>
  <c r="J94" i="1"/>
  <c r="F94" i="1"/>
  <c r="G94" i="1" s="1"/>
  <c r="J93" i="1"/>
  <c r="K93" i="1" s="1"/>
  <c r="L93" i="1" s="1"/>
  <c r="M93" i="1" s="1"/>
  <c r="F93" i="1"/>
  <c r="G93" i="1" s="1"/>
  <c r="M92" i="1"/>
  <c r="J92" i="1"/>
  <c r="K92" i="1" s="1"/>
  <c r="L92" i="1" s="1"/>
  <c r="F92" i="1"/>
  <c r="G92" i="1" s="1"/>
  <c r="J91" i="1"/>
  <c r="K91" i="1" s="1"/>
  <c r="L91" i="1" s="1"/>
  <c r="M91" i="1" s="1"/>
  <c r="F91" i="1"/>
  <c r="G91" i="1" s="1"/>
  <c r="J90" i="1"/>
  <c r="K90" i="1" s="1"/>
  <c r="L90" i="1" s="1"/>
  <c r="M90" i="1" s="1"/>
  <c r="F90" i="1"/>
  <c r="G90" i="1" s="1"/>
  <c r="J89" i="1"/>
  <c r="G89" i="1"/>
  <c r="F89" i="1"/>
  <c r="J88" i="1"/>
  <c r="F88" i="1"/>
  <c r="G88" i="1" s="1"/>
  <c r="J87" i="1"/>
  <c r="F87" i="1"/>
  <c r="G87" i="1" s="1"/>
  <c r="J86" i="1"/>
  <c r="K86" i="1" s="1"/>
  <c r="L86" i="1" s="1"/>
  <c r="M86" i="1" s="1"/>
  <c r="F86" i="1"/>
  <c r="G86" i="1" s="1"/>
  <c r="J85" i="1"/>
  <c r="K85" i="1" s="1"/>
  <c r="L85" i="1" s="1"/>
  <c r="M85" i="1" s="1"/>
  <c r="F85" i="1"/>
  <c r="G85" i="1" s="1"/>
  <c r="J84" i="1"/>
  <c r="K84" i="1" s="1"/>
  <c r="L84" i="1" s="1"/>
  <c r="M84" i="1" s="1"/>
  <c r="G84" i="1"/>
  <c r="F84" i="1"/>
  <c r="J83" i="1"/>
  <c r="G83" i="1"/>
  <c r="F83" i="1"/>
  <c r="K82" i="1"/>
  <c r="L82" i="1" s="1"/>
  <c r="M82" i="1" s="1"/>
  <c r="J82" i="1"/>
  <c r="F82" i="1"/>
  <c r="G82" i="1" s="1"/>
  <c r="J81" i="1"/>
  <c r="F81" i="1"/>
  <c r="G81" i="1" s="1"/>
  <c r="J80" i="1"/>
  <c r="K80" i="1" s="1"/>
  <c r="L80" i="1" s="1"/>
  <c r="M80" i="1" s="1"/>
  <c r="F80" i="1"/>
  <c r="G80" i="1" s="1"/>
  <c r="J79" i="1"/>
  <c r="F79" i="1"/>
  <c r="G79" i="1" s="1"/>
  <c r="J78" i="1"/>
  <c r="G78" i="1"/>
  <c r="F78" i="1"/>
  <c r="J77" i="1"/>
  <c r="G77" i="1"/>
  <c r="F77" i="1"/>
  <c r="J76" i="1"/>
  <c r="K76" i="1" s="1"/>
  <c r="L76" i="1" s="1"/>
  <c r="M76" i="1" s="1"/>
  <c r="F76" i="1"/>
  <c r="G76" i="1" s="1"/>
  <c r="J75" i="1"/>
  <c r="G75" i="1"/>
  <c r="F75" i="1"/>
  <c r="K74" i="1"/>
  <c r="L74" i="1" s="1"/>
  <c r="M74" i="1" s="1"/>
  <c r="J74" i="1"/>
  <c r="F74" i="1"/>
  <c r="G74" i="1" s="1"/>
  <c r="J73" i="1"/>
  <c r="F73" i="1"/>
  <c r="G73" i="1" s="1"/>
  <c r="J72" i="1"/>
  <c r="K72" i="1" s="1"/>
  <c r="L72" i="1" s="1"/>
  <c r="M72" i="1" s="1"/>
  <c r="G72" i="1"/>
  <c r="F72" i="1"/>
  <c r="J71" i="1"/>
  <c r="F71" i="1"/>
  <c r="G71" i="1" s="1"/>
  <c r="J70" i="1"/>
  <c r="K70" i="1" s="1"/>
  <c r="L70" i="1" s="1"/>
  <c r="M70" i="1" s="1"/>
  <c r="F70" i="1"/>
  <c r="G70" i="1" s="1"/>
  <c r="J69" i="1"/>
  <c r="F69" i="1"/>
  <c r="G69" i="1" s="1"/>
  <c r="J68" i="1"/>
  <c r="K68" i="1" s="1"/>
  <c r="L68" i="1" s="1"/>
  <c r="M68" i="1" s="1"/>
  <c r="F68" i="1"/>
  <c r="G68" i="1" s="1"/>
  <c r="J67" i="1"/>
  <c r="G67" i="1"/>
  <c r="F67" i="1"/>
  <c r="L66" i="1"/>
  <c r="M66" i="1" s="1"/>
  <c r="K66" i="1"/>
  <c r="J66" i="1"/>
  <c r="G66" i="1"/>
  <c r="F66" i="1"/>
  <c r="J65" i="1"/>
  <c r="G65" i="1"/>
  <c r="F65" i="1"/>
  <c r="J64" i="1"/>
  <c r="K64" i="1" s="1"/>
  <c r="L64" i="1" s="1"/>
  <c r="M64" i="1" s="1"/>
  <c r="F64" i="1"/>
  <c r="G64" i="1" s="1"/>
  <c r="J63" i="1"/>
  <c r="F63" i="1"/>
  <c r="G63" i="1" s="1"/>
  <c r="K62" i="1"/>
  <c r="L62" i="1" s="1"/>
  <c r="M62" i="1" s="1"/>
  <c r="J62" i="1"/>
  <c r="F62" i="1"/>
  <c r="G62" i="1" s="1"/>
  <c r="J61" i="1"/>
  <c r="F61" i="1"/>
  <c r="G61" i="1" s="1"/>
  <c r="J60" i="1"/>
  <c r="F60" i="1"/>
  <c r="G60" i="1" s="1"/>
  <c r="L59" i="1"/>
  <c r="M59" i="1" s="1"/>
  <c r="K59" i="1"/>
  <c r="J59" i="1"/>
  <c r="G59" i="1"/>
  <c r="F59" i="1"/>
  <c r="J58" i="1"/>
  <c r="G58" i="1"/>
  <c r="F58" i="1"/>
  <c r="J57" i="1"/>
  <c r="F57" i="1"/>
  <c r="G57" i="1" s="1"/>
  <c r="J56" i="1"/>
  <c r="F56" i="1"/>
  <c r="G56" i="1" s="1"/>
  <c r="M55" i="1"/>
  <c r="J55" i="1"/>
  <c r="K55" i="1" s="1"/>
  <c r="L55" i="1" s="1"/>
  <c r="F55" i="1"/>
  <c r="G55" i="1" s="1"/>
  <c r="J54" i="1"/>
  <c r="K54" i="1" s="1"/>
  <c r="L54" i="1" s="1"/>
  <c r="M54" i="1" s="1"/>
  <c r="G54" i="1"/>
  <c r="F54" i="1"/>
  <c r="J53" i="1"/>
  <c r="F53" i="1"/>
  <c r="G53" i="1" s="1"/>
  <c r="J52" i="1"/>
  <c r="G52" i="1"/>
  <c r="F52" i="1"/>
  <c r="J51" i="1"/>
  <c r="F51" i="1"/>
  <c r="G51" i="1" s="1"/>
  <c r="K50" i="1"/>
  <c r="L50" i="1" s="1"/>
  <c r="M50" i="1" s="1"/>
  <c r="J50" i="1"/>
  <c r="F50" i="1"/>
  <c r="G50" i="1" s="1"/>
  <c r="J49" i="1"/>
  <c r="K49" i="1" s="1"/>
  <c r="L49" i="1" s="1"/>
  <c r="M49" i="1" s="1"/>
  <c r="G49" i="1"/>
  <c r="F49" i="1"/>
  <c r="J48" i="1"/>
  <c r="K48" i="1" s="1"/>
  <c r="L48" i="1" s="1"/>
  <c r="M48" i="1" s="1"/>
  <c r="G48" i="1"/>
  <c r="F48" i="1"/>
  <c r="J47" i="1"/>
  <c r="F47" i="1"/>
  <c r="G47" i="1" s="1"/>
  <c r="K46" i="1"/>
  <c r="L46" i="1" s="1"/>
  <c r="M46" i="1" s="1"/>
  <c r="J46" i="1"/>
  <c r="F46" i="1"/>
  <c r="G46" i="1" s="1"/>
  <c r="J45" i="1"/>
  <c r="F45" i="1"/>
  <c r="G45" i="1" s="1"/>
  <c r="K44" i="1"/>
  <c r="L44" i="1" s="1"/>
  <c r="M44" i="1" s="1"/>
  <c r="J44" i="1"/>
  <c r="F44" i="1"/>
  <c r="G44" i="1" s="1"/>
  <c r="J43" i="1"/>
  <c r="F43" i="1"/>
  <c r="G43" i="1" s="1"/>
  <c r="L42" i="1"/>
  <c r="M42" i="1" s="1"/>
  <c r="K42" i="1"/>
  <c r="J42" i="1"/>
  <c r="G42" i="1"/>
  <c r="F42" i="1"/>
  <c r="K41" i="1"/>
  <c r="L41" i="1" s="1"/>
  <c r="M41" i="1" s="1"/>
  <c r="J41" i="1"/>
  <c r="G41" i="1"/>
  <c r="F41" i="1"/>
  <c r="K40" i="1"/>
  <c r="L40" i="1" s="1"/>
  <c r="M40" i="1" s="1"/>
  <c r="J40" i="1"/>
  <c r="F40" i="1"/>
  <c r="G40" i="1" s="1"/>
  <c r="J39" i="1"/>
  <c r="F39" i="1"/>
  <c r="G39" i="1" s="1"/>
  <c r="J38" i="1"/>
  <c r="K38" i="1" s="1"/>
  <c r="L38" i="1" s="1"/>
  <c r="M38" i="1" s="1"/>
  <c r="F38" i="1"/>
  <c r="G38" i="1" s="1"/>
  <c r="K37" i="1"/>
  <c r="L37" i="1" s="1"/>
  <c r="M37" i="1" s="1"/>
  <c r="J37" i="1"/>
  <c r="G37" i="1"/>
  <c r="F37" i="1"/>
  <c r="J36" i="1"/>
  <c r="G36" i="1"/>
  <c r="F36" i="1"/>
  <c r="J35" i="1"/>
  <c r="G35" i="1"/>
  <c r="F35" i="1"/>
  <c r="J34" i="1"/>
  <c r="F34" i="1"/>
  <c r="G34" i="1" s="1"/>
  <c r="J33" i="1"/>
  <c r="F33" i="1"/>
  <c r="G33" i="1" s="1"/>
  <c r="J32" i="1"/>
  <c r="K32" i="1" s="1"/>
  <c r="L32" i="1" s="1"/>
  <c r="M32" i="1" s="1"/>
  <c r="G32" i="1"/>
  <c r="F32" i="1"/>
  <c r="J31" i="1"/>
  <c r="F31" i="1"/>
  <c r="G31" i="1" s="1"/>
  <c r="J30" i="1"/>
  <c r="G30" i="1"/>
  <c r="F30" i="1"/>
  <c r="J29" i="1"/>
  <c r="F29" i="1"/>
  <c r="G29" i="1" s="1"/>
  <c r="J28" i="1"/>
  <c r="K28" i="1" s="1"/>
  <c r="L28" i="1" s="1"/>
  <c r="M28" i="1" s="1"/>
  <c r="F28" i="1"/>
  <c r="G28" i="1" s="1"/>
  <c r="J27" i="1"/>
  <c r="F27" i="1"/>
  <c r="G27" i="1" s="1"/>
  <c r="J26" i="1"/>
  <c r="G26" i="1"/>
  <c r="F26" i="1"/>
  <c r="J25" i="1"/>
  <c r="G25" i="1"/>
  <c r="F25" i="1"/>
  <c r="J24" i="1"/>
  <c r="K24" i="1" s="1"/>
  <c r="L24" i="1" s="1"/>
  <c r="M24" i="1" s="1"/>
  <c r="G24" i="1"/>
  <c r="F24" i="1"/>
  <c r="J23" i="1"/>
  <c r="F23" i="1"/>
  <c r="G23" i="1" s="1"/>
  <c r="J22" i="1"/>
  <c r="K22" i="1" s="1"/>
  <c r="L22" i="1" s="1"/>
  <c r="M22" i="1" s="1"/>
  <c r="F22" i="1"/>
  <c r="G22" i="1" s="1"/>
  <c r="J21" i="1"/>
  <c r="F21" i="1"/>
  <c r="G21" i="1" s="1"/>
  <c r="J20" i="1"/>
  <c r="F20" i="1"/>
  <c r="G20" i="1" s="1"/>
  <c r="J19" i="1"/>
  <c r="G19" i="1"/>
  <c r="F19" i="1"/>
  <c r="J18" i="1"/>
  <c r="F18" i="1"/>
  <c r="G18" i="1" s="1"/>
  <c r="J17" i="1"/>
  <c r="F17" i="1"/>
  <c r="G17" i="1" s="1"/>
  <c r="J16" i="1"/>
  <c r="F16" i="1"/>
  <c r="G16" i="1" s="1"/>
  <c r="J15" i="1"/>
  <c r="K15" i="1" s="1"/>
  <c r="L15" i="1" s="1"/>
  <c r="M15" i="1" s="1"/>
  <c r="F15" i="1"/>
  <c r="G15" i="1" s="1"/>
  <c r="J14" i="1"/>
  <c r="F14" i="1"/>
  <c r="G14" i="1" s="1"/>
  <c r="J13" i="1"/>
  <c r="F13" i="1"/>
  <c r="G13" i="1" s="1"/>
  <c r="J12" i="1"/>
  <c r="G12" i="1"/>
  <c r="F12" i="1"/>
  <c r="R11" i="1"/>
  <c r="J11" i="1"/>
  <c r="K11" i="1" s="1"/>
  <c r="L11" i="1" s="1"/>
  <c r="M11" i="1" s="1"/>
  <c r="F11" i="1"/>
  <c r="G11" i="1" s="1"/>
  <c r="J10" i="1"/>
  <c r="K10" i="1" s="1"/>
  <c r="L10" i="1" s="1"/>
  <c r="M10" i="1" s="1"/>
  <c r="F10" i="1"/>
  <c r="G10" i="1" s="1"/>
  <c r="J9" i="1"/>
  <c r="K9" i="1" s="1"/>
  <c r="L9" i="1" s="1"/>
  <c r="M9" i="1" s="1"/>
  <c r="F9" i="1"/>
  <c r="G9" i="1" s="1"/>
  <c r="J8" i="1"/>
  <c r="K8" i="1" s="1"/>
  <c r="L8" i="1" s="1"/>
  <c r="M8" i="1" s="1"/>
  <c r="G8" i="1"/>
  <c r="F8" i="1"/>
  <c r="J7" i="1"/>
  <c r="G7" i="1"/>
  <c r="F7" i="1"/>
  <c r="J6" i="1"/>
  <c r="G6" i="1"/>
  <c r="F6" i="1"/>
  <c r="J5" i="1"/>
  <c r="F5" i="1"/>
  <c r="G5" i="1" s="1"/>
  <c r="J4" i="1"/>
  <c r="F4" i="1"/>
  <c r="G4" i="1" s="1"/>
  <c r="J3" i="1"/>
  <c r="K3" i="1" s="1"/>
  <c r="L3" i="1" s="1"/>
  <c r="M3" i="1" s="1"/>
  <c r="F3" i="1"/>
  <c r="G3" i="1" s="1"/>
  <c r="J2" i="1"/>
  <c r="K2" i="1" s="1"/>
  <c r="L2" i="1" s="1"/>
  <c r="M2" i="1" s="1"/>
  <c r="F2" i="1"/>
  <c r="G2" i="1" s="1"/>
  <c r="R8" i="1" l="1"/>
  <c r="R28" i="1"/>
  <c r="R42" i="1"/>
  <c r="R410" i="1"/>
  <c r="R15" i="1"/>
  <c r="R22" i="1"/>
  <c r="R104" i="1"/>
  <c r="R177" i="1"/>
  <c r="R242" i="1"/>
  <c r="R293" i="1"/>
  <c r="R306" i="1"/>
  <c r="R319" i="1"/>
  <c r="R327" i="1"/>
  <c r="R348" i="1"/>
  <c r="R387" i="1"/>
  <c r="R394" i="1"/>
  <c r="R432" i="1"/>
  <c r="R399" i="1"/>
  <c r="R456" i="1"/>
  <c r="R9" i="1"/>
  <c r="R122" i="1"/>
  <c r="R165" i="1"/>
  <c r="R263" i="1"/>
  <c r="R269" i="1"/>
  <c r="R279" i="1"/>
  <c r="R351" i="1"/>
  <c r="R413" i="1"/>
  <c r="R419" i="1"/>
  <c r="R32" i="1"/>
  <c r="R66" i="1"/>
  <c r="R84" i="1"/>
  <c r="R160" i="1"/>
  <c r="R171" i="1"/>
  <c r="R358" i="1"/>
  <c r="R425" i="1"/>
  <c r="R479" i="1"/>
  <c r="R493" i="1"/>
  <c r="R201" i="1"/>
  <c r="R38" i="1"/>
  <c r="R50" i="1"/>
  <c r="R55" i="1"/>
  <c r="R133" i="1"/>
  <c r="R136" i="1"/>
  <c r="R183" i="1"/>
  <c r="R193" i="1"/>
  <c r="R211" i="1"/>
  <c r="R223" i="1"/>
  <c r="R229" i="1"/>
  <c r="R411" i="1"/>
  <c r="R76" i="1"/>
  <c r="R82" i="1"/>
  <c r="R275" i="1"/>
  <c r="R283" i="1"/>
  <c r="R294" i="1"/>
  <c r="R361" i="1"/>
  <c r="R364" i="1"/>
  <c r="R382" i="1"/>
  <c r="R467" i="1"/>
  <c r="R431" i="1"/>
  <c r="R92" i="1"/>
  <c r="R140" i="1"/>
  <c r="R247" i="1"/>
  <c r="R273" i="1"/>
  <c r="R315" i="1"/>
  <c r="R323" i="1"/>
  <c r="R344" i="1"/>
  <c r="R449" i="1"/>
  <c r="R474" i="1"/>
  <c r="R465" i="1"/>
  <c r="R498" i="1"/>
  <c r="R37" i="1"/>
  <c r="R54" i="1"/>
  <c r="R59" i="1"/>
  <c r="R396" i="1"/>
  <c r="R10" i="1"/>
  <c r="K13" i="1"/>
  <c r="L13" i="1" s="1"/>
  <c r="M13" i="1" s="1"/>
  <c r="R13" i="1" s="1"/>
  <c r="K53" i="1"/>
  <c r="L53" i="1" s="1"/>
  <c r="M53" i="1" s="1"/>
  <c r="K20" i="1"/>
  <c r="L20" i="1" s="1"/>
  <c r="M20" i="1" s="1"/>
  <c r="K14" i="1"/>
  <c r="L14" i="1" s="1"/>
  <c r="M14" i="1" s="1"/>
  <c r="R14" i="1" s="1"/>
  <c r="K31" i="1"/>
  <c r="L31" i="1" s="1"/>
  <c r="M31" i="1" s="1"/>
  <c r="R31" i="1" s="1"/>
  <c r="R2" i="1"/>
  <c r="K150" i="1"/>
  <c r="L150" i="1" s="1"/>
  <c r="M150" i="1" s="1"/>
  <c r="R150" i="1" s="1"/>
  <c r="K47" i="1"/>
  <c r="L47" i="1" s="1"/>
  <c r="M47" i="1" s="1"/>
  <c r="K34" i="1"/>
  <c r="L34" i="1" s="1"/>
  <c r="M34" i="1" s="1"/>
  <c r="R34" i="1" s="1"/>
  <c r="K58" i="1"/>
  <c r="L58" i="1" s="1"/>
  <c r="M58" i="1" s="1"/>
  <c r="K60" i="1"/>
  <c r="L60" i="1" s="1"/>
  <c r="M60" i="1" s="1"/>
  <c r="K73" i="1"/>
  <c r="L73" i="1" s="1"/>
  <c r="M73" i="1" s="1"/>
  <c r="R91" i="1"/>
  <c r="K26" i="1"/>
  <c r="L26" i="1" s="1"/>
  <c r="M26" i="1" s="1"/>
  <c r="R26" i="1" s="1"/>
  <c r="K45" i="1"/>
  <c r="L45" i="1" s="1"/>
  <c r="M45" i="1" s="1"/>
  <c r="K144" i="1"/>
  <c r="L144" i="1" s="1"/>
  <c r="M144" i="1" s="1"/>
  <c r="K151" i="1"/>
  <c r="L151" i="1" s="1"/>
  <c r="M151" i="1" s="1"/>
  <c r="R151" i="1" s="1"/>
  <c r="K187" i="1"/>
  <c r="L187" i="1" s="1"/>
  <c r="M187" i="1" s="1"/>
  <c r="R187" i="1" s="1"/>
  <c r="K17" i="1"/>
  <c r="L17" i="1" s="1"/>
  <c r="M17" i="1" s="1"/>
  <c r="K30" i="1"/>
  <c r="L30" i="1" s="1"/>
  <c r="M30" i="1" s="1"/>
  <c r="K79" i="1"/>
  <c r="L79" i="1" s="1"/>
  <c r="M79" i="1" s="1"/>
  <c r="R111" i="1"/>
  <c r="R164" i="1"/>
  <c r="R70" i="1"/>
  <c r="K19" i="1"/>
  <c r="L19" i="1" s="1"/>
  <c r="M19" i="1" s="1"/>
  <c r="K21" i="1"/>
  <c r="L21" i="1" s="1"/>
  <c r="M21" i="1" s="1"/>
  <c r="K56" i="1"/>
  <c r="L56" i="1" s="1"/>
  <c r="M56" i="1" s="1"/>
  <c r="R56" i="1" s="1"/>
  <c r="R85" i="1"/>
  <c r="K126" i="1"/>
  <c r="L126" i="1" s="1"/>
  <c r="M126" i="1" s="1"/>
  <c r="K138" i="1"/>
  <c r="L138" i="1" s="1"/>
  <c r="M138" i="1" s="1"/>
  <c r="K145" i="1"/>
  <c r="L145" i="1" s="1"/>
  <c r="M145" i="1" s="1"/>
  <c r="K5" i="1"/>
  <c r="L5" i="1" s="1"/>
  <c r="M5" i="1" s="1"/>
  <c r="K12" i="1"/>
  <c r="L12" i="1" s="1"/>
  <c r="M12" i="1" s="1"/>
  <c r="R41" i="1"/>
  <c r="K43" i="1"/>
  <c r="L43" i="1" s="1"/>
  <c r="M43" i="1" s="1"/>
  <c r="R43" i="1" s="1"/>
  <c r="K52" i="1"/>
  <c r="L52" i="1" s="1"/>
  <c r="M52" i="1" s="1"/>
  <c r="K102" i="1"/>
  <c r="L102" i="1" s="1"/>
  <c r="M102" i="1" s="1"/>
  <c r="K156" i="1"/>
  <c r="L156" i="1" s="1"/>
  <c r="M156" i="1" s="1"/>
  <c r="K6" i="1"/>
  <c r="L6" i="1" s="1"/>
  <c r="M6" i="1" s="1"/>
  <c r="K78" i="1"/>
  <c r="L78" i="1" s="1"/>
  <c r="M78" i="1" s="1"/>
  <c r="K7" i="1"/>
  <c r="L7" i="1" s="1"/>
  <c r="M7" i="1" s="1"/>
  <c r="K61" i="1"/>
  <c r="L61" i="1" s="1"/>
  <c r="M61" i="1" s="1"/>
  <c r="R61" i="1" s="1"/>
  <c r="K127" i="1"/>
  <c r="L127" i="1" s="1"/>
  <c r="M127" i="1" s="1"/>
  <c r="R152" i="1"/>
  <c r="K16" i="1"/>
  <c r="L16" i="1" s="1"/>
  <c r="M16" i="1" s="1"/>
  <c r="R16" i="1" s="1"/>
  <c r="K23" i="1"/>
  <c r="L23" i="1" s="1"/>
  <c r="M23" i="1" s="1"/>
  <c r="K35" i="1"/>
  <c r="L35" i="1" s="1"/>
  <c r="M35" i="1" s="1"/>
  <c r="K121" i="1"/>
  <c r="L121" i="1" s="1"/>
  <c r="M121" i="1" s="1"/>
  <c r="K67" i="1"/>
  <c r="L67" i="1" s="1"/>
  <c r="M67" i="1" s="1"/>
  <c r="K110" i="1"/>
  <c r="L110" i="1" s="1"/>
  <c r="M110" i="1" s="1"/>
  <c r="K25" i="1"/>
  <c r="L25" i="1" s="1"/>
  <c r="M25" i="1" s="1"/>
  <c r="K27" i="1"/>
  <c r="L27" i="1" s="1"/>
  <c r="M27" i="1" s="1"/>
  <c r="R27" i="1" s="1"/>
  <c r="K33" i="1"/>
  <c r="L33" i="1" s="1"/>
  <c r="M33" i="1" s="1"/>
  <c r="R33" i="1" s="1"/>
  <c r="K96" i="1"/>
  <c r="L96" i="1" s="1"/>
  <c r="M96" i="1" s="1"/>
  <c r="K115" i="1"/>
  <c r="L115" i="1" s="1"/>
  <c r="M115" i="1" s="1"/>
  <c r="R115" i="1" s="1"/>
  <c r="R40" i="1"/>
  <c r="K4" i="1"/>
  <c r="L4" i="1" s="1"/>
  <c r="M4" i="1" s="1"/>
  <c r="R4" i="1" s="1"/>
  <c r="K29" i="1"/>
  <c r="L29" i="1" s="1"/>
  <c r="M29" i="1" s="1"/>
  <c r="R46" i="1"/>
  <c r="R72" i="1"/>
  <c r="K103" i="1"/>
  <c r="L103" i="1" s="1"/>
  <c r="M103" i="1" s="1"/>
  <c r="R103" i="1" s="1"/>
  <c r="K36" i="1"/>
  <c r="L36" i="1" s="1"/>
  <c r="M36" i="1" s="1"/>
  <c r="K18" i="1"/>
  <c r="L18" i="1" s="1"/>
  <c r="M18" i="1" s="1"/>
  <c r="R18" i="1" s="1"/>
  <c r="R62" i="1"/>
  <c r="R90" i="1"/>
  <c r="K97" i="1"/>
  <c r="L97" i="1" s="1"/>
  <c r="M97" i="1" s="1"/>
  <c r="R157" i="1"/>
  <c r="K75" i="1"/>
  <c r="L75" i="1" s="1"/>
  <c r="M75" i="1" s="1"/>
  <c r="K89" i="1"/>
  <c r="L89" i="1" s="1"/>
  <c r="M89" i="1" s="1"/>
  <c r="K94" i="1"/>
  <c r="L94" i="1" s="1"/>
  <c r="M94" i="1" s="1"/>
  <c r="K131" i="1"/>
  <c r="L131" i="1" s="1"/>
  <c r="M131" i="1" s="1"/>
  <c r="R146" i="1"/>
  <c r="K154" i="1"/>
  <c r="L154" i="1" s="1"/>
  <c r="M154" i="1" s="1"/>
  <c r="K181" i="1"/>
  <c r="L181" i="1" s="1"/>
  <c r="M181" i="1" s="1"/>
  <c r="R181" i="1" s="1"/>
  <c r="K191" i="1"/>
  <c r="L191" i="1" s="1"/>
  <c r="M191" i="1" s="1"/>
  <c r="K260" i="1"/>
  <c r="L260" i="1" s="1"/>
  <c r="M260" i="1" s="1"/>
  <c r="R260" i="1" s="1"/>
  <c r="K65" i="1"/>
  <c r="L65" i="1" s="1"/>
  <c r="M65" i="1" s="1"/>
  <c r="K81" i="1"/>
  <c r="L81" i="1" s="1"/>
  <c r="M81" i="1" s="1"/>
  <c r="K101" i="1"/>
  <c r="L101" i="1" s="1"/>
  <c r="M101" i="1" s="1"/>
  <c r="K117" i="1"/>
  <c r="L117" i="1" s="1"/>
  <c r="M117" i="1" s="1"/>
  <c r="R117" i="1" s="1"/>
  <c r="K124" i="1"/>
  <c r="L124" i="1" s="1"/>
  <c r="M124" i="1" s="1"/>
  <c r="K169" i="1"/>
  <c r="L169" i="1" s="1"/>
  <c r="M169" i="1" s="1"/>
  <c r="R169" i="1" s="1"/>
  <c r="K174" i="1"/>
  <c r="L174" i="1" s="1"/>
  <c r="M174" i="1" s="1"/>
  <c r="R174" i="1" s="1"/>
  <c r="K221" i="1"/>
  <c r="L221" i="1" s="1"/>
  <c r="M221" i="1" s="1"/>
  <c r="K243" i="1"/>
  <c r="L243" i="1" s="1"/>
  <c r="M243" i="1" s="1"/>
  <c r="K135" i="1"/>
  <c r="L135" i="1" s="1"/>
  <c r="M135" i="1" s="1"/>
  <c r="K142" i="1"/>
  <c r="L142" i="1" s="1"/>
  <c r="M142" i="1" s="1"/>
  <c r="R142" i="1" s="1"/>
  <c r="K148" i="1"/>
  <c r="L148" i="1" s="1"/>
  <c r="M148" i="1" s="1"/>
  <c r="R148" i="1" s="1"/>
  <c r="R182" i="1"/>
  <c r="K199" i="1"/>
  <c r="L199" i="1" s="1"/>
  <c r="M199" i="1" s="1"/>
  <c r="R216" i="1"/>
  <c r="K57" i="1"/>
  <c r="L57" i="1" s="1"/>
  <c r="M57" i="1" s="1"/>
  <c r="R57" i="1" s="1"/>
  <c r="K71" i="1"/>
  <c r="L71" i="1" s="1"/>
  <c r="M71" i="1" s="1"/>
  <c r="R71" i="1" s="1"/>
  <c r="K98" i="1"/>
  <c r="L98" i="1" s="1"/>
  <c r="M98" i="1" s="1"/>
  <c r="R114" i="1"/>
  <c r="R119" i="1"/>
  <c r="R170" i="1"/>
  <c r="K189" i="1"/>
  <c r="L189" i="1" s="1"/>
  <c r="M189" i="1" s="1"/>
  <c r="K202" i="1"/>
  <c r="L202" i="1" s="1"/>
  <c r="M202" i="1" s="1"/>
  <c r="R238" i="1"/>
  <c r="K241" i="1"/>
  <c r="L241" i="1" s="1"/>
  <c r="M241" i="1" s="1"/>
  <c r="K261" i="1"/>
  <c r="L261" i="1" s="1"/>
  <c r="M261" i="1" s="1"/>
  <c r="K267" i="1"/>
  <c r="L267" i="1" s="1"/>
  <c r="M267" i="1" s="1"/>
  <c r="R68" i="1"/>
  <c r="K77" i="1"/>
  <c r="L77" i="1" s="1"/>
  <c r="M77" i="1" s="1"/>
  <c r="K83" i="1"/>
  <c r="L83" i="1" s="1"/>
  <c r="M83" i="1" s="1"/>
  <c r="R86" i="1"/>
  <c r="K88" i="1"/>
  <c r="L88" i="1" s="1"/>
  <c r="M88" i="1" s="1"/>
  <c r="R112" i="1"/>
  <c r="K123" i="1"/>
  <c r="L123" i="1" s="1"/>
  <c r="M123" i="1" s="1"/>
  <c r="R128" i="1"/>
  <c r="K130" i="1"/>
  <c r="L130" i="1" s="1"/>
  <c r="M130" i="1" s="1"/>
  <c r="K137" i="1"/>
  <c r="L137" i="1" s="1"/>
  <c r="M137" i="1" s="1"/>
  <c r="K214" i="1"/>
  <c r="L214" i="1" s="1"/>
  <c r="M214" i="1" s="1"/>
  <c r="K219" i="1"/>
  <c r="L219" i="1" s="1"/>
  <c r="M219" i="1" s="1"/>
  <c r="R222" i="1"/>
  <c r="K244" i="1"/>
  <c r="L244" i="1" s="1"/>
  <c r="M244" i="1" s="1"/>
  <c r="K39" i="1"/>
  <c r="L39" i="1" s="1"/>
  <c r="M39" i="1" s="1"/>
  <c r="R39" i="1" s="1"/>
  <c r="K100" i="1"/>
  <c r="L100" i="1" s="1"/>
  <c r="M100" i="1" s="1"/>
  <c r="R105" i="1"/>
  <c r="K107" i="1"/>
  <c r="L107" i="1" s="1"/>
  <c r="M107" i="1" s="1"/>
  <c r="R107" i="1" s="1"/>
  <c r="K141" i="1"/>
  <c r="L141" i="1" s="1"/>
  <c r="M141" i="1" s="1"/>
  <c r="K153" i="1"/>
  <c r="L153" i="1" s="1"/>
  <c r="M153" i="1" s="1"/>
  <c r="R163" i="1"/>
  <c r="K175" i="1"/>
  <c r="L175" i="1" s="1"/>
  <c r="M175" i="1" s="1"/>
  <c r="K192" i="1"/>
  <c r="L192" i="1" s="1"/>
  <c r="M192" i="1" s="1"/>
  <c r="R192" i="1" s="1"/>
  <c r="R197" i="1"/>
  <c r="K207" i="1"/>
  <c r="L207" i="1" s="1"/>
  <c r="M207" i="1" s="1"/>
  <c r="K233" i="1"/>
  <c r="L233" i="1" s="1"/>
  <c r="M233" i="1" s="1"/>
  <c r="K262" i="1"/>
  <c r="L262" i="1" s="1"/>
  <c r="M262" i="1" s="1"/>
  <c r="R262" i="1" s="1"/>
  <c r="R64" i="1"/>
  <c r="R74" i="1"/>
  <c r="R93" i="1"/>
  <c r="K95" i="1"/>
  <c r="L95" i="1" s="1"/>
  <c r="M95" i="1" s="1"/>
  <c r="K147" i="1"/>
  <c r="L147" i="1" s="1"/>
  <c r="M147" i="1" s="1"/>
  <c r="R147" i="1" s="1"/>
  <c r="R159" i="1"/>
  <c r="K180" i="1"/>
  <c r="L180" i="1" s="1"/>
  <c r="M180" i="1" s="1"/>
  <c r="R180" i="1" s="1"/>
  <c r="K195" i="1"/>
  <c r="L195" i="1" s="1"/>
  <c r="M195" i="1" s="1"/>
  <c r="R195" i="1" s="1"/>
  <c r="K200" i="1"/>
  <c r="L200" i="1" s="1"/>
  <c r="M200" i="1" s="1"/>
  <c r="R205" i="1"/>
  <c r="R210" i="1"/>
  <c r="K225" i="1"/>
  <c r="L225" i="1" s="1"/>
  <c r="M225" i="1" s="1"/>
  <c r="R225" i="1" s="1"/>
  <c r="K239" i="1"/>
  <c r="L239" i="1" s="1"/>
  <c r="M239" i="1" s="1"/>
  <c r="R245" i="1"/>
  <c r="R48" i="1"/>
  <c r="K51" i="1"/>
  <c r="L51" i="1" s="1"/>
  <c r="M51" i="1" s="1"/>
  <c r="R51" i="1" s="1"/>
  <c r="K63" i="1"/>
  <c r="L63" i="1" s="1"/>
  <c r="M63" i="1" s="1"/>
  <c r="R63" i="1" s="1"/>
  <c r="R80" i="1"/>
  <c r="K125" i="1"/>
  <c r="L125" i="1" s="1"/>
  <c r="M125" i="1" s="1"/>
  <c r="R125" i="1" s="1"/>
  <c r="R139" i="1"/>
  <c r="K168" i="1"/>
  <c r="L168" i="1" s="1"/>
  <c r="M168" i="1" s="1"/>
  <c r="K203" i="1"/>
  <c r="L203" i="1" s="1"/>
  <c r="M203" i="1" s="1"/>
  <c r="K250" i="1"/>
  <c r="L250" i="1" s="1"/>
  <c r="M250" i="1" s="1"/>
  <c r="R281" i="1"/>
  <c r="K87" i="1"/>
  <c r="L87" i="1" s="1"/>
  <c r="M87" i="1" s="1"/>
  <c r="R87" i="1" s="1"/>
  <c r="R109" i="1"/>
  <c r="R116" i="1"/>
  <c r="K118" i="1"/>
  <c r="L118" i="1" s="1"/>
  <c r="M118" i="1" s="1"/>
  <c r="R118" i="1" s="1"/>
  <c r="K129" i="1"/>
  <c r="L129" i="1" s="1"/>
  <c r="M129" i="1" s="1"/>
  <c r="R129" i="1" s="1"/>
  <c r="K143" i="1"/>
  <c r="L143" i="1" s="1"/>
  <c r="M143" i="1" s="1"/>
  <c r="R178" i="1"/>
  <c r="K215" i="1"/>
  <c r="L215" i="1" s="1"/>
  <c r="M215" i="1" s="1"/>
  <c r="K69" i="1"/>
  <c r="L69" i="1" s="1"/>
  <c r="M69" i="1" s="1"/>
  <c r="R113" i="1"/>
  <c r="K162" i="1"/>
  <c r="L162" i="1" s="1"/>
  <c r="M162" i="1" s="1"/>
  <c r="R166" i="1"/>
  <c r="K176" i="1"/>
  <c r="L176" i="1" s="1"/>
  <c r="M176" i="1" s="1"/>
  <c r="R196" i="1"/>
  <c r="R248" i="1"/>
  <c r="R232" i="1"/>
  <c r="R291" i="1"/>
  <c r="K366" i="1"/>
  <c r="L366" i="1" s="1"/>
  <c r="M366" i="1" s="1"/>
  <c r="K235" i="1"/>
  <c r="L235" i="1" s="1"/>
  <c r="M235" i="1" s="1"/>
  <c r="K255" i="1"/>
  <c r="L255" i="1" s="1"/>
  <c r="M255" i="1" s="1"/>
  <c r="K298" i="1"/>
  <c r="L298" i="1" s="1"/>
  <c r="M298" i="1" s="1"/>
  <c r="K218" i="1"/>
  <c r="L218" i="1" s="1"/>
  <c r="M218" i="1" s="1"/>
  <c r="R285" i="1"/>
  <c r="K305" i="1"/>
  <c r="L305" i="1" s="1"/>
  <c r="M305" i="1" s="1"/>
  <c r="K310" i="1"/>
  <c r="L310" i="1" s="1"/>
  <c r="M310" i="1" s="1"/>
  <c r="K313" i="1"/>
  <c r="L313" i="1" s="1"/>
  <c r="M313" i="1" s="1"/>
  <c r="K318" i="1"/>
  <c r="L318" i="1" s="1"/>
  <c r="M318" i="1" s="1"/>
  <c r="R318" i="1" s="1"/>
  <c r="K329" i="1"/>
  <c r="L329" i="1" s="1"/>
  <c r="M329" i="1" s="1"/>
  <c r="R329" i="1" s="1"/>
  <c r="K338" i="1"/>
  <c r="L338" i="1" s="1"/>
  <c r="M338" i="1" s="1"/>
  <c r="K355" i="1"/>
  <c r="L355" i="1" s="1"/>
  <c r="M355" i="1" s="1"/>
  <c r="R355" i="1" s="1"/>
  <c r="K259" i="1"/>
  <c r="L259" i="1" s="1"/>
  <c r="M259" i="1" s="1"/>
  <c r="K292" i="1"/>
  <c r="L292" i="1" s="1"/>
  <c r="M292" i="1" s="1"/>
  <c r="R292" i="1" s="1"/>
  <c r="K186" i="1"/>
  <c r="L186" i="1" s="1"/>
  <c r="M186" i="1" s="1"/>
  <c r="K246" i="1"/>
  <c r="L246" i="1" s="1"/>
  <c r="M246" i="1" s="1"/>
  <c r="K249" i="1"/>
  <c r="L249" i="1" s="1"/>
  <c r="M249" i="1" s="1"/>
  <c r="R249" i="1" s="1"/>
  <c r="R251" i="1"/>
  <c r="R252" i="1"/>
  <c r="R257" i="1"/>
  <c r="K266" i="1"/>
  <c r="L266" i="1" s="1"/>
  <c r="M266" i="1" s="1"/>
  <c r="K296" i="1"/>
  <c r="L296" i="1" s="1"/>
  <c r="M296" i="1" s="1"/>
  <c r="R296" i="1" s="1"/>
  <c r="R264" i="1"/>
  <c r="K270" i="1"/>
  <c r="L270" i="1" s="1"/>
  <c r="M270" i="1" s="1"/>
  <c r="K303" i="1"/>
  <c r="L303" i="1" s="1"/>
  <c r="M303" i="1" s="1"/>
  <c r="R228" i="1"/>
  <c r="K231" i="1"/>
  <c r="L231" i="1" s="1"/>
  <c r="M231" i="1" s="1"/>
  <c r="R268" i="1"/>
  <c r="K280" i="1"/>
  <c r="L280" i="1" s="1"/>
  <c r="M280" i="1" s="1"/>
  <c r="K282" i="1"/>
  <c r="L282" i="1" s="1"/>
  <c r="M282" i="1" s="1"/>
  <c r="K286" i="1"/>
  <c r="L286" i="1" s="1"/>
  <c r="M286" i="1" s="1"/>
  <c r="R286" i="1" s="1"/>
  <c r="K314" i="1"/>
  <c r="L314" i="1" s="1"/>
  <c r="M314" i="1" s="1"/>
  <c r="K194" i="1"/>
  <c r="L194" i="1" s="1"/>
  <c r="M194" i="1" s="1"/>
  <c r="R206" i="1"/>
  <c r="K224" i="1"/>
  <c r="L224" i="1" s="1"/>
  <c r="M224" i="1" s="1"/>
  <c r="R224" i="1" s="1"/>
  <c r="R234" i="1"/>
  <c r="K237" i="1"/>
  <c r="L237" i="1" s="1"/>
  <c r="M237" i="1" s="1"/>
  <c r="K278" i="1"/>
  <c r="L278" i="1" s="1"/>
  <c r="M278" i="1" s="1"/>
  <c r="K308" i="1"/>
  <c r="L308" i="1" s="1"/>
  <c r="M308" i="1" s="1"/>
  <c r="R208" i="1"/>
  <c r="R213" i="1"/>
  <c r="R217" i="1"/>
  <c r="R240" i="1"/>
  <c r="R149" i="1"/>
  <c r="R155" i="1"/>
  <c r="R161" i="1"/>
  <c r="R167" i="1"/>
  <c r="R173" i="1"/>
  <c r="R179" i="1"/>
  <c r="R185" i="1"/>
  <c r="R190" i="1"/>
  <c r="R198" i="1"/>
  <c r="R209" i="1"/>
  <c r="K212" i="1"/>
  <c r="L212" i="1" s="1"/>
  <c r="M212" i="1" s="1"/>
  <c r="R212" i="1" s="1"/>
  <c r="K230" i="1"/>
  <c r="L230" i="1" s="1"/>
  <c r="M230" i="1" s="1"/>
  <c r="R230" i="1" s="1"/>
  <c r="K304" i="1"/>
  <c r="L304" i="1" s="1"/>
  <c r="M304" i="1" s="1"/>
  <c r="K317" i="1"/>
  <c r="L317" i="1" s="1"/>
  <c r="M317" i="1" s="1"/>
  <c r="K325" i="1"/>
  <c r="L325" i="1" s="1"/>
  <c r="M325" i="1" s="1"/>
  <c r="R220" i="1"/>
  <c r="R227" i="1"/>
  <c r="K236" i="1"/>
  <c r="L236" i="1" s="1"/>
  <c r="M236" i="1" s="1"/>
  <c r="R236" i="1" s="1"/>
  <c r="K265" i="1"/>
  <c r="L265" i="1" s="1"/>
  <c r="M265" i="1" s="1"/>
  <c r="R265" i="1" s="1"/>
  <c r="R271" i="1"/>
  <c r="R309" i="1"/>
  <c r="K379" i="1"/>
  <c r="L379" i="1" s="1"/>
  <c r="M379" i="1" s="1"/>
  <c r="K478" i="1"/>
  <c r="L478" i="1" s="1"/>
  <c r="M478" i="1" s="1"/>
  <c r="K321" i="1"/>
  <c r="L321" i="1" s="1"/>
  <c r="M321" i="1" s="1"/>
  <c r="R321" i="1" s="1"/>
  <c r="K336" i="1"/>
  <c r="L336" i="1" s="1"/>
  <c r="M336" i="1" s="1"/>
  <c r="K345" i="1"/>
  <c r="L345" i="1" s="1"/>
  <c r="M345" i="1" s="1"/>
  <c r="K350" i="1"/>
  <c r="L350" i="1" s="1"/>
  <c r="M350" i="1" s="1"/>
  <c r="K392" i="1"/>
  <c r="L392" i="1" s="1"/>
  <c r="M392" i="1" s="1"/>
  <c r="K405" i="1"/>
  <c r="L405" i="1" s="1"/>
  <c r="M405" i="1" s="1"/>
  <c r="R405" i="1" s="1"/>
  <c r="K343" i="1"/>
  <c r="L343" i="1" s="1"/>
  <c r="M343" i="1" s="1"/>
  <c r="K386" i="1"/>
  <c r="L386" i="1" s="1"/>
  <c r="M386" i="1" s="1"/>
  <c r="R438" i="1"/>
  <c r="K302" i="1"/>
  <c r="L302" i="1" s="1"/>
  <c r="M302" i="1" s="1"/>
  <c r="R302" i="1" s="1"/>
  <c r="K332" i="1"/>
  <c r="L332" i="1" s="1"/>
  <c r="M332" i="1" s="1"/>
  <c r="R339" i="1"/>
  <c r="K356" i="1"/>
  <c r="L356" i="1" s="1"/>
  <c r="M356" i="1" s="1"/>
  <c r="K367" i="1"/>
  <c r="L367" i="1" s="1"/>
  <c r="M367" i="1" s="1"/>
  <c r="R398" i="1"/>
  <c r="K307" i="1"/>
  <c r="L307" i="1" s="1"/>
  <c r="M307" i="1" s="1"/>
  <c r="K341" i="1"/>
  <c r="L341" i="1" s="1"/>
  <c r="M341" i="1" s="1"/>
  <c r="K316" i="1"/>
  <c r="L316" i="1" s="1"/>
  <c r="M316" i="1" s="1"/>
  <c r="K322" i="1"/>
  <c r="L322" i="1" s="1"/>
  <c r="M322" i="1" s="1"/>
  <c r="K324" i="1"/>
  <c r="L324" i="1" s="1"/>
  <c r="M324" i="1" s="1"/>
  <c r="K330" i="1"/>
  <c r="L330" i="1" s="1"/>
  <c r="M330" i="1" s="1"/>
  <c r="K412" i="1"/>
  <c r="L412" i="1" s="1"/>
  <c r="M412" i="1" s="1"/>
  <c r="K284" i="1"/>
  <c r="L284" i="1" s="1"/>
  <c r="M284" i="1" s="1"/>
  <c r="R295" i="1"/>
  <c r="K301" i="1"/>
  <c r="L301" i="1" s="1"/>
  <c r="M301" i="1" s="1"/>
  <c r="R326" i="1"/>
  <c r="R337" i="1"/>
  <c r="K368" i="1"/>
  <c r="L368" i="1" s="1"/>
  <c r="M368" i="1" s="1"/>
  <c r="K277" i="1"/>
  <c r="L277" i="1" s="1"/>
  <c r="M277" i="1" s="1"/>
  <c r="R277" i="1" s="1"/>
  <c r="R288" i="1"/>
  <c r="K335" i="1"/>
  <c r="L335" i="1" s="1"/>
  <c r="M335" i="1" s="1"/>
  <c r="K357" i="1"/>
  <c r="L357" i="1" s="1"/>
  <c r="M357" i="1" s="1"/>
  <c r="K373" i="1"/>
  <c r="L373" i="1" s="1"/>
  <c r="M373" i="1" s="1"/>
  <c r="R331" i="1"/>
  <c r="K342" i="1"/>
  <c r="L342" i="1" s="1"/>
  <c r="M342" i="1" s="1"/>
  <c r="R342" i="1" s="1"/>
  <c r="R349" i="1"/>
  <c r="K354" i="1"/>
  <c r="L354" i="1" s="1"/>
  <c r="M354" i="1" s="1"/>
  <c r="R362" i="1"/>
  <c r="K418" i="1"/>
  <c r="L418" i="1" s="1"/>
  <c r="M418" i="1" s="1"/>
  <c r="R418" i="1" s="1"/>
  <c r="K290" i="1"/>
  <c r="L290" i="1" s="1"/>
  <c r="M290" i="1" s="1"/>
  <c r="R290" i="1" s="1"/>
  <c r="K374" i="1"/>
  <c r="L374" i="1" s="1"/>
  <c r="M374" i="1" s="1"/>
  <c r="R429" i="1"/>
  <c r="K389" i="1"/>
  <c r="L389" i="1" s="1"/>
  <c r="M389" i="1" s="1"/>
  <c r="R406" i="1"/>
  <c r="K441" i="1"/>
  <c r="L441" i="1" s="1"/>
  <c r="M441" i="1" s="1"/>
  <c r="R447" i="1"/>
  <c r="K455" i="1"/>
  <c r="L455" i="1" s="1"/>
  <c r="M455" i="1" s="1"/>
  <c r="K384" i="1"/>
  <c r="L384" i="1" s="1"/>
  <c r="M384" i="1" s="1"/>
  <c r="K402" i="1"/>
  <c r="L402" i="1" s="1"/>
  <c r="M402" i="1" s="1"/>
  <c r="K434" i="1"/>
  <c r="L434" i="1" s="1"/>
  <c r="M434" i="1" s="1"/>
  <c r="R461" i="1"/>
  <c r="K489" i="1"/>
  <c r="L489" i="1" s="1"/>
  <c r="M489" i="1" s="1"/>
  <c r="K347" i="1"/>
  <c r="L347" i="1" s="1"/>
  <c r="M347" i="1" s="1"/>
  <c r="R347" i="1" s="1"/>
  <c r="K400" i="1"/>
  <c r="L400" i="1" s="1"/>
  <c r="M400" i="1" s="1"/>
  <c r="R400" i="1" s="1"/>
  <c r="K427" i="1"/>
  <c r="L427" i="1" s="1"/>
  <c r="M427" i="1" s="1"/>
  <c r="R427" i="1" s="1"/>
  <c r="R430" i="1"/>
  <c r="R473" i="1"/>
  <c r="K334" i="1"/>
  <c r="L334" i="1" s="1"/>
  <c r="M334" i="1" s="1"/>
  <c r="K391" i="1"/>
  <c r="L391" i="1" s="1"/>
  <c r="M391" i="1" s="1"/>
  <c r="K421" i="1"/>
  <c r="L421" i="1" s="1"/>
  <c r="M421" i="1" s="1"/>
  <c r="K353" i="1"/>
  <c r="L353" i="1" s="1"/>
  <c r="M353" i="1" s="1"/>
  <c r="R370" i="1"/>
  <c r="R376" i="1"/>
  <c r="K388" i="1"/>
  <c r="L388" i="1" s="1"/>
  <c r="M388" i="1" s="1"/>
  <c r="R415" i="1"/>
  <c r="R417" i="1"/>
  <c r="R428" i="1"/>
  <c r="K442" i="1"/>
  <c r="L442" i="1" s="1"/>
  <c r="M442" i="1" s="1"/>
  <c r="R453" i="1"/>
  <c r="K346" i="1"/>
  <c r="L346" i="1" s="1"/>
  <c r="M346" i="1" s="1"/>
  <c r="R346" i="1" s="1"/>
  <c r="R360" i="1"/>
  <c r="R381" i="1"/>
  <c r="R409" i="1"/>
  <c r="R459" i="1"/>
  <c r="K483" i="1"/>
  <c r="L483" i="1" s="1"/>
  <c r="M483" i="1" s="1"/>
  <c r="R363" i="1"/>
  <c r="R385" i="1"/>
  <c r="R393" i="1"/>
  <c r="R424" i="1"/>
  <c r="K471" i="1"/>
  <c r="L471" i="1" s="1"/>
  <c r="M471" i="1" s="1"/>
  <c r="K352" i="1"/>
  <c r="L352" i="1" s="1"/>
  <c r="M352" i="1" s="1"/>
  <c r="R352" i="1" s="1"/>
  <c r="R378" i="1"/>
  <c r="R395" i="1"/>
  <c r="K403" i="1"/>
  <c r="L403" i="1" s="1"/>
  <c r="M403" i="1" s="1"/>
  <c r="K435" i="1"/>
  <c r="L435" i="1" s="1"/>
  <c r="M435" i="1" s="1"/>
  <c r="K328" i="1"/>
  <c r="L328" i="1" s="1"/>
  <c r="M328" i="1" s="1"/>
  <c r="R359" i="1"/>
  <c r="K365" i="1"/>
  <c r="L365" i="1" s="1"/>
  <c r="M365" i="1" s="1"/>
  <c r="R365" i="1" s="1"/>
  <c r="R369" i="1"/>
  <c r="R372" i="1"/>
  <c r="R375" i="1"/>
  <c r="K390" i="1"/>
  <c r="L390" i="1" s="1"/>
  <c r="M390" i="1" s="1"/>
  <c r="K397" i="1"/>
  <c r="L397" i="1" s="1"/>
  <c r="M397" i="1" s="1"/>
  <c r="K401" i="1"/>
  <c r="L401" i="1" s="1"/>
  <c r="M401" i="1" s="1"/>
  <c r="R401" i="1" s="1"/>
  <c r="K484" i="1"/>
  <c r="L484" i="1" s="1"/>
  <c r="M484" i="1" s="1"/>
  <c r="R333" i="1"/>
  <c r="R407" i="1"/>
  <c r="R440" i="1"/>
  <c r="R443" i="1"/>
  <c r="K454" i="1"/>
  <c r="L454" i="1" s="1"/>
  <c r="M454" i="1" s="1"/>
  <c r="K340" i="1"/>
  <c r="L340" i="1" s="1"/>
  <c r="M340" i="1" s="1"/>
  <c r="R340" i="1" s="1"/>
  <c r="K371" i="1"/>
  <c r="L371" i="1" s="1"/>
  <c r="M371" i="1" s="1"/>
  <c r="R371" i="1" s="1"/>
  <c r="K377" i="1"/>
  <c r="L377" i="1" s="1"/>
  <c r="M377" i="1" s="1"/>
  <c r="R377" i="1" s="1"/>
  <c r="R380" i="1"/>
  <c r="R436" i="1"/>
  <c r="K466" i="1"/>
  <c r="L466" i="1" s="1"/>
  <c r="M466" i="1" s="1"/>
  <c r="K472" i="1"/>
  <c r="L472" i="1" s="1"/>
  <c r="M472" i="1" s="1"/>
  <c r="K444" i="1"/>
  <c r="L444" i="1" s="1"/>
  <c r="M444" i="1" s="1"/>
  <c r="K464" i="1"/>
  <c r="L464" i="1" s="1"/>
  <c r="M464" i="1" s="1"/>
  <c r="K469" i="1"/>
  <c r="L469" i="1" s="1"/>
  <c r="M469" i="1" s="1"/>
  <c r="R469" i="1" s="1"/>
  <c r="K476" i="1"/>
  <c r="L476" i="1" s="1"/>
  <c r="M476" i="1" s="1"/>
  <c r="K480" i="1"/>
  <c r="L480" i="1" s="1"/>
  <c r="M480" i="1" s="1"/>
  <c r="R480" i="1" s="1"/>
  <c r="K486" i="1"/>
  <c r="L486" i="1" s="1"/>
  <c r="M486" i="1" s="1"/>
  <c r="K491" i="1"/>
  <c r="L491" i="1" s="1"/>
  <c r="M491" i="1" s="1"/>
  <c r="K499" i="1"/>
  <c r="L499" i="1" s="1"/>
  <c r="M499" i="1" s="1"/>
  <c r="R433" i="1"/>
  <c r="R439" i="1"/>
  <c r="K446" i="1"/>
  <c r="L446" i="1" s="1"/>
  <c r="M446" i="1" s="1"/>
  <c r="K451" i="1"/>
  <c r="L451" i="1" s="1"/>
  <c r="M451" i="1" s="1"/>
  <c r="K482" i="1"/>
  <c r="L482" i="1" s="1"/>
  <c r="M482" i="1" s="1"/>
  <c r="K408" i="1"/>
  <c r="L408" i="1" s="1"/>
  <c r="M408" i="1" s="1"/>
  <c r="R458" i="1"/>
  <c r="K414" i="1"/>
  <c r="L414" i="1" s="1"/>
  <c r="M414" i="1" s="1"/>
  <c r="K420" i="1"/>
  <c r="L420" i="1" s="1"/>
  <c r="M420" i="1" s="1"/>
  <c r="R420" i="1" s="1"/>
  <c r="R463" i="1"/>
  <c r="R475" i="1"/>
  <c r="K485" i="1"/>
  <c r="L485" i="1" s="1"/>
  <c r="M485" i="1" s="1"/>
  <c r="R485" i="1" s="1"/>
  <c r="K404" i="1"/>
  <c r="L404" i="1" s="1"/>
  <c r="M404" i="1" s="1"/>
  <c r="K450" i="1"/>
  <c r="L450" i="1" s="1"/>
  <c r="M450" i="1" s="1"/>
  <c r="R450" i="1" s="1"/>
  <c r="R468" i="1"/>
  <c r="K470" i="1"/>
  <c r="L470" i="1" s="1"/>
  <c r="M470" i="1" s="1"/>
  <c r="K487" i="1"/>
  <c r="L487" i="1" s="1"/>
  <c r="M487" i="1" s="1"/>
  <c r="R487" i="1" s="1"/>
  <c r="R490" i="1"/>
  <c r="R492" i="1"/>
  <c r="K495" i="1"/>
  <c r="L495" i="1" s="1"/>
  <c r="M495" i="1" s="1"/>
  <c r="R495" i="1" s="1"/>
  <c r="R423" i="1"/>
  <c r="K445" i="1"/>
  <c r="L445" i="1" s="1"/>
  <c r="M445" i="1" s="1"/>
  <c r="R445" i="1" s="1"/>
  <c r="R477" i="1"/>
  <c r="K481" i="1"/>
  <c r="L481" i="1" s="1"/>
  <c r="M481" i="1" s="1"/>
  <c r="R481" i="1" s="1"/>
  <c r="K501" i="1"/>
  <c r="L501" i="1" s="1"/>
  <c r="M501" i="1" s="1"/>
  <c r="K416" i="1"/>
  <c r="L416" i="1" s="1"/>
  <c r="M416" i="1" s="1"/>
  <c r="K422" i="1"/>
  <c r="L422" i="1" s="1"/>
  <c r="M422" i="1" s="1"/>
  <c r="K452" i="1"/>
  <c r="L452" i="1" s="1"/>
  <c r="M452" i="1" s="1"/>
  <c r="R452" i="1" s="1"/>
  <c r="K457" i="1"/>
  <c r="L457" i="1" s="1"/>
  <c r="M457" i="1" s="1"/>
  <c r="R457" i="1" s="1"/>
  <c r="R460" i="1"/>
  <c r="R496" i="1"/>
  <c r="R488" i="1"/>
  <c r="R494" i="1"/>
  <c r="R500" i="1"/>
  <c r="R476" i="1" l="1"/>
  <c r="R389" i="1"/>
  <c r="R336" i="1"/>
  <c r="R272" i="1"/>
  <c r="R158" i="1"/>
  <c r="R132" i="1"/>
  <c r="R191" i="1"/>
  <c r="R49" i="1"/>
  <c r="R354" i="1"/>
  <c r="R120" i="1"/>
  <c r="R172" i="1"/>
  <c r="R189" i="1"/>
  <c r="R124" i="1"/>
  <c r="R305" i="1"/>
  <c r="R298" i="1"/>
  <c r="R451" i="1"/>
  <c r="R416" i="1"/>
  <c r="R472" i="1"/>
  <c r="R328" i="1"/>
  <c r="R471" i="1"/>
  <c r="R483" i="1"/>
  <c r="R330" i="1"/>
  <c r="R392" i="1"/>
  <c r="R289" i="1"/>
  <c r="R168" i="1"/>
  <c r="R184" i="1"/>
  <c r="R101" i="1"/>
  <c r="R79" i="1"/>
  <c r="R444" i="1"/>
  <c r="R501" i="1"/>
  <c r="R414" i="1"/>
  <c r="R497" i="1"/>
  <c r="R421" i="1"/>
  <c r="R341" i="1"/>
  <c r="R194" i="1"/>
  <c r="R299" i="1"/>
  <c r="R338" i="1"/>
  <c r="R255" i="1"/>
  <c r="R226" i="1"/>
  <c r="R108" i="1"/>
  <c r="R175" i="1"/>
  <c r="R130" i="1"/>
  <c r="R97" i="1"/>
  <c r="R52" i="1"/>
  <c r="R145" i="1"/>
  <c r="R3" i="1"/>
  <c r="R144" i="1"/>
  <c r="R464" i="1"/>
  <c r="R412" i="1"/>
  <c r="R69" i="1"/>
  <c r="R123" i="1"/>
  <c r="R45" i="1"/>
  <c r="R383" i="1"/>
  <c r="R357" i="1"/>
  <c r="R499" i="1"/>
  <c r="R403" i="1"/>
  <c r="R353" i="1"/>
  <c r="R434" i="1"/>
  <c r="R316" i="1"/>
  <c r="R307" i="1"/>
  <c r="R356" i="1"/>
  <c r="R231" i="1"/>
  <c r="R218" i="1"/>
  <c r="R153" i="1"/>
  <c r="R267" i="1"/>
  <c r="R25" i="1"/>
  <c r="R35" i="1"/>
  <c r="R138" i="1"/>
  <c r="R53" i="1"/>
  <c r="R470" i="1"/>
  <c r="R408" i="1"/>
  <c r="R482" i="1"/>
  <c r="R448" i="1"/>
  <c r="R368" i="1"/>
  <c r="R350" i="1"/>
  <c r="R312" i="1"/>
  <c r="R314" i="1"/>
  <c r="R256" i="1"/>
  <c r="R274" i="1"/>
  <c r="R176" i="1"/>
  <c r="R188" i="1"/>
  <c r="R44" i="1"/>
  <c r="R200" i="1"/>
  <c r="R233" i="1"/>
  <c r="R141" i="1"/>
  <c r="R89" i="1"/>
  <c r="R30" i="1"/>
  <c r="R73" i="1"/>
  <c r="R404" i="1"/>
  <c r="R491" i="1"/>
  <c r="R454" i="1"/>
  <c r="R397" i="1"/>
  <c r="R379" i="1"/>
  <c r="R308" i="1"/>
  <c r="R303" i="1"/>
  <c r="R215" i="1"/>
  <c r="R137" i="1"/>
  <c r="R261" i="1"/>
  <c r="R202" i="1"/>
  <c r="R199" i="1"/>
  <c r="R243" i="1"/>
  <c r="R78" i="1"/>
  <c r="R17" i="1"/>
  <c r="R24" i="1"/>
  <c r="R446" i="1"/>
  <c r="R486" i="1"/>
  <c r="R484" i="1"/>
  <c r="R390" i="1"/>
  <c r="R388" i="1"/>
  <c r="R402" i="1"/>
  <c r="R270" i="1"/>
  <c r="R6" i="1"/>
  <c r="R373" i="1"/>
  <c r="R324" i="1"/>
  <c r="R422" i="1"/>
  <c r="R391" i="1"/>
  <c r="R441" i="1"/>
  <c r="R386" i="1"/>
  <c r="R325" i="1"/>
  <c r="R235" i="1"/>
  <c r="R162" i="1"/>
  <c r="R250" i="1"/>
  <c r="R241" i="1"/>
  <c r="R98" i="1"/>
  <c r="R81" i="1"/>
  <c r="R154" i="1"/>
  <c r="R121" i="1"/>
  <c r="R47" i="1"/>
  <c r="R334" i="1"/>
  <c r="R489" i="1"/>
  <c r="R384" i="1"/>
  <c r="R335" i="1"/>
  <c r="R322" i="1"/>
  <c r="R367" i="1"/>
  <c r="R343" i="1"/>
  <c r="R345" i="1"/>
  <c r="R278" i="1"/>
  <c r="R246" i="1"/>
  <c r="R366" i="1"/>
  <c r="R244" i="1"/>
  <c r="R221" i="1"/>
  <c r="R65" i="1"/>
  <c r="R156" i="1"/>
  <c r="R12" i="1"/>
  <c r="R95" i="1"/>
  <c r="R127" i="1"/>
  <c r="R5" i="1"/>
  <c r="R442" i="1"/>
  <c r="R374" i="1"/>
  <c r="R317" i="1"/>
  <c r="R186" i="1"/>
  <c r="R88" i="1"/>
  <c r="R131" i="1"/>
  <c r="R23" i="1"/>
  <c r="R126" i="1"/>
  <c r="R311" i="1"/>
  <c r="R478" i="1"/>
  <c r="R304" i="1"/>
  <c r="R237" i="1"/>
  <c r="R313" i="1"/>
  <c r="R143" i="1"/>
  <c r="R239" i="1"/>
  <c r="R219" i="1"/>
  <c r="R135" i="1"/>
  <c r="R94" i="1"/>
  <c r="R20" i="1"/>
  <c r="R455" i="1"/>
  <c r="R301" i="1"/>
  <c r="R310" i="1"/>
  <c r="R203" i="1"/>
  <c r="R207" i="1"/>
  <c r="R214" i="1"/>
  <c r="R83" i="1"/>
  <c r="R110" i="1"/>
  <c r="R466" i="1"/>
  <c r="R435" i="1"/>
  <c r="R332" i="1"/>
  <c r="R282" i="1"/>
  <c r="R266" i="1"/>
  <c r="R259" i="1"/>
  <c r="R77" i="1"/>
  <c r="R75" i="1"/>
  <c r="R36" i="1"/>
  <c r="R67" i="1"/>
  <c r="R21" i="1"/>
  <c r="R60" i="1"/>
  <c r="R284" i="1"/>
  <c r="R280" i="1"/>
  <c r="R100" i="1"/>
  <c r="R29" i="1"/>
  <c r="R96" i="1"/>
  <c r="R7" i="1"/>
  <c r="R102" i="1"/>
  <c r="R19" i="1"/>
  <c r="R58" i="1"/>
</calcChain>
</file>

<file path=xl/sharedStrings.xml><?xml version="1.0" encoding="utf-8"?>
<sst xmlns="http://schemas.openxmlformats.org/spreadsheetml/2006/main" count="3020" uniqueCount="1043">
  <si>
    <t>Loan ID</t>
  </si>
  <si>
    <t>Customer ID</t>
  </si>
  <si>
    <t>Device Category</t>
  </si>
  <si>
    <t>Device Price (Rs.)</t>
  </si>
  <si>
    <t>Down Payment %</t>
  </si>
  <si>
    <t>Down Payment (Rs.)</t>
  </si>
  <si>
    <t>Loan Amount / Principal (Rs.)</t>
  </si>
  <si>
    <t>Interest Rate (Annual %)</t>
  </si>
  <si>
    <t>Tenure (Months)</t>
  </si>
  <si>
    <t>Monthly Interest Rate</t>
  </si>
  <si>
    <t>EMI (Rs.)</t>
  </si>
  <si>
    <t>Total Payment (Rs.)</t>
  </si>
  <si>
    <t>Total Interest Income (Rs.)</t>
  </si>
  <si>
    <t>Processing Fee (Rs.)</t>
  </si>
  <si>
    <t>Cost of Funds (Rs.)</t>
  </si>
  <si>
    <t>Loan Status</t>
  </si>
  <si>
    <t>Default Loss (Rs.)</t>
  </si>
  <si>
    <t>Net Bank Profit (Rs.)</t>
  </si>
  <si>
    <t>Region</t>
  </si>
  <si>
    <t>Disbursement Month</t>
  </si>
  <si>
    <t>LN-0001</t>
  </si>
  <si>
    <t>CUST-1001</t>
  </si>
  <si>
    <t>Bike</t>
  </si>
  <si>
    <t>Active</t>
  </si>
  <si>
    <t>North</t>
  </si>
  <si>
    <t>Oct-2025</t>
  </si>
  <si>
    <t>LN-0002</t>
  </si>
  <si>
    <t>CUST-1002</t>
  </si>
  <si>
    <t>Laptop</t>
  </si>
  <si>
    <t>Default</t>
  </si>
  <si>
    <t>South</t>
  </si>
  <si>
    <t>Dec-2025</t>
  </si>
  <si>
    <t>LN-0003</t>
  </si>
  <si>
    <t>CUST-1003</t>
  </si>
  <si>
    <t>Mar-2025</t>
  </si>
  <si>
    <t>LN-0004</t>
  </si>
  <si>
    <t>CUST-1004</t>
  </si>
  <si>
    <t>Closed</t>
  </si>
  <si>
    <t>Jun-2025</t>
  </si>
  <si>
    <t>LN-0005</t>
  </si>
  <si>
    <t>CUST-1005</t>
  </si>
  <si>
    <t>Car</t>
  </si>
  <si>
    <t>West</t>
  </si>
  <si>
    <t>Feb-2025</t>
  </si>
  <si>
    <t>LN-0006</t>
  </si>
  <si>
    <t>CUST-1006</t>
  </si>
  <si>
    <t>Jan-2025</t>
  </si>
  <si>
    <t>LN-0007</t>
  </si>
  <si>
    <t>CUST-1007</t>
  </si>
  <si>
    <t>Nov-2025</t>
  </si>
  <si>
    <t>LN-0008</t>
  </si>
  <si>
    <t>CUST-1008</t>
  </si>
  <si>
    <t>Sep-2025</t>
  </si>
  <si>
    <t>LN-0009</t>
  </si>
  <si>
    <t>CUST-1009</t>
  </si>
  <si>
    <t>Apr-2025</t>
  </si>
  <si>
    <t>LN-0010</t>
  </si>
  <si>
    <t>CUST-1010</t>
  </si>
  <si>
    <t>East</t>
  </si>
  <si>
    <t>LN-0011</t>
  </si>
  <si>
    <t>CUST-1011</t>
  </si>
  <si>
    <t>LN-0012</t>
  </si>
  <si>
    <t>CUST-1012</t>
  </si>
  <si>
    <t>LN-0013</t>
  </si>
  <si>
    <t>CUST-1013</t>
  </si>
  <si>
    <t>LN-0014</t>
  </si>
  <si>
    <t>CUST-1014</t>
  </si>
  <si>
    <t>Mobile Phone</t>
  </si>
  <si>
    <t>LN-0015</t>
  </si>
  <si>
    <t>CUST-1015</t>
  </si>
  <si>
    <t>LN-0016</t>
  </si>
  <si>
    <t>CUST-1016</t>
  </si>
  <si>
    <t>LN-0017</t>
  </si>
  <si>
    <t>CUST-1017</t>
  </si>
  <si>
    <t>LN-0018</t>
  </si>
  <si>
    <t>CUST-1018</t>
  </si>
  <si>
    <t>LN-0019</t>
  </si>
  <si>
    <t>CUST-1019</t>
  </si>
  <si>
    <t>LN-0020</t>
  </si>
  <si>
    <t>CUST-1020</t>
  </si>
  <si>
    <t>LN-0021</t>
  </si>
  <si>
    <t>CUST-1021</t>
  </si>
  <si>
    <t>LN-0022</t>
  </si>
  <si>
    <t>CUST-1022</t>
  </si>
  <si>
    <t>LN-0023</t>
  </si>
  <si>
    <t>CUST-1023</t>
  </si>
  <si>
    <t>LN-0024</t>
  </si>
  <si>
    <t>CUST-1024</t>
  </si>
  <si>
    <t>Jul-2025</t>
  </si>
  <si>
    <t>LN-0025</t>
  </si>
  <si>
    <t>CUST-1025</t>
  </si>
  <si>
    <t>LN-0026</t>
  </si>
  <si>
    <t>CUST-1026</t>
  </si>
  <si>
    <t>LN-0027</t>
  </si>
  <si>
    <t>CUST-1027</t>
  </si>
  <si>
    <t>LN-0028</t>
  </si>
  <si>
    <t>CUST-1028</t>
  </si>
  <si>
    <t>Aug-2025</t>
  </si>
  <si>
    <t>LN-0029</t>
  </si>
  <si>
    <t>CUST-1029</t>
  </si>
  <si>
    <t>LN-0030</t>
  </si>
  <si>
    <t>CUST-1030</t>
  </si>
  <si>
    <t>LN-0031</t>
  </si>
  <si>
    <t>CUST-1031</t>
  </si>
  <si>
    <t>LN-0032</t>
  </si>
  <si>
    <t>CUST-1032</t>
  </si>
  <si>
    <t>LN-0033</t>
  </si>
  <si>
    <t>CUST-1033</t>
  </si>
  <si>
    <t>LN-0034</t>
  </si>
  <si>
    <t>CUST-1034</t>
  </si>
  <si>
    <t>LN-0035</t>
  </si>
  <si>
    <t>CUST-1035</t>
  </si>
  <si>
    <t>LN-0036</t>
  </si>
  <si>
    <t>CUST-1036</t>
  </si>
  <si>
    <t>LN-0037</t>
  </si>
  <si>
    <t>CUST-1037</t>
  </si>
  <si>
    <t>LN-0038</t>
  </si>
  <si>
    <t>CUST-1038</t>
  </si>
  <si>
    <t>LN-0039</t>
  </si>
  <si>
    <t>CUST-1039</t>
  </si>
  <si>
    <t>LN-0040</t>
  </si>
  <si>
    <t>CUST-1040</t>
  </si>
  <si>
    <t>LN-0041</t>
  </si>
  <si>
    <t>CUST-1041</t>
  </si>
  <si>
    <t>LN-0042</t>
  </si>
  <si>
    <t>CUST-1042</t>
  </si>
  <si>
    <t>LN-0043</t>
  </si>
  <si>
    <t>CUST-1043</t>
  </si>
  <si>
    <t>LN-0044</t>
  </si>
  <si>
    <t>CUST-1044</t>
  </si>
  <si>
    <t>LN-0045</t>
  </si>
  <si>
    <t>CUST-1045</t>
  </si>
  <si>
    <t>LN-0046</t>
  </si>
  <si>
    <t>CUST-1046</t>
  </si>
  <si>
    <t>LN-0047</t>
  </si>
  <si>
    <t>CUST-1047</t>
  </si>
  <si>
    <t>LN-0048</t>
  </si>
  <si>
    <t>CUST-1048</t>
  </si>
  <si>
    <t>LN-0049</t>
  </si>
  <si>
    <t>CUST-1049</t>
  </si>
  <si>
    <t>LN-0050</t>
  </si>
  <si>
    <t>CUST-1050</t>
  </si>
  <si>
    <t>LN-0051</t>
  </si>
  <si>
    <t>CUST-1051</t>
  </si>
  <si>
    <t>LN-0052</t>
  </si>
  <si>
    <t>CUST-1052</t>
  </si>
  <si>
    <t>LN-0053</t>
  </si>
  <si>
    <t>CUST-1053</t>
  </si>
  <si>
    <t>LN-0054</t>
  </si>
  <si>
    <t>CUST-1054</t>
  </si>
  <si>
    <t>LN-0055</t>
  </si>
  <si>
    <t>CUST-1055</t>
  </si>
  <si>
    <t>LN-0056</t>
  </si>
  <si>
    <t>CUST-1056</t>
  </si>
  <si>
    <t>LN-0057</t>
  </si>
  <si>
    <t>CUST-1057</t>
  </si>
  <si>
    <t>LN-0058</t>
  </si>
  <si>
    <t>CUST-1058</t>
  </si>
  <si>
    <t>LN-0059</t>
  </si>
  <si>
    <t>CUST-1059</t>
  </si>
  <si>
    <t>LN-0060</t>
  </si>
  <si>
    <t>CUST-1060</t>
  </si>
  <si>
    <t>LN-0061</t>
  </si>
  <si>
    <t>CUST-1061</t>
  </si>
  <si>
    <t>LN-0062</t>
  </si>
  <si>
    <t>CUST-1062</t>
  </si>
  <si>
    <t>LN-0063</t>
  </si>
  <si>
    <t>CUST-1063</t>
  </si>
  <si>
    <t>LN-0064</t>
  </si>
  <si>
    <t>CUST-1064</t>
  </si>
  <si>
    <t>LN-0065</t>
  </si>
  <si>
    <t>CUST-1065</t>
  </si>
  <si>
    <t>LN-0066</t>
  </si>
  <si>
    <t>CUST-1066</t>
  </si>
  <si>
    <t>LN-0067</t>
  </si>
  <si>
    <t>CUST-1067</t>
  </si>
  <si>
    <t>LN-0068</t>
  </si>
  <si>
    <t>CUST-1068</t>
  </si>
  <si>
    <t>LN-0069</t>
  </si>
  <si>
    <t>CUST-1069</t>
  </si>
  <si>
    <t>LN-0070</t>
  </si>
  <si>
    <t>CUST-1070</t>
  </si>
  <si>
    <t>LN-0071</t>
  </si>
  <si>
    <t>CUST-1071</t>
  </si>
  <si>
    <t>May-2025</t>
  </si>
  <si>
    <t>LN-0072</t>
  </si>
  <si>
    <t>CUST-1072</t>
  </si>
  <si>
    <t>LN-0073</t>
  </si>
  <si>
    <t>CUST-1073</t>
  </si>
  <si>
    <t>LN-0074</t>
  </si>
  <si>
    <t>CUST-1074</t>
  </si>
  <si>
    <t>LN-0075</t>
  </si>
  <si>
    <t>CUST-1075</t>
  </si>
  <si>
    <t>LN-0076</t>
  </si>
  <si>
    <t>CUST-1076</t>
  </si>
  <si>
    <t>LN-0077</t>
  </si>
  <si>
    <t>CUST-1077</t>
  </si>
  <si>
    <t>LN-0078</t>
  </si>
  <si>
    <t>CUST-1078</t>
  </si>
  <si>
    <t>LN-0079</t>
  </si>
  <si>
    <t>CUST-1079</t>
  </si>
  <si>
    <t>LN-0080</t>
  </si>
  <si>
    <t>CUST-1080</t>
  </si>
  <si>
    <t>LN-0081</t>
  </si>
  <si>
    <t>CUST-1081</t>
  </si>
  <si>
    <t>LN-0082</t>
  </si>
  <si>
    <t>CUST-1082</t>
  </si>
  <si>
    <t>LN-0083</t>
  </si>
  <si>
    <t>CUST-1083</t>
  </si>
  <si>
    <t>LN-0084</t>
  </si>
  <si>
    <t>CUST-1084</t>
  </si>
  <si>
    <t>LN-0085</t>
  </si>
  <si>
    <t>CUST-1085</t>
  </si>
  <si>
    <t>LN-0086</t>
  </si>
  <si>
    <t>CUST-1086</t>
  </si>
  <si>
    <t>LN-0087</t>
  </si>
  <si>
    <t>CUST-1087</t>
  </si>
  <si>
    <t>LN-0088</t>
  </si>
  <si>
    <t>CUST-1088</t>
  </si>
  <si>
    <t>LN-0089</t>
  </si>
  <si>
    <t>CUST-1089</t>
  </si>
  <si>
    <t>LN-0090</t>
  </si>
  <si>
    <t>CUST-1090</t>
  </si>
  <si>
    <t>LN-0091</t>
  </si>
  <si>
    <t>CUST-1091</t>
  </si>
  <si>
    <t>LN-0092</t>
  </si>
  <si>
    <t>CUST-1092</t>
  </si>
  <si>
    <t>LN-0093</t>
  </si>
  <si>
    <t>CUST-1093</t>
  </si>
  <si>
    <t>LN-0094</t>
  </si>
  <si>
    <t>CUST-1094</t>
  </si>
  <si>
    <t>LN-0095</t>
  </si>
  <si>
    <t>CUST-1095</t>
  </si>
  <si>
    <t>LN-0096</t>
  </si>
  <si>
    <t>CUST-1096</t>
  </si>
  <si>
    <t>LN-0097</t>
  </si>
  <si>
    <t>CUST-1097</t>
  </si>
  <si>
    <t>LN-0098</t>
  </si>
  <si>
    <t>CUST-1098</t>
  </si>
  <si>
    <t>LN-0099</t>
  </si>
  <si>
    <t>CUST-1099</t>
  </si>
  <si>
    <t>LN-0100</t>
  </si>
  <si>
    <t>CUST-1100</t>
  </si>
  <si>
    <t>LN-0101</t>
  </si>
  <si>
    <t>CUST-1101</t>
  </si>
  <si>
    <t>LN-0102</t>
  </si>
  <si>
    <t>CUST-1102</t>
  </si>
  <si>
    <t>LN-0103</t>
  </si>
  <si>
    <t>CUST-1103</t>
  </si>
  <si>
    <t>LN-0104</t>
  </si>
  <si>
    <t>CUST-1104</t>
  </si>
  <si>
    <t>LN-0105</t>
  </si>
  <si>
    <t>CUST-1105</t>
  </si>
  <si>
    <t>LN-0106</t>
  </si>
  <si>
    <t>CUST-1106</t>
  </si>
  <si>
    <t>LN-0107</t>
  </si>
  <si>
    <t>CUST-1107</t>
  </si>
  <si>
    <t>LN-0108</t>
  </si>
  <si>
    <t>CUST-1108</t>
  </si>
  <si>
    <t>LN-0109</t>
  </si>
  <si>
    <t>CUST-1109</t>
  </si>
  <si>
    <t>LN-0110</t>
  </si>
  <si>
    <t>CUST-1110</t>
  </si>
  <si>
    <t>LN-0111</t>
  </si>
  <si>
    <t>CUST-1111</t>
  </si>
  <si>
    <t>LN-0112</t>
  </si>
  <si>
    <t>CUST-1112</t>
  </si>
  <si>
    <t>LN-0113</t>
  </si>
  <si>
    <t>CUST-1113</t>
  </si>
  <si>
    <t>LN-0114</t>
  </si>
  <si>
    <t>CUST-1114</t>
  </si>
  <si>
    <t>LN-0115</t>
  </si>
  <si>
    <t>CUST-1115</t>
  </si>
  <si>
    <t>LN-0116</t>
  </si>
  <si>
    <t>CUST-1116</t>
  </si>
  <si>
    <t>LN-0117</t>
  </si>
  <si>
    <t>CUST-1117</t>
  </si>
  <si>
    <t>LN-0118</t>
  </si>
  <si>
    <t>CUST-1118</t>
  </si>
  <si>
    <t>LN-0119</t>
  </si>
  <si>
    <t>CUST-1119</t>
  </si>
  <si>
    <t>LN-0120</t>
  </si>
  <si>
    <t>CUST-1120</t>
  </si>
  <si>
    <t>LN-0121</t>
  </si>
  <si>
    <t>CUST-1121</t>
  </si>
  <si>
    <t>LN-0122</t>
  </si>
  <si>
    <t>CUST-1122</t>
  </si>
  <si>
    <t>LN-0123</t>
  </si>
  <si>
    <t>CUST-1123</t>
  </si>
  <si>
    <t>LN-0124</t>
  </si>
  <si>
    <t>CUST-1124</t>
  </si>
  <si>
    <t>LN-0125</t>
  </si>
  <si>
    <t>CUST-1125</t>
  </si>
  <si>
    <t>LN-0126</t>
  </si>
  <si>
    <t>CUST-1126</t>
  </si>
  <si>
    <t>LN-0127</t>
  </si>
  <si>
    <t>CUST-1127</t>
  </si>
  <si>
    <t>LN-0128</t>
  </si>
  <si>
    <t>CUST-1128</t>
  </si>
  <si>
    <t>LN-0129</t>
  </si>
  <si>
    <t>CUST-1129</t>
  </si>
  <si>
    <t>LN-0130</t>
  </si>
  <si>
    <t>CUST-1130</t>
  </si>
  <si>
    <t>LN-0131</t>
  </si>
  <si>
    <t>CUST-1131</t>
  </si>
  <si>
    <t>LN-0132</t>
  </si>
  <si>
    <t>CUST-1132</t>
  </si>
  <si>
    <t>LN-0133</t>
  </si>
  <si>
    <t>CUST-1133</t>
  </si>
  <si>
    <t>LN-0134</t>
  </si>
  <si>
    <t>CUST-1134</t>
  </si>
  <si>
    <t>LN-0135</t>
  </si>
  <si>
    <t>CUST-1135</t>
  </si>
  <si>
    <t>LN-0136</t>
  </si>
  <si>
    <t>CUST-1136</t>
  </si>
  <si>
    <t>LN-0137</t>
  </si>
  <si>
    <t>CUST-1137</t>
  </si>
  <si>
    <t>LN-0138</t>
  </si>
  <si>
    <t>CUST-1138</t>
  </si>
  <si>
    <t>LN-0139</t>
  </si>
  <si>
    <t>CUST-1139</t>
  </si>
  <si>
    <t>LN-0140</t>
  </si>
  <si>
    <t>CUST-1140</t>
  </si>
  <si>
    <t>LN-0141</t>
  </si>
  <si>
    <t>CUST-1141</t>
  </si>
  <si>
    <t>LN-0142</t>
  </si>
  <si>
    <t>CUST-1142</t>
  </si>
  <si>
    <t>LN-0143</t>
  </si>
  <si>
    <t>CUST-1143</t>
  </si>
  <si>
    <t>LN-0144</t>
  </si>
  <si>
    <t>CUST-1144</t>
  </si>
  <si>
    <t>LN-0145</t>
  </si>
  <si>
    <t>CUST-1145</t>
  </si>
  <si>
    <t>LN-0146</t>
  </si>
  <si>
    <t>CUST-1146</t>
  </si>
  <si>
    <t>LN-0147</t>
  </si>
  <si>
    <t>CUST-1147</t>
  </si>
  <si>
    <t>LN-0148</t>
  </si>
  <si>
    <t>CUST-1148</t>
  </si>
  <si>
    <t>LN-0149</t>
  </si>
  <si>
    <t>CUST-1149</t>
  </si>
  <si>
    <t>LN-0150</t>
  </si>
  <si>
    <t>CUST-1150</t>
  </si>
  <si>
    <t>LN-0151</t>
  </si>
  <si>
    <t>CUST-1151</t>
  </si>
  <si>
    <t>LN-0152</t>
  </si>
  <si>
    <t>CUST-1152</t>
  </si>
  <si>
    <t>LN-0153</t>
  </si>
  <si>
    <t>CUST-1153</t>
  </si>
  <si>
    <t>LN-0154</t>
  </si>
  <si>
    <t>CUST-1154</t>
  </si>
  <si>
    <t>LN-0155</t>
  </si>
  <si>
    <t>CUST-1155</t>
  </si>
  <si>
    <t>LN-0156</t>
  </si>
  <si>
    <t>CUST-1156</t>
  </si>
  <si>
    <t>LN-0157</t>
  </si>
  <si>
    <t>CUST-1157</t>
  </si>
  <si>
    <t>LN-0158</t>
  </si>
  <si>
    <t>CUST-1158</t>
  </si>
  <si>
    <t>LN-0159</t>
  </si>
  <si>
    <t>CUST-1159</t>
  </si>
  <si>
    <t>LN-0160</t>
  </si>
  <si>
    <t>CUST-1160</t>
  </si>
  <si>
    <t>LN-0161</t>
  </si>
  <si>
    <t>CUST-1161</t>
  </si>
  <si>
    <t>LN-0162</t>
  </si>
  <si>
    <t>CUST-1162</t>
  </si>
  <si>
    <t>LN-0163</t>
  </si>
  <si>
    <t>CUST-1163</t>
  </si>
  <si>
    <t>LN-0164</t>
  </si>
  <si>
    <t>CUST-1164</t>
  </si>
  <si>
    <t>LN-0165</t>
  </si>
  <si>
    <t>CUST-1165</t>
  </si>
  <si>
    <t>LN-0166</t>
  </si>
  <si>
    <t>CUST-1166</t>
  </si>
  <si>
    <t>LN-0167</t>
  </si>
  <si>
    <t>CUST-1167</t>
  </si>
  <si>
    <t>LN-0168</t>
  </si>
  <si>
    <t>CUST-1168</t>
  </si>
  <si>
    <t>LN-0169</t>
  </si>
  <si>
    <t>CUST-1169</t>
  </si>
  <si>
    <t>LN-0170</t>
  </si>
  <si>
    <t>CUST-1170</t>
  </si>
  <si>
    <t>LN-0171</t>
  </si>
  <si>
    <t>CUST-1171</t>
  </si>
  <si>
    <t>LN-0172</t>
  </si>
  <si>
    <t>CUST-1172</t>
  </si>
  <si>
    <t>LN-0173</t>
  </si>
  <si>
    <t>CUST-1173</t>
  </si>
  <si>
    <t>LN-0174</t>
  </si>
  <si>
    <t>CUST-1174</t>
  </si>
  <si>
    <t>LN-0175</t>
  </si>
  <si>
    <t>CUST-1175</t>
  </si>
  <si>
    <t>LN-0176</t>
  </si>
  <si>
    <t>CUST-1176</t>
  </si>
  <si>
    <t>LN-0177</t>
  </si>
  <si>
    <t>CUST-1177</t>
  </si>
  <si>
    <t>LN-0178</t>
  </si>
  <si>
    <t>CUST-1178</t>
  </si>
  <si>
    <t>LN-0179</t>
  </si>
  <si>
    <t>CUST-1179</t>
  </si>
  <si>
    <t>LN-0180</t>
  </si>
  <si>
    <t>CUST-1180</t>
  </si>
  <si>
    <t>LN-0181</t>
  </si>
  <si>
    <t>CUST-1181</t>
  </si>
  <si>
    <t>LN-0182</t>
  </si>
  <si>
    <t>CUST-1182</t>
  </si>
  <si>
    <t>LN-0183</t>
  </si>
  <si>
    <t>CUST-1183</t>
  </si>
  <si>
    <t>LN-0184</t>
  </si>
  <si>
    <t>CUST-1184</t>
  </si>
  <si>
    <t>LN-0185</t>
  </si>
  <si>
    <t>CUST-1185</t>
  </si>
  <si>
    <t>LN-0186</t>
  </si>
  <si>
    <t>CUST-1186</t>
  </si>
  <si>
    <t>LN-0187</t>
  </si>
  <si>
    <t>CUST-1187</t>
  </si>
  <si>
    <t>LN-0188</t>
  </si>
  <si>
    <t>CUST-1188</t>
  </si>
  <si>
    <t>LN-0189</t>
  </si>
  <si>
    <t>CUST-1189</t>
  </si>
  <si>
    <t>LN-0190</t>
  </si>
  <si>
    <t>CUST-1190</t>
  </si>
  <si>
    <t>LN-0191</t>
  </si>
  <si>
    <t>CUST-1191</t>
  </si>
  <si>
    <t>LN-0192</t>
  </si>
  <si>
    <t>CUST-1192</t>
  </si>
  <si>
    <t>LN-0193</t>
  </si>
  <si>
    <t>CUST-1193</t>
  </si>
  <si>
    <t>LN-0194</t>
  </si>
  <si>
    <t>CUST-1194</t>
  </si>
  <si>
    <t>LN-0195</t>
  </si>
  <si>
    <t>CUST-1195</t>
  </si>
  <si>
    <t>LN-0196</t>
  </si>
  <si>
    <t>CUST-1196</t>
  </si>
  <si>
    <t>LN-0197</t>
  </si>
  <si>
    <t>CUST-1197</t>
  </si>
  <si>
    <t>LN-0198</t>
  </si>
  <si>
    <t>CUST-1198</t>
  </si>
  <si>
    <t>LN-0199</t>
  </si>
  <si>
    <t>CUST-1199</t>
  </si>
  <si>
    <t>LN-0200</t>
  </si>
  <si>
    <t>CUST-1200</t>
  </si>
  <si>
    <t>LN-0201</t>
  </si>
  <si>
    <t>CUST-1201</t>
  </si>
  <si>
    <t>LN-0202</t>
  </si>
  <si>
    <t>CUST-1202</t>
  </si>
  <si>
    <t>LN-0203</t>
  </si>
  <si>
    <t>CUST-1203</t>
  </si>
  <si>
    <t>LN-0204</t>
  </si>
  <si>
    <t>CUST-1204</t>
  </si>
  <si>
    <t>LN-0205</t>
  </si>
  <si>
    <t>CUST-1205</t>
  </si>
  <si>
    <t>LN-0206</t>
  </si>
  <si>
    <t>CUST-1206</t>
  </si>
  <si>
    <t>LN-0207</t>
  </si>
  <si>
    <t>CUST-1207</t>
  </si>
  <si>
    <t>LN-0208</t>
  </si>
  <si>
    <t>CUST-1208</t>
  </si>
  <si>
    <t>LN-0209</t>
  </si>
  <si>
    <t>CUST-1209</t>
  </si>
  <si>
    <t>LN-0210</t>
  </si>
  <si>
    <t>CUST-1210</t>
  </si>
  <si>
    <t>LN-0211</t>
  </si>
  <si>
    <t>CUST-1211</t>
  </si>
  <si>
    <t>LN-0212</t>
  </si>
  <si>
    <t>CUST-1212</t>
  </si>
  <si>
    <t>LN-0213</t>
  </si>
  <si>
    <t>CUST-1213</t>
  </si>
  <si>
    <t>LN-0214</t>
  </si>
  <si>
    <t>CUST-1214</t>
  </si>
  <si>
    <t>LN-0215</t>
  </si>
  <si>
    <t>CUST-1215</t>
  </si>
  <si>
    <t>LN-0216</t>
  </si>
  <si>
    <t>CUST-1216</t>
  </si>
  <si>
    <t>LN-0217</t>
  </si>
  <si>
    <t>CUST-1217</t>
  </si>
  <si>
    <t>LN-0218</t>
  </si>
  <si>
    <t>CUST-1218</t>
  </si>
  <si>
    <t>LN-0219</t>
  </si>
  <si>
    <t>CUST-1219</t>
  </si>
  <si>
    <t>LN-0220</t>
  </si>
  <si>
    <t>CUST-1220</t>
  </si>
  <si>
    <t>LN-0221</t>
  </si>
  <si>
    <t>CUST-1221</t>
  </si>
  <si>
    <t>LN-0222</t>
  </si>
  <si>
    <t>CUST-1222</t>
  </si>
  <si>
    <t>LN-0223</t>
  </si>
  <si>
    <t>CUST-1223</t>
  </si>
  <si>
    <t>LN-0224</t>
  </si>
  <si>
    <t>CUST-1224</t>
  </si>
  <si>
    <t>LN-0225</t>
  </si>
  <si>
    <t>CUST-1225</t>
  </si>
  <si>
    <t>LN-0226</t>
  </si>
  <si>
    <t>CUST-1226</t>
  </si>
  <si>
    <t>LN-0227</t>
  </si>
  <si>
    <t>CUST-1227</t>
  </si>
  <si>
    <t>LN-0228</t>
  </si>
  <si>
    <t>CUST-1228</t>
  </si>
  <si>
    <t>LN-0229</t>
  </si>
  <si>
    <t>CUST-1229</t>
  </si>
  <si>
    <t>LN-0230</t>
  </si>
  <si>
    <t>CUST-1230</t>
  </si>
  <si>
    <t>LN-0231</t>
  </si>
  <si>
    <t>CUST-1231</t>
  </si>
  <si>
    <t>LN-0232</t>
  </si>
  <si>
    <t>CUST-1232</t>
  </si>
  <si>
    <t>LN-0233</t>
  </si>
  <si>
    <t>CUST-1233</t>
  </si>
  <si>
    <t>LN-0234</t>
  </si>
  <si>
    <t>CUST-1234</t>
  </si>
  <si>
    <t>LN-0235</t>
  </si>
  <si>
    <t>CUST-1235</t>
  </si>
  <si>
    <t>LN-0236</t>
  </si>
  <si>
    <t>CUST-1236</t>
  </si>
  <si>
    <t>LN-0237</t>
  </si>
  <si>
    <t>CUST-1237</t>
  </si>
  <si>
    <t>LN-0238</t>
  </si>
  <si>
    <t>CUST-1238</t>
  </si>
  <si>
    <t>LN-0239</t>
  </si>
  <si>
    <t>CUST-1239</t>
  </si>
  <si>
    <t>LN-0240</t>
  </si>
  <si>
    <t>CUST-1240</t>
  </si>
  <si>
    <t>LN-0241</t>
  </si>
  <si>
    <t>CUST-1241</t>
  </si>
  <si>
    <t>LN-0242</t>
  </si>
  <si>
    <t>CUST-1242</t>
  </si>
  <si>
    <t>LN-0243</t>
  </si>
  <si>
    <t>CUST-1243</t>
  </si>
  <si>
    <t>LN-0244</t>
  </si>
  <si>
    <t>CUST-1244</t>
  </si>
  <si>
    <t>LN-0245</t>
  </si>
  <si>
    <t>CUST-1245</t>
  </si>
  <si>
    <t>LN-0246</t>
  </si>
  <si>
    <t>CUST-1246</t>
  </si>
  <si>
    <t>LN-0247</t>
  </si>
  <si>
    <t>CUST-1247</t>
  </si>
  <si>
    <t>LN-0248</t>
  </si>
  <si>
    <t>CUST-1248</t>
  </si>
  <si>
    <t>LN-0249</t>
  </si>
  <si>
    <t>CUST-1249</t>
  </si>
  <si>
    <t>LN-0250</t>
  </si>
  <si>
    <t>CUST-1250</t>
  </si>
  <si>
    <t>LN-0251</t>
  </si>
  <si>
    <t>CUST-1251</t>
  </si>
  <si>
    <t>LN-0252</t>
  </si>
  <si>
    <t>CUST-1252</t>
  </si>
  <si>
    <t>LN-0253</t>
  </si>
  <si>
    <t>CUST-1253</t>
  </si>
  <si>
    <t>LN-0254</t>
  </si>
  <si>
    <t>CUST-1254</t>
  </si>
  <si>
    <t>LN-0255</t>
  </si>
  <si>
    <t>CUST-1255</t>
  </si>
  <si>
    <t>LN-0256</t>
  </si>
  <si>
    <t>CUST-1256</t>
  </si>
  <si>
    <t>LN-0257</t>
  </si>
  <si>
    <t>CUST-1257</t>
  </si>
  <si>
    <t>LN-0258</t>
  </si>
  <si>
    <t>CUST-1258</t>
  </si>
  <si>
    <t>LN-0259</t>
  </si>
  <si>
    <t>CUST-1259</t>
  </si>
  <si>
    <t>LN-0260</t>
  </si>
  <si>
    <t>CUST-1260</t>
  </si>
  <si>
    <t>LN-0261</t>
  </si>
  <si>
    <t>CUST-1261</t>
  </si>
  <si>
    <t>LN-0262</t>
  </si>
  <si>
    <t>CUST-1262</t>
  </si>
  <si>
    <t>LN-0263</t>
  </si>
  <si>
    <t>CUST-1263</t>
  </si>
  <si>
    <t>LN-0264</t>
  </si>
  <si>
    <t>CUST-1264</t>
  </si>
  <si>
    <t>LN-0265</t>
  </si>
  <si>
    <t>CUST-1265</t>
  </si>
  <si>
    <t>LN-0266</t>
  </si>
  <si>
    <t>CUST-1266</t>
  </si>
  <si>
    <t>LN-0267</t>
  </si>
  <si>
    <t>CUST-1267</t>
  </si>
  <si>
    <t>LN-0268</t>
  </si>
  <si>
    <t>CUST-1268</t>
  </si>
  <si>
    <t>LN-0269</t>
  </si>
  <si>
    <t>CUST-1269</t>
  </si>
  <si>
    <t>LN-0270</t>
  </si>
  <si>
    <t>CUST-1270</t>
  </si>
  <si>
    <t>LN-0271</t>
  </si>
  <si>
    <t>CUST-1271</t>
  </si>
  <si>
    <t>LN-0272</t>
  </si>
  <si>
    <t>CUST-1272</t>
  </si>
  <si>
    <t>LN-0273</t>
  </si>
  <si>
    <t>CUST-1273</t>
  </si>
  <si>
    <t>LN-0274</t>
  </si>
  <si>
    <t>CUST-1274</t>
  </si>
  <si>
    <t>LN-0275</t>
  </si>
  <si>
    <t>CUST-1275</t>
  </si>
  <si>
    <t>LN-0276</t>
  </si>
  <si>
    <t>CUST-1276</t>
  </si>
  <si>
    <t>LN-0277</t>
  </si>
  <si>
    <t>CUST-1277</t>
  </si>
  <si>
    <t>LN-0278</t>
  </si>
  <si>
    <t>CUST-1278</t>
  </si>
  <si>
    <t>LN-0279</t>
  </si>
  <si>
    <t>CUST-1279</t>
  </si>
  <si>
    <t>LN-0280</t>
  </si>
  <si>
    <t>CUST-1280</t>
  </si>
  <si>
    <t>LN-0281</t>
  </si>
  <si>
    <t>CUST-1281</t>
  </si>
  <si>
    <t>LN-0282</t>
  </si>
  <si>
    <t>CUST-1282</t>
  </si>
  <si>
    <t>LN-0283</t>
  </si>
  <si>
    <t>CUST-1283</t>
  </si>
  <si>
    <t>LN-0284</t>
  </si>
  <si>
    <t>CUST-1284</t>
  </si>
  <si>
    <t>LN-0285</t>
  </si>
  <si>
    <t>CUST-1285</t>
  </si>
  <si>
    <t>LN-0286</t>
  </si>
  <si>
    <t>CUST-1286</t>
  </si>
  <si>
    <t>LN-0287</t>
  </si>
  <si>
    <t>CUST-1287</t>
  </si>
  <si>
    <t>LN-0288</t>
  </si>
  <si>
    <t>CUST-1288</t>
  </si>
  <si>
    <t>LN-0289</t>
  </si>
  <si>
    <t>CUST-1289</t>
  </si>
  <si>
    <t>LN-0290</t>
  </si>
  <si>
    <t>CUST-1290</t>
  </si>
  <si>
    <t>LN-0291</t>
  </si>
  <si>
    <t>CUST-1291</t>
  </si>
  <si>
    <t>LN-0292</t>
  </si>
  <si>
    <t>CUST-1292</t>
  </si>
  <si>
    <t>LN-0293</t>
  </si>
  <si>
    <t>CUST-1293</t>
  </si>
  <si>
    <t>LN-0294</t>
  </si>
  <si>
    <t>CUST-1294</t>
  </si>
  <si>
    <t>LN-0295</t>
  </si>
  <si>
    <t>CUST-1295</t>
  </si>
  <si>
    <t>LN-0296</t>
  </si>
  <si>
    <t>CUST-1296</t>
  </si>
  <si>
    <t>LN-0297</t>
  </si>
  <si>
    <t>CUST-1297</t>
  </si>
  <si>
    <t>LN-0298</t>
  </si>
  <si>
    <t>CUST-1298</t>
  </si>
  <si>
    <t>LN-0299</t>
  </si>
  <si>
    <t>CUST-1299</t>
  </si>
  <si>
    <t>LN-0300</t>
  </si>
  <si>
    <t>CUST-1300</t>
  </si>
  <si>
    <t>LN-0301</t>
  </si>
  <si>
    <t>CUST-1301</t>
  </si>
  <si>
    <t>LN-0302</t>
  </si>
  <si>
    <t>CUST-1302</t>
  </si>
  <si>
    <t>LN-0303</t>
  </si>
  <si>
    <t>CUST-1303</t>
  </si>
  <si>
    <t>LN-0304</t>
  </si>
  <si>
    <t>CUST-1304</t>
  </si>
  <si>
    <t>LN-0305</t>
  </si>
  <si>
    <t>CUST-1305</t>
  </si>
  <si>
    <t>LN-0306</t>
  </si>
  <si>
    <t>CUST-1306</t>
  </si>
  <si>
    <t>LN-0307</t>
  </si>
  <si>
    <t>CUST-1307</t>
  </si>
  <si>
    <t>LN-0308</t>
  </si>
  <si>
    <t>CUST-1308</t>
  </si>
  <si>
    <t>LN-0309</t>
  </si>
  <si>
    <t>CUST-1309</t>
  </si>
  <si>
    <t>LN-0310</t>
  </si>
  <si>
    <t>CUST-1310</t>
  </si>
  <si>
    <t>LN-0311</t>
  </si>
  <si>
    <t>CUST-1311</t>
  </si>
  <si>
    <t>LN-0312</t>
  </si>
  <si>
    <t>CUST-1312</t>
  </si>
  <si>
    <t>LN-0313</t>
  </si>
  <si>
    <t>CUST-1313</t>
  </si>
  <si>
    <t>LN-0314</t>
  </si>
  <si>
    <t>CUST-1314</t>
  </si>
  <si>
    <t>LN-0315</t>
  </si>
  <si>
    <t>CUST-1315</t>
  </si>
  <si>
    <t>LN-0316</t>
  </si>
  <si>
    <t>CUST-1316</t>
  </si>
  <si>
    <t>LN-0317</t>
  </si>
  <si>
    <t>CUST-1317</t>
  </si>
  <si>
    <t>LN-0318</t>
  </si>
  <si>
    <t>CUST-1318</t>
  </si>
  <si>
    <t>LN-0319</t>
  </si>
  <si>
    <t>CUST-1319</t>
  </si>
  <si>
    <t>LN-0320</t>
  </si>
  <si>
    <t>CUST-1320</t>
  </si>
  <si>
    <t>LN-0321</t>
  </si>
  <si>
    <t>CUST-1321</t>
  </si>
  <si>
    <t>LN-0322</t>
  </si>
  <si>
    <t>CUST-1322</t>
  </si>
  <si>
    <t>LN-0323</t>
  </si>
  <si>
    <t>CUST-1323</t>
  </si>
  <si>
    <t>LN-0324</t>
  </si>
  <si>
    <t>CUST-1324</t>
  </si>
  <si>
    <t>LN-0325</t>
  </si>
  <si>
    <t>CUST-1325</t>
  </si>
  <si>
    <t>LN-0326</t>
  </si>
  <si>
    <t>CUST-1326</t>
  </si>
  <si>
    <t>LN-0327</t>
  </si>
  <si>
    <t>CUST-1327</t>
  </si>
  <si>
    <t>LN-0328</t>
  </si>
  <si>
    <t>CUST-1328</t>
  </si>
  <si>
    <t>LN-0329</t>
  </si>
  <si>
    <t>CUST-1329</t>
  </si>
  <si>
    <t>LN-0330</t>
  </si>
  <si>
    <t>CUST-1330</t>
  </si>
  <si>
    <t>LN-0331</t>
  </si>
  <si>
    <t>CUST-1331</t>
  </si>
  <si>
    <t>LN-0332</t>
  </si>
  <si>
    <t>CUST-1332</t>
  </si>
  <si>
    <t>LN-0333</t>
  </si>
  <si>
    <t>CUST-1333</t>
  </si>
  <si>
    <t>LN-0334</t>
  </si>
  <si>
    <t>CUST-1334</t>
  </si>
  <si>
    <t>LN-0335</t>
  </si>
  <si>
    <t>CUST-1335</t>
  </si>
  <si>
    <t>LN-0336</t>
  </si>
  <si>
    <t>CUST-1336</t>
  </si>
  <si>
    <t>LN-0337</t>
  </si>
  <si>
    <t>CUST-1337</t>
  </si>
  <si>
    <t>LN-0338</t>
  </si>
  <si>
    <t>CUST-1338</t>
  </si>
  <si>
    <t>LN-0339</t>
  </si>
  <si>
    <t>CUST-1339</t>
  </si>
  <si>
    <t>LN-0340</t>
  </si>
  <si>
    <t>CUST-1340</t>
  </si>
  <si>
    <t>LN-0341</t>
  </si>
  <si>
    <t>CUST-1341</t>
  </si>
  <si>
    <t>LN-0342</t>
  </si>
  <si>
    <t>CUST-1342</t>
  </si>
  <si>
    <t>LN-0343</t>
  </si>
  <si>
    <t>CUST-1343</t>
  </si>
  <si>
    <t>LN-0344</t>
  </si>
  <si>
    <t>CUST-1344</t>
  </si>
  <si>
    <t>LN-0345</t>
  </si>
  <si>
    <t>CUST-1345</t>
  </si>
  <si>
    <t>LN-0346</t>
  </si>
  <si>
    <t>CUST-1346</t>
  </si>
  <si>
    <t>LN-0347</t>
  </si>
  <si>
    <t>CUST-1347</t>
  </si>
  <si>
    <t>LN-0348</t>
  </si>
  <si>
    <t>CUST-1348</t>
  </si>
  <si>
    <t>LN-0349</t>
  </si>
  <si>
    <t>CUST-1349</t>
  </si>
  <si>
    <t>LN-0350</t>
  </si>
  <si>
    <t>CUST-1350</t>
  </si>
  <si>
    <t>LN-0351</t>
  </si>
  <si>
    <t>CUST-1351</t>
  </si>
  <si>
    <t>LN-0352</t>
  </si>
  <si>
    <t>CUST-1352</t>
  </si>
  <si>
    <t>LN-0353</t>
  </si>
  <si>
    <t>CUST-1353</t>
  </si>
  <si>
    <t>LN-0354</t>
  </si>
  <si>
    <t>CUST-1354</t>
  </si>
  <si>
    <t>LN-0355</t>
  </si>
  <si>
    <t>CUST-1355</t>
  </si>
  <si>
    <t>LN-0356</t>
  </si>
  <si>
    <t>CUST-1356</t>
  </si>
  <si>
    <t>LN-0357</t>
  </si>
  <si>
    <t>CUST-1357</t>
  </si>
  <si>
    <t>LN-0358</t>
  </si>
  <si>
    <t>CUST-1358</t>
  </si>
  <si>
    <t>LN-0359</t>
  </si>
  <si>
    <t>CUST-1359</t>
  </si>
  <si>
    <t>LN-0360</t>
  </si>
  <si>
    <t>CUST-1360</t>
  </si>
  <si>
    <t>LN-0361</t>
  </si>
  <si>
    <t>CUST-1361</t>
  </si>
  <si>
    <t>LN-0362</t>
  </si>
  <si>
    <t>CUST-1362</t>
  </si>
  <si>
    <t>LN-0363</t>
  </si>
  <si>
    <t>CUST-1363</t>
  </si>
  <si>
    <t>LN-0364</t>
  </si>
  <si>
    <t>CUST-1364</t>
  </si>
  <si>
    <t>LN-0365</t>
  </si>
  <si>
    <t>CUST-1365</t>
  </si>
  <si>
    <t>LN-0366</t>
  </si>
  <si>
    <t>CUST-1366</t>
  </si>
  <si>
    <t>LN-0367</t>
  </si>
  <si>
    <t>CUST-1367</t>
  </si>
  <si>
    <t>LN-0368</t>
  </si>
  <si>
    <t>CUST-1368</t>
  </si>
  <si>
    <t>LN-0369</t>
  </si>
  <si>
    <t>CUST-1369</t>
  </si>
  <si>
    <t>LN-0370</t>
  </si>
  <si>
    <t>CUST-1370</t>
  </si>
  <si>
    <t>LN-0371</t>
  </si>
  <si>
    <t>CUST-1371</t>
  </si>
  <si>
    <t>LN-0372</t>
  </si>
  <si>
    <t>CUST-1372</t>
  </si>
  <si>
    <t>LN-0373</t>
  </si>
  <si>
    <t>CUST-1373</t>
  </si>
  <si>
    <t>LN-0374</t>
  </si>
  <si>
    <t>CUST-1374</t>
  </si>
  <si>
    <t>LN-0375</t>
  </si>
  <si>
    <t>CUST-1375</t>
  </si>
  <si>
    <t>LN-0376</t>
  </si>
  <si>
    <t>CUST-1376</t>
  </si>
  <si>
    <t>LN-0377</t>
  </si>
  <si>
    <t>CUST-1377</t>
  </si>
  <si>
    <t>LN-0378</t>
  </si>
  <si>
    <t>CUST-1378</t>
  </si>
  <si>
    <t>LN-0379</t>
  </si>
  <si>
    <t>CUST-1379</t>
  </si>
  <si>
    <t>LN-0380</t>
  </si>
  <si>
    <t>CUST-1380</t>
  </si>
  <si>
    <t>LN-0381</t>
  </si>
  <si>
    <t>CUST-1381</t>
  </si>
  <si>
    <t>LN-0382</t>
  </si>
  <si>
    <t>CUST-1382</t>
  </si>
  <si>
    <t>LN-0383</t>
  </si>
  <si>
    <t>CUST-1383</t>
  </si>
  <si>
    <t>LN-0384</t>
  </si>
  <si>
    <t>CUST-1384</t>
  </si>
  <si>
    <t>LN-0385</t>
  </si>
  <si>
    <t>CUST-1385</t>
  </si>
  <si>
    <t>LN-0386</t>
  </si>
  <si>
    <t>CUST-1386</t>
  </si>
  <si>
    <t>LN-0387</t>
  </si>
  <si>
    <t>CUST-1387</t>
  </si>
  <si>
    <t>LN-0388</t>
  </si>
  <si>
    <t>CUST-1388</t>
  </si>
  <si>
    <t>LN-0389</t>
  </si>
  <si>
    <t>CUST-1389</t>
  </si>
  <si>
    <t>LN-0390</t>
  </si>
  <si>
    <t>CUST-1390</t>
  </si>
  <si>
    <t>LN-0391</t>
  </si>
  <si>
    <t>CUST-1391</t>
  </si>
  <si>
    <t>LN-0392</t>
  </si>
  <si>
    <t>CUST-1392</t>
  </si>
  <si>
    <t>LN-0393</t>
  </si>
  <si>
    <t>CUST-1393</t>
  </si>
  <si>
    <t>LN-0394</t>
  </si>
  <si>
    <t>CUST-1394</t>
  </si>
  <si>
    <t>LN-0395</t>
  </si>
  <si>
    <t>CUST-1395</t>
  </si>
  <si>
    <t>LN-0396</t>
  </si>
  <si>
    <t>CUST-1396</t>
  </si>
  <si>
    <t>LN-0397</t>
  </si>
  <si>
    <t>CUST-1397</t>
  </si>
  <si>
    <t>LN-0398</t>
  </si>
  <si>
    <t>CUST-1398</t>
  </si>
  <si>
    <t>LN-0399</t>
  </si>
  <si>
    <t>CUST-1399</t>
  </si>
  <si>
    <t>LN-0400</t>
  </si>
  <si>
    <t>CUST-1400</t>
  </si>
  <si>
    <t>LN-0401</t>
  </si>
  <si>
    <t>CUST-1401</t>
  </si>
  <si>
    <t>LN-0402</t>
  </si>
  <si>
    <t>CUST-1402</t>
  </si>
  <si>
    <t>LN-0403</t>
  </si>
  <si>
    <t>CUST-1403</t>
  </si>
  <si>
    <t>LN-0404</t>
  </si>
  <si>
    <t>CUST-1404</t>
  </si>
  <si>
    <t>LN-0405</t>
  </si>
  <si>
    <t>CUST-1405</t>
  </si>
  <si>
    <t>LN-0406</t>
  </si>
  <si>
    <t>CUST-1406</t>
  </si>
  <si>
    <t>LN-0407</t>
  </si>
  <si>
    <t>CUST-1407</t>
  </si>
  <si>
    <t>LN-0408</t>
  </si>
  <si>
    <t>CUST-1408</t>
  </si>
  <si>
    <t>LN-0409</t>
  </si>
  <si>
    <t>CUST-1409</t>
  </si>
  <si>
    <t>LN-0410</t>
  </si>
  <si>
    <t>CUST-1410</t>
  </si>
  <si>
    <t>LN-0411</t>
  </si>
  <si>
    <t>CUST-1411</t>
  </si>
  <si>
    <t>LN-0412</t>
  </si>
  <si>
    <t>CUST-1412</t>
  </si>
  <si>
    <t>LN-0413</t>
  </si>
  <si>
    <t>CUST-1413</t>
  </si>
  <si>
    <t>LN-0414</t>
  </si>
  <si>
    <t>CUST-1414</t>
  </si>
  <si>
    <t>LN-0415</t>
  </si>
  <si>
    <t>CUST-1415</t>
  </si>
  <si>
    <t>LN-0416</t>
  </si>
  <si>
    <t>CUST-1416</t>
  </si>
  <si>
    <t>LN-0417</t>
  </si>
  <si>
    <t>CUST-1417</t>
  </si>
  <si>
    <t>LN-0418</t>
  </si>
  <si>
    <t>CUST-1418</t>
  </si>
  <si>
    <t>LN-0419</t>
  </si>
  <si>
    <t>CUST-1419</t>
  </si>
  <si>
    <t>LN-0420</t>
  </si>
  <si>
    <t>CUST-1420</t>
  </si>
  <si>
    <t>LN-0421</t>
  </si>
  <si>
    <t>CUST-1421</t>
  </si>
  <si>
    <t>LN-0422</t>
  </si>
  <si>
    <t>CUST-1422</t>
  </si>
  <si>
    <t>LN-0423</t>
  </si>
  <si>
    <t>CUST-1423</t>
  </si>
  <si>
    <t>LN-0424</t>
  </si>
  <si>
    <t>CUST-1424</t>
  </si>
  <si>
    <t>LN-0425</t>
  </si>
  <si>
    <t>CUST-1425</t>
  </si>
  <si>
    <t>LN-0426</t>
  </si>
  <si>
    <t>CUST-1426</t>
  </si>
  <si>
    <t>LN-0427</t>
  </si>
  <si>
    <t>CUST-1427</t>
  </si>
  <si>
    <t>LN-0428</t>
  </si>
  <si>
    <t>CUST-1428</t>
  </si>
  <si>
    <t>LN-0429</t>
  </si>
  <si>
    <t>CUST-1429</t>
  </si>
  <si>
    <t>LN-0430</t>
  </si>
  <si>
    <t>CUST-1430</t>
  </si>
  <si>
    <t>LN-0431</t>
  </si>
  <si>
    <t>CUST-1431</t>
  </si>
  <si>
    <t>LN-0432</t>
  </si>
  <si>
    <t>CUST-1432</t>
  </si>
  <si>
    <t>LN-0433</t>
  </si>
  <si>
    <t>CUST-1433</t>
  </si>
  <si>
    <t>LN-0434</t>
  </si>
  <si>
    <t>CUST-1434</t>
  </si>
  <si>
    <t>LN-0435</t>
  </si>
  <si>
    <t>CUST-1435</t>
  </si>
  <si>
    <t>LN-0436</t>
  </si>
  <si>
    <t>CUST-1436</t>
  </si>
  <si>
    <t>LN-0437</t>
  </si>
  <si>
    <t>CUST-1437</t>
  </si>
  <si>
    <t>LN-0438</t>
  </si>
  <si>
    <t>CUST-1438</t>
  </si>
  <si>
    <t>LN-0439</t>
  </si>
  <si>
    <t>CUST-1439</t>
  </si>
  <si>
    <t>LN-0440</t>
  </si>
  <si>
    <t>CUST-1440</t>
  </si>
  <si>
    <t>LN-0441</t>
  </si>
  <si>
    <t>CUST-1441</t>
  </si>
  <si>
    <t>LN-0442</t>
  </si>
  <si>
    <t>CUST-1442</t>
  </si>
  <si>
    <t>LN-0443</t>
  </si>
  <si>
    <t>CUST-1443</t>
  </si>
  <si>
    <t>LN-0444</t>
  </si>
  <si>
    <t>CUST-1444</t>
  </si>
  <si>
    <t>LN-0445</t>
  </si>
  <si>
    <t>CUST-1445</t>
  </si>
  <si>
    <t>LN-0446</t>
  </si>
  <si>
    <t>CUST-1446</t>
  </si>
  <si>
    <t>LN-0447</t>
  </si>
  <si>
    <t>CUST-1447</t>
  </si>
  <si>
    <t>LN-0448</t>
  </si>
  <si>
    <t>CUST-1448</t>
  </si>
  <si>
    <t>LN-0449</t>
  </si>
  <si>
    <t>CUST-1449</t>
  </si>
  <si>
    <t>LN-0450</t>
  </si>
  <si>
    <t>CUST-1450</t>
  </si>
  <si>
    <t>LN-0451</t>
  </si>
  <si>
    <t>CUST-1451</t>
  </si>
  <si>
    <t>LN-0452</t>
  </si>
  <si>
    <t>CUST-1452</t>
  </si>
  <si>
    <t>LN-0453</t>
  </si>
  <si>
    <t>CUST-1453</t>
  </si>
  <si>
    <t>LN-0454</t>
  </si>
  <si>
    <t>CUST-1454</t>
  </si>
  <si>
    <t>LN-0455</t>
  </si>
  <si>
    <t>CUST-1455</t>
  </si>
  <si>
    <t>LN-0456</t>
  </si>
  <si>
    <t>CUST-1456</t>
  </si>
  <si>
    <t>LN-0457</t>
  </si>
  <si>
    <t>CUST-1457</t>
  </si>
  <si>
    <t>LN-0458</t>
  </si>
  <si>
    <t>CUST-1458</t>
  </si>
  <si>
    <t>LN-0459</t>
  </si>
  <si>
    <t>CUST-1459</t>
  </si>
  <si>
    <t>LN-0460</t>
  </si>
  <si>
    <t>CUST-1460</t>
  </si>
  <si>
    <t>LN-0461</t>
  </si>
  <si>
    <t>CUST-1461</t>
  </si>
  <si>
    <t>LN-0462</t>
  </si>
  <si>
    <t>CUST-1462</t>
  </si>
  <si>
    <t>LN-0463</t>
  </si>
  <si>
    <t>CUST-1463</t>
  </si>
  <si>
    <t>LN-0464</t>
  </si>
  <si>
    <t>CUST-1464</t>
  </si>
  <si>
    <t>LN-0465</t>
  </si>
  <si>
    <t>CUST-1465</t>
  </si>
  <si>
    <t>LN-0466</t>
  </si>
  <si>
    <t>CUST-1466</t>
  </si>
  <si>
    <t>LN-0467</t>
  </si>
  <si>
    <t>CUST-1467</t>
  </si>
  <si>
    <t>LN-0468</t>
  </si>
  <si>
    <t>CUST-1468</t>
  </si>
  <si>
    <t>LN-0469</t>
  </si>
  <si>
    <t>CUST-1469</t>
  </si>
  <si>
    <t>LN-0470</t>
  </si>
  <si>
    <t>CUST-1470</t>
  </si>
  <si>
    <t>LN-0471</t>
  </si>
  <si>
    <t>CUST-1471</t>
  </si>
  <si>
    <t>LN-0472</t>
  </si>
  <si>
    <t>CUST-1472</t>
  </si>
  <si>
    <t>LN-0473</t>
  </si>
  <si>
    <t>CUST-1473</t>
  </si>
  <si>
    <t>LN-0474</t>
  </si>
  <si>
    <t>CUST-1474</t>
  </si>
  <si>
    <t>LN-0475</t>
  </si>
  <si>
    <t>CUST-1475</t>
  </si>
  <si>
    <t>LN-0476</t>
  </si>
  <si>
    <t>CUST-1476</t>
  </si>
  <si>
    <t>LN-0477</t>
  </si>
  <si>
    <t>CUST-1477</t>
  </si>
  <si>
    <t>LN-0478</t>
  </si>
  <si>
    <t>CUST-1478</t>
  </si>
  <si>
    <t>LN-0479</t>
  </si>
  <si>
    <t>CUST-1479</t>
  </si>
  <si>
    <t>LN-0480</t>
  </si>
  <si>
    <t>CUST-1480</t>
  </si>
  <si>
    <t>LN-0481</t>
  </si>
  <si>
    <t>CUST-1481</t>
  </si>
  <si>
    <t>LN-0482</t>
  </si>
  <si>
    <t>CUST-1482</t>
  </si>
  <si>
    <t>LN-0483</t>
  </si>
  <si>
    <t>CUST-1483</t>
  </si>
  <si>
    <t>LN-0484</t>
  </si>
  <si>
    <t>CUST-1484</t>
  </si>
  <si>
    <t>LN-0485</t>
  </si>
  <si>
    <t>CUST-1485</t>
  </si>
  <si>
    <t>LN-0486</t>
  </si>
  <si>
    <t>CUST-1486</t>
  </si>
  <si>
    <t>LN-0487</t>
  </si>
  <si>
    <t>CUST-1487</t>
  </si>
  <si>
    <t>LN-0488</t>
  </si>
  <si>
    <t>CUST-1488</t>
  </si>
  <si>
    <t>LN-0489</t>
  </si>
  <si>
    <t>CUST-1489</t>
  </si>
  <si>
    <t>LN-0490</t>
  </si>
  <si>
    <t>CUST-1490</t>
  </si>
  <si>
    <t>LN-0491</t>
  </si>
  <si>
    <t>CUST-1491</t>
  </si>
  <si>
    <t>LN-0492</t>
  </si>
  <si>
    <t>CUST-1492</t>
  </si>
  <si>
    <t>LN-0493</t>
  </si>
  <si>
    <t>CUST-1493</t>
  </si>
  <si>
    <t>LN-0494</t>
  </si>
  <si>
    <t>CUST-1494</t>
  </si>
  <si>
    <t>LN-0495</t>
  </si>
  <si>
    <t>CUST-1495</t>
  </si>
  <si>
    <t>LN-0496</t>
  </si>
  <si>
    <t>CUST-1496</t>
  </si>
  <si>
    <t>LN-0497</t>
  </si>
  <si>
    <t>CUST-1497</t>
  </si>
  <si>
    <t>LN-0498</t>
  </si>
  <si>
    <t>CUST-1498</t>
  </si>
  <si>
    <t>LN-0499</t>
  </si>
  <si>
    <t>CUST-1499</t>
  </si>
  <si>
    <t>LN-0500</t>
  </si>
  <si>
    <t>CUST-1500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</si>
</sst>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56E9-AD63-4AC2-8FA6-513AECDD0CC7}">
  <dimension ref="A1:T501"/>
  <sheetViews>
    <sheetView tabSelected="1" workbookViewId="0">
      <selection activeCell="W488" sqref="W488"/>
    </sheetView>
  </sheetViews>
  <sheetFormatPr defaultRowHeight="14.4" x14ac:dyDescent="0.3"/>
  <sheetData>
    <row r="1" spans="1:20" ht="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3">
        <v>66000</v>
      </c>
      <c r="E2" s="4">
        <v>0.1</v>
      </c>
      <c r="F2" s="5">
        <f t="shared" ref="F2:F65" si="0">D2*E2</f>
        <v>6600</v>
      </c>
      <c r="G2" s="5">
        <f t="shared" ref="G2:G65" si="1">D2-F2</f>
        <v>59400</v>
      </c>
      <c r="H2" s="6">
        <v>0.122</v>
      </c>
      <c r="I2" s="7">
        <v>24</v>
      </c>
      <c r="J2" s="8">
        <f t="shared" ref="J2:J65" si="2">H2/12</f>
        <v>1.0166666666666666E-2</v>
      </c>
      <c r="K2" s="5">
        <f t="shared" ref="K2:K65" si="3">-PMT(J2,I2,G2)</f>
        <v>2801.7153556443263</v>
      </c>
      <c r="L2" s="5">
        <f t="shared" ref="L2:L65" si="4">K2*I2</f>
        <v>67241.168535463832</v>
      </c>
      <c r="M2" s="5">
        <f t="shared" ref="M2:M65" si="5">L2-G2</f>
        <v>7841.1685354638321</v>
      </c>
      <c r="N2" s="5">
        <v>594</v>
      </c>
      <c r="O2" s="5">
        <v>7722</v>
      </c>
      <c r="P2" s="2" t="s">
        <v>23</v>
      </c>
      <c r="Q2" s="5">
        <v>0</v>
      </c>
      <c r="R2" s="5">
        <f t="shared" ref="R2:R65" si="6">M2+N2-O2-Q2</f>
        <v>713.16853546383209</v>
      </c>
      <c r="S2" s="2" t="s">
        <v>24</v>
      </c>
      <c r="T2" s="2" t="s">
        <v>25</v>
      </c>
    </row>
    <row r="3" spans="1:20" x14ac:dyDescent="0.3">
      <c r="A3" s="9" t="s">
        <v>26</v>
      </c>
      <c r="B3" s="9" t="s">
        <v>27</v>
      </c>
      <c r="C3" s="9" t="s">
        <v>28</v>
      </c>
      <c r="D3" s="10">
        <v>28700</v>
      </c>
      <c r="E3" s="11">
        <v>0.2</v>
      </c>
      <c r="F3" s="12">
        <f t="shared" si="0"/>
        <v>5740</v>
      </c>
      <c r="G3" s="12">
        <f t="shared" si="1"/>
        <v>22960</v>
      </c>
      <c r="H3" s="13">
        <v>0.13750000000000001</v>
      </c>
      <c r="I3" s="14">
        <v>24</v>
      </c>
      <c r="J3" s="15">
        <f t="shared" si="2"/>
        <v>1.1458333333333334E-2</v>
      </c>
      <c r="K3" s="12">
        <f t="shared" si="3"/>
        <v>1099.666085316901</v>
      </c>
      <c r="L3" s="12">
        <f t="shared" si="4"/>
        <v>26391.986047605624</v>
      </c>
      <c r="M3" s="12">
        <f t="shared" si="5"/>
        <v>3431.9860476056238</v>
      </c>
      <c r="N3" s="12">
        <v>499</v>
      </c>
      <c r="O3" s="12">
        <v>2984.8</v>
      </c>
      <c r="P3" s="9" t="s">
        <v>29</v>
      </c>
      <c r="Q3" s="12">
        <v>9184</v>
      </c>
      <c r="R3" s="12">
        <f t="shared" si="6"/>
        <v>-8237.8139523943755</v>
      </c>
      <c r="S3" s="9" t="s">
        <v>30</v>
      </c>
      <c r="T3" s="9" t="s">
        <v>31</v>
      </c>
    </row>
    <row r="4" spans="1:20" x14ac:dyDescent="0.3">
      <c r="A4" s="2" t="s">
        <v>32</v>
      </c>
      <c r="B4" s="2" t="s">
        <v>33</v>
      </c>
      <c r="C4" s="2" t="s">
        <v>22</v>
      </c>
      <c r="D4" s="3">
        <v>190800</v>
      </c>
      <c r="E4" s="4">
        <v>0.15</v>
      </c>
      <c r="F4" s="5">
        <f t="shared" si="0"/>
        <v>28620</v>
      </c>
      <c r="G4" s="5">
        <f t="shared" si="1"/>
        <v>162180</v>
      </c>
      <c r="H4" s="6">
        <v>0.1176</v>
      </c>
      <c r="I4" s="7">
        <v>60</v>
      </c>
      <c r="J4" s="8">
        <f t="shared" si="2"/>
        <v>9.7999999999999997E-3</v>
      </c>
      <c r="K4" s="5">
        <f t="shared" si="3"/>
        <v>3587.9662049004705</v>
      </c>
      <c r="L4" s="5">
        <f t="shared" si="4"/>
        <v>215277.97229402824</v>
      </c>
      <c r="M4" s="5">
        <f t="shared" si="5"/>
        <v>53097.972294028237</v>
      </c>
      <c r="N4" s="5">
        <v>1621.8</v>
      </c>
      <c r="O4" s="5">
        <v>52708.5</v>
      </c>
      <c r="P4" s="2" t="s">
        <v>23</v>
      </c>
      <c r="Q4" s="5">
        <v>0</v>
      </c>
      <c r="R4" s="5">
        <f t="shared" si="6"/>
        <v>2011.2722940282401</v>
      </c>
      <c r="S4" s="2" t="s">
        <v>24</v>
      </c>
      <c r="T4" s="2" t="s">
        <v>34</v>
      </c>
    </row>
    <row r="5" spans="1:20" x14ac:dyDescent="0.3">
      <c r="A5" s="9" t="s">
        <v>35</v>
      </c>
      <c r="B5" s="9" t="s">
        <v>36</v>
      </c>
      <c r="C5" s="9" t="s">
        <v>22</v>
      </c>
      <c r="D5" s="10">
        <v>141700</v>
      </c>
      <c r="E5" s="11">
        <v>0.05</v>
      </c>
      <c r="F5" s="12">
        <f t="shared" si="0"/>
        <v>7085</v>
      </c>
      <c r="G5" s="12">
        <f t="shared" si="1"/>
        <v>134615</v>
      </c>
      <c r="H5" s="13">
        <v>0.1124</v>
      </c>
      <c r="I5" s="14">
        <v>36</v>
      </c>
      <c r="J5" s="15">
        <f t="shared" si="2"/>
        <v>9.3666666666666672E-3</v>
      </c>
      <c r="K5" s="12">
        <f t="shared" si="3"/>
        <v>4422.4378509915659</v>
      </c>
      <c r="L5" s="12">
        <f t="shared" si="4"/>
        <v>159207.76263569639</v>
      </c>
      <c r="M5" s="12">
        <f t="shared" si="5"/>
        <v>24592.762635696388</v>
      </c>
      <c r="N5" s="12">
        <v>1346.15</v>
      </c>
      <c r="O5" s="12">
        <v>26249.925000000003</v>
      </c>
      <c r="P5" s="9" t="s">
        <v>37</v>
      </c>
      <c r="Q5" s="12">
        <v>0</v>
      </c>
      <c r="R5" s="12">
        <f t="shared" si="6"/>
        <v>-311.01236430361314</v>
      </c>
      <c r="S5" s="9" t="s">
        <v>24</v>
      </c>
      <c r="T5" s="9" t="s">
        <v>38</v>
      </c>
    </row>
    <row r="6" spans="1:20" x14ac:dyDescent="0.3">
      <c r="A6" s="2" t="s">
        <v>39</v>
      </c>
      <c r="B6" s="2" t="s">
        <v>40</v>
      </c>
      <c r="C6" s="2" t="s">
        <v>41</v>
      </c>
      <c r="D6" s="3">
        <v>1064100</v>
      </c>
      <c r="E6" s="4">
        <v>0.3</v>
      </c>
      <c r="F6" s="5">
        <f t="shared" si="0"/>
        <v>319230</v>
      </c>
      <c r="G6" s="5">
        <f t="shared" si="1"/>
        <v>744870</v>
      </c>
      <c r="H6" s="6">
        <v>0.10920000000000001</v>
      </c>
      <c r="I6" s="7">
        <v>72</v>
      </c>
      <c r="J6" s="8">
        <f t="shared" si="2"/>
        <v>9.1000000000000004E-3</v>
      </c>
      <c r="K6" s="5">
        <f t="shared" si="3"/>
        <v>14147.412048111035</v>
      </c>
      <c r="L6" s="5">
        <f t="shared" si="4"/>
        <v>1018613.6674639945</v>
      </c>
      <c r="M6" s="5">
        <f t="shared" si="5"/>
        <v>273743.66746399447</v>
      </c>
      <c r="N6" s="5">
        <v>7448.7</v>
      </c>
      <c r="O6" s="5">
        <v>290499.30000000005</v>
      </c>
      <c r="P6" s="2" t="s">
        <v>37</v>
      </c>
      <c r="Q6" s="5">
        <v>0</v>
      </c>
      <c r="R6" s="5">
        <f t="shared" si="6"/>
        <v>-9306.9325360055664</v>
      </c>
      <c r="S6" s="2" t="s">
        <v>42</v>
      </c>
      <c r="T6" s="2" t="s">
        <v>43</v>
      </c>
    </row>
    <row r="7" spans="1:20" x14ac:dyDescent="0.3">
      <c r="A7" s="9" t="s">
        <v>44</v>
      </c>
      <c r="B7" s="9" t="s">
        <v>45</v>
      </c>
      <c r="C7" s="9" t="s">
        <v>28</v>
      </c>
      <c r="D7" s="10">
        <v>128700</v>
      </c>
      <c r="E7" s="11">
        <v>0.2</v>
      </c>
      <c r="F7" s="12">
        <f t="shared" si="0"/>
        <v>25740</v>
      </c>
      <c r="G7" s="12">
        <f t="shared" si="1"/>
        <v>102960</v>
      </c>
      <c r="H7" s="13">
        <v>0.16950000000000001</v>
      </c>
      <c r="I7" s="14">
        <v>12</v>
      </c>
      <c r="J7" s="15">
        <f t="shared" si="2"/>
        <v>1.4125E-2</v>
      </c>
      <c r="K7" s="12">
        <f t="shared" si="3"/>
        <v>9387.9983718841049</v>
      </c>
      <c r="L7" s="12">
        <f t="shared" si="4"/>
        <v>112655.98046260927</v>
      </c>
      <c r="M7" s="12">
        <f t="shared" si="5"/>
        <v>9695.9804626092664</v>
      </c>
      <c r="N7" s="12">
        <v>1029.5999999999999</v>
      </c>
      <c r="O7" s="12">
        <v>6692.4000000000005</v>
      </c>
      <c r="P7" s="9" t="s">
        <v>37</v>
      </c>
      <c r="Q7" s="12">
        <v>0</v>
      </c>
      <c r="R7" s="12">
        <f t="shared" si="6"/>
        <v>4033.1804626092662</v>
      </c>
      <c r="S7" s="9" t="s">
        <v>24</v>
      </c>
      <c r="T7" s="9" t="s">
        <v>46</v>
      </c>
    </row>
    <row r="8" spans="1:20" x14ac:dyDescent="0.3">
      <c r="A8" s="2" t="s">
        <v>47</v>
      </c>
      <c r="B8" s="2" t="s">
        <v>48</v>
      </c>
      <c r="C8" s="2" t="s">
        <v>22</v>
      </c>
      <c r="D8" s="3">
        <v>245500</v>
      </c>
      <c r="E8" s="4">
        <v>0.05</v>
      </c>
      <c r="F8" s="5">
        <f t="shared" si="0"/>
        <v>12275</v>
      </c>
      <c r="G8" s="5">
        <f t="shared" si="1"/>
        <v>233225</v>
      </c>
      <c r="H8" s="6">
        <v>0.17879999999999999</v>
      </c>
      <c r="I8" s="7">
        <v>24</v>
      </c>
      <c r="J8" s="8">
        <f t="shared" si="2"/>
        <v>1.4899999999999998E-2</v>
      </c>
      <c r="K8" s="5">
        <f t="shared" si="3"/>
        <v>11630.030482913397</v>
      </c>
      <c r="L8" s="5">
        <f t="shared" si="4"/>
        <v>279120.73158992152</v>
      </c>
      <c r="M8" s="5">
        <f t="shared" si="5"/>
        <v>45895.731589921517</v>
      </c>
      <c r="N8" s="5">
        <v>2332.25</v>
      </c>
      <c r="O8" s="5">
        <v>30319.25</v>
      </c>
      <c r="P8" s="2" t="s">
        <v>23</v>
      </c>
      <c r="Q8" s="5">
        <v>0</v>
      </c>
      <c r="R8" s="5">
        <f t="shared" si="6"/>
        <v>17908.731589921517</v>
      </c>
      <c r="S8" s="2" t="s">
        <v>42</v>
      </c>
      <c r="T8" s="2" t="s">
        <v>49</v>
      </c>
    </row>
    <row r="9" spans="1:20" x14ac:dyDescent="0.3">
      <c r="A9" s="9" t="s">
        <v>50</v>
      </c>
      <c r="B9" s="9" t="s">
        <v>51</v>
      </c>
      <c r="C9" s="9" t="s">
        <v>41</v>
      </c>
      <c r="D9" s="10">
        <v>578900</v>
      </c>
      <c r="E9" s="11">
        <v>0.1</v>
      </c>
      <c r="F9" s="12">
        <f t="shared" si="0"/>
        <v>57890</v>
      </c>
      <c r="G9" s="12">
        <f t="shared" si="1"/>
        <v>521010</v>
      </c>
      <c r="H9" s="13">
        <v>9.5699999999999993E-2</v>
      </c>
      <c r="I9" s="14">
        <v>60</v>
      </c>
      <c r="J9" s="15">
        <f t="shared" si="2"/>
        <v>7.9749999999999995E-3</v>
      </c>
      <c r="K9" s="12">
        <f t="shared" si="3"/>
        <v>10960.011231980345</v>
      </c>
      <c r="L9" s="12">
        <f t="shared" si="4"/>
        <v>657600.67391882068</v>
      </c>
      <c r="M9" s="12">
        <f t="shared" si="5"/>
        <v>136590.67391882068</v>
      </c>
      <c r="N9" s="12">
        <v>5210.1000000000004</v>
      </c>
      <c r="O9" s="12">
        <v>169328.25</v>
      </c>
      <c r="P9" s="9" t="s">
        <v>23</v>
      </c>
      <c r="Q9" s="12">
        <v>0</v>
      </c>
      <c r="R9" s="12">
        <f t="shared" si="6"/>
        <v>-27527.476081179309</v>
      </c>
      <c r="S9" s="9" t="s">
        <v>30</v>
      </c>
      <c r="T9" s="9" t="s">
        <v>52</v>
      </c>
    </row>
    <row r="10" spans="1:20" x14ac:dyDescent="0.3">
      <c r="A10" s="2" t="s">
        <v>53</v>
      </c>
      <c r="B10" s="2" t="s">
        <v>54</v>
      </c>
      <c r="C10" s="2" t="s">
        <v>22</v>
      </c>
      <c r="D10" s="3">
        <v>99200</v>
      </c>
      <c r="E10" s="4">
        <v>0.1</v>
      </c>
      <c r="F10" s="5">
        <f t="shared" si="0"/>
        <v>9920</v>
      </c>
      <c r="G10" s="5">
        <f t="shared" si="1"/>
        <v>89280</v>
      </c>
      <c r="H10" s="6">
        <v>0.13039999999999999</v>
      </c>
      <c r="I10" s="7">
        <v>60</v>
      </c>
      <c r="J10" s="8">
        <f t="shared" si="2"/>
        <v>1.0866666666666665E-2</v>
      </c>
      <c r="K10" s="5">
        <f t="shared" si="3"/>
        <v>2033.2229618560355</v>
      </c>
      <c r="L10" s="5">
        <f t="shared" si="4"/>
        <v>121993.37771136213</v>
      </c>
      <c r="M10" s="5">
        <f t="shared" si="5"/>
        <v>32713.377711362133</v>
      </c>
      <c r="N10" s="5">
        <v>892.80000000000007</v>
      </c>
      <c r="O10" s="5">
        <v>29016</v>
      </c>
      <c r="P10" s="2" t="s">
        <v>23</v>
      </c>
      <c r="Q10" s="5">
        <v>0</v>
      </c>
      <c r="R10" s="5">
        <f t="shared" si="6"/>
        <v>4590.1777113621356</v>
      </c>
      <c r="S10" s="2" t="s">
        <v>24</v>
      </c>
      <c r="T10" s="2" t="s">
        <v>55</v>
      </c>
    </row>
    <row r="11" spans="1:20" x14ac:dyDescent="0.3">
      <c r="A11" s="9" t="s">
        <v>56</v>
      </c>
      <c r="B11" s="9" t="s">
        <v>57</v>
      </c>
      <c r="C11" s="9" t="s">
        <v>41</v>
      </c>
      <c r="D11" s="10">
        <v>1285600</v>
      </c>
      <c r="E11" s="11">
        <v>0.15</v>
      </c>
      <c r="F11" s="12">
        <f t="shared" si="0"/>
        <v>192840</v>
      </c>
      <c r="G11" s="12">
        <f t="shared" si="1"/>
        <v>1092760</v>
      </c>
      <c r="H11" s="13">
        <v>9.7000000000000003E-2</v>
      </c>
      <c r="I11" s="14">
        <v>36</v>
      </c>
      <c r="J11" s="15">
        <f t="shared" si="2"/>
        <v>8.083333333333333E-3</v>
      </c>
      <c r="K11" s="12">
        <f t="shared" si="3"/>
        <v>35106.578575429186</v>
      </c>
      <c r="L11" s="12">
        <f t="shared" si="4"/>
        <v>1263836.8287154506</v>
      </c>
      <c r="M11" s="12">
        <f t="shared" si="5"/>
        <v>171076.8287154506</v>
      </c>
      <c r="N11" s="12">
        <v>10927.6</v>
      </c>
      <c r="O11" s="12">
        <v>213088.2</v>
      </c>
      <c r="P11" s="9" t="s">
        <v>23</v>
      </c>
      <c r="Q11" s="12">
        <v>0</v>
      </c>
      <c r="R11" s="12">
        <f t="shared" si="6"/>
        <v>-31083.77128454941</v>
      </c>
      <c r="S11" s="9" t="s">
        <v>58</v>
      </c>
      <c r="T11" s="9" t="s">
        <v>55</v>
      </c>
    </row>
    <row r="12" spans="1:20" x14ac:dyDescent="0.3">
      <c r="A12" s="2" t="s">
        <v>59</v>
      </c>
      <c r="B12" s="2" t="s">
        <v>60</v>
      </c>
      <c r="C12" s="2" t="s">
        <v>22</v>
      </c>
      <c r="D12" s="3">
        <v>155000</v>
      </c>
      <c r="E12" s="4">
        <v>0.1</v>
      </c>
      <c r="F12" s="5">
        <f t="shared" si="0"/>
        <v>15500</v>
      </c>
      <c r="G12" s="5">
        <f t="shared" si="1"/>
        <v>139500</v>
      </c>
      <c r="H12" s="6">
        <v>0.17319999999999999</v>
      </c>
      <c r="I12" s="7">
        <v>48</v>
      </c>
      <c r="J12" s="8">
        <f t="shared" si="2"/>
        <v>1.4433333333333333E-2</v>
      </c>
      <c r="K12" s="5">
        <f t="shared" si="3"/>
        <v>4048.4106627182946</v>
      </c>
      <c r="L12" s="5">
        <f t="shared" si="4"/>
        <v>194323.71181047813</v>
      </c>
      <c r="M12" s="5">
        <f t="shared" si="5"/>
        <v>54823.711810478126</v>
      </c>
      <c r="N12" s="5">
        <v>1395</v>
      </c>
      <c r="O12" s="5">
        <v>36270</v>
      </c>
      <c r="P12" s="2" t="s">
        <v>37</v>
      </c>
      <c r="Q12" s="5">
        <v>0</v>
      </c>
      <c r="R12" s="5">
        <f t="shared" si="6"/>
        <v>19948.711810478126</v>
      </c>
      <c r="S12" s="2" t="s">
        <v>30</v>
      </c>
      <c r="T12" s="2" t="s">
        <v>31</v>
      </c>
    </row>
    <row r="13" spans="1:20" x14ac:dyDescent="0.3">
      <c r="A13" s="9" t="s">
        <v>61</v>
      </c>
      <c r="B13" s="9" t="s">
        <v>62</v>
      </c>
      <c r="C13" s="9" t="s">
        <v>22</v>
      </c>
      <c r="D13" s="10">
        <v>123100</v>
      </c>
      <c r="E13" s="11">
        <v>0.2</v>
      </c>
      <c r="F13" s="12">
        <f t="shared" si="0"/>
        <v>24620</v>
      </c>
      <c r="G13" s="12">
        <f t="shared" si="1"/>
        <v>98480</v>
      </c>
      <c r="H13" s="13">
        <v>0.14680000000000001</v>
      </c>
      <c r="I13" s="14">
        <v>60</v>
      </c>
      <c r="J13" s="15">
        <f t="shared" si="2"/>
        <v>1.2233333333333334E-2</v>
      </c>
      <c r="K13" s="12">
        <f t="shared" si="3"/>
        <v>2326.3229804464022</v>
      </c>
      <c r="L13" s="12">
        <f t="shared" si="4"/>
        <v>139579.37882678414</v>
      </c>
      <c r="M13" s="12">
        <f t="shared" si="5"/>
        <v>41099.378826784145</v>
      </c>
      <c r="N13" s="12">
        <v>984.80000000000007</v>
      </c>
      <c r="O13" s="12">
        <v>32006</v>
      </c>
      <c r="P13" s="9" t="s">
        <v>23</v>
      </c>
      <c r="Q13" s="12">
        <v>0</v>
      </c>
      <c r="R13" s="12">
        <f t="shared" si="6"/>
        <v>10078.178826784148</v>
      </c>
      <c r="S13" s="9" t="s">
        <v>30</v>
      </c>
      <c r="T13" s="9" t="s">
        <v>52</v>
      </c>
    </row>
    <row r="14" spans="1:20" x14ac:dyDescent="0.3">
      <c r="A14" s="2" t="s">
        <v>63</v>
      </c>
      <c r="B14" s="2" t="s">
        <v>64</v>
      </c>
      <c r="C14" s="2" t="s">
        <v>28</v>
      </c>
      <c r="D14" s="3">
        <v>119500</v>
      </c>
      <c r="E14" s="4">
        <v>0.05</v>
      </c>
      <c r="F14" s="5">
        <f t="shared" si="0"/>
        <v>5975</v>
      </c>
      <c r="G14" s="5">
        <f t="shared" si="1"/>
        <v>113525</v>
      </c>
      <c r="H14" s="6">
        <v>0.18890000000000001</v>
      </c>
      <c r="I14" s="7">
        <v>9</v>
      </c>
      <c r="J14" s="8">
        <f t="shared" si="2"/>
        <v>1.5741666666666668E-2</v>
      </c>
      <c r="K14" s="5">
        <f t="shared" si="3"/>
        <v>13627.376007841807</v>
      </c>
      <c r="L14" s="5">
        <f t="shared" si="4"/>
        <v>122646.38407057627</v>
      </c>
      <c r="M14" s="5">
        <f t="shared" si="5"/>
        <v>9121.3840705762705</v>
      </c>
      <c r="N14" s="5">
        <v>1135.25</v>
      </c>
      <c r="O14" s="5">
        <v>5534.34375</v>
      </c>
      <c r="P14" s="2" t="s">
        <v>23</v>
      </c>
      <c r="Q14" s="5">
        <v>0</v>
      </c>
      <c r="R14" s="5">
        <f t="shared" si="6"/>
        <v>4722.2903205762705</v>
      </c>
      <c r="S14" s="2" t="s">
        <v>42</v>
      </c>
      <c r="T14" s="2" t="s">
        <v>25</v>
      </c>
    </row>
    <row r="15" spans="1:20" x14ac:dyDescent="0.3">
      <c r="A15" s="9" t="s">
        <v>65</v>
      </c>
      <c r="B15" s="9" t="s">
        <v>66</v>
      </c>
      <c r="C15" s="9" t="s">
        <v>67</v>
      </c>
      <c r="D15" s="10">
        <v>50700</v>
      </c>
      <c r="E15" s="11">
        <v>0.05</v>
      </c>
      <c r="F15" s="12">
        <f t="shared" si="0"/>
        <v>2535</v>
      </c>
      <c r="G15" s="12">
        <f t="shared" si="1"/>
        <v>48165</v>
      </c>
      <c r="H15" s="13">
        <v>0.21970000000000001</v>
      </c>
      <c r="I15" s="14">
        <v>18</v>
      </c>
      <c r="J15" s="15">
        <f t="shared" si="2"/>
        <v>1.8308333333333333E-2</v>
      </c>
      <c r="K15" s="12">
        <f t="shared" si="3"/>
        <v>3165.120168667755</v>
      </c>
      <c r="L15" s="12">
        <f t="shared" si="4"/>
        <v>56972.163036019592</v>
      </c>
      <c r="M15" s="12">
        <f t="shared" si="5"/>
        <v>8807.1630360195923</v>
      </c>
      <c r="N15" s="12">
        <v>499</v>
      </c>
      <c r="O15" s="12">
        <v>4696.0874999999996</v>
      </c>
      <c r="P15" s="9" t="s">
        <v>23</v>
      </c>
      <c r="Q15" s="12">
        <v>0</v>
      </c>
      <c r="R15" s="12">
        <f t="shared" si="6"/>
        <v>4610.0755360195926</v>
      </c>
      <c r="S15" s="9" t="s">
        <v>24</v>
      </c>
      <c r="T15" s="9" t="s">
        <v>49</v>
      </c>
    </row>
    <row r="16" spans="1:20" x14ac:dyDescent="0.3">
      <c r="A16" s="2" t="s">
        <v>68</v>
      </c>
      <c r="B16" s="2" t="s">
        <v>69</v>
      </c>
      <c r="C16" s="2" t="s">
        <v>22</v>
      </c>
      <c r="D16" s="3">
        <v>223600</v>
      </c>
      <c r="E16" s="4">
        <v>0.15</v>
      </c>
      <c r="F16" s="5">
        <f t="shared" si="0"/>
        <v>33540</v>
      </c>
      <c r="G16" s="5">
        <f t="shared" si="1"/>
        <v>190060</v>
      </c>
      <c r="H16" s="6">
        <v>0.14299999999999999</v>
      </c>
      <c r="I16" s="7">
        <v>36</v>
      </c>
      <c r="J16" s="8">
        <f t="shared" si="2"/>
        <v>1.1916666666666666E-2</v>
      </c>
      <c r="K16" s="5">
        <f t="shared" si="3"/>
        <v>6523.5278039928317</v>
      </c>
      <c r="L16" s="5">
        <f t="shared" si="4"/>
        <v>234847.00094374194</v>
      </c>
      <c r="M16" s="5">
        <f t="shared" si="5"/>
        <v>44787.000943741936</v>
      </c>
      <c r="N16" s="5">
        <v>1900.6000000000001</v>
      </c>
      <c r="O16" s="5">
        <v>37061.699999999997</v>
      </c>
      <c r="P16" s="2" t="s">
        <v>37</v>
      </c>
      <c r="Q16" s="5">
        <v>0</v>
      </c>
      <c r="R16" s="5">
        <f t="shared" si="6"/>
        <v>9625.9009437419372</v>
      </c>
      <c r="S16" s="2" t="s">
        <v>42</v>
      </c>
      <c r="T16" s="2" t="s">
        <v>34</v>
      </c>
    </row>
    <row r="17" spans="1:20" x14ac:dyDescent="0.3">
      <c r="A17" s="9" t="s">
        <v>70</v>
      </c>
      <c r="B17" s="9" t="s">
        <v>71</v>
      </c>
      <c r="C17" s="9" t="s">
        <v>28</v>
      </c>
      <c r="D17" s="10">
        <v>144200</v>
      </c>
      <c r="E17" s="11">
        <v>0.2</v>
      </c>
      <c r="F17" s="12">
        <f t="shared" si="0"/>
        <v>28840</v>
      </c>
      <c r="G17" s="12">
        <f t="shared" si="1"/>
        <v>115360</v>
      </c>
      <c r="H17" s="13">
        <v>0.19009999999999999</v>
      </c>
      <c r="I17" s="14">
        <v>12</v>
      </c>
      <c r="J17" s="15">
        <f t="shared" si="2"/>
        <v>1.5841666666666667E-2</v>
      </c>
      <c r="K17" s="12">
        <f t="shared" si="3"/>
        <v>10631.733435315138</v>
      </c>
      <c r="L17" s="12">
        <f t="shared" si="4"/>
        <v>127580.80122378166</v>
      </c>
      <c r="M17" s="12">
        <f t="shared" si="5"/>
        <v>12220.801223781658</v>
      </c>
      <c r="N17" s="12">
        <v>1153.6000000000001</v>
      </c>
      <c r="O17" s="12">
        <v>7498.4000000000005</v>
      </c>
      <c r="P17" s="9" t="s">
        <v>23</v>
      </c>
      <c r="Q17" s="12">
        <v>0</v>
      </c>
      <c r="R17" s="12">
        <f t="shared" si="6"/>
        <v>5876.0012237816582</v>
      </c>
      <c r="S17" s="9" t="s">
        <v>24</v>
      </c>
      <c r="T17" s="9" t="s">
        <v>49</v>
      </c>
    </row>
    <row r="18" spans="1:20" x14ac:dyDescent="0.3">
      <c r="A18" s="2" t="s">
        <v>72</v>
      </c>
      <c r="B18" s="2" t="s">
        <v>73</v>
      </c>
      <c r="C18" s="2" t="s">
        <v>67</v>
      </c>
      <c r="D18" s="3">
        <v>79600</v>
      </c>
      <c r="E18" s="4">
        <v>0.05</v>
      </c>
      <c r="F18" s="5">
        <f t="shared" si="0"/>
        <v>3980</v>
      </c>
      <c r="G18" s="5">
        <f t="shared" si="1"/>
        <v>75620</v>
      </c>
      <c r="H18" s="6">
        <v>0.18870000000000001</v>
      </c>
      <c r="I18" s="7">
        <v>6</v>
      </c>
      <c r="J18" s="8">
        <f t="shared" si="2"/>
        <v>1.5724999999999999E-2</v>
      </c>
      <c r="K18" s="5">
        <f t="shared" si="3"/>
        <v>13306.006993349993</v>
      </c>
      <c r="L18" s="5">
        <f t="shared" si="4"/>
        <v>79836.041960099959</v>
      </c>
      <c r="M18" s="5">
        <f t="shared" si="5"/>
        <v>4216.0419600999594</v>
      </c>
      <c r="N18" s="5">
        <v>756.2</v>
      </c>
      <c r="O18" s="5">
        <v>2457.65</v>
      </c>
      <c r="P18" s="2" t="s">
        <v>23</v>
      </c>
      <c r="Q18" s="5">
        <v>0</v>
      </c>
      <c r="R18" s="5">
        <f t="shared" si="6"/>
        <v>2514.5919600999591</v>
      </c>
      <c r="S18" s="2" t="s">
        <v>24</v>
      </c>
      <c r="T18" s="2" t="s">
        <v>25</v>
      </c>
    </row>
    <row r="19" spans="1:20" x14ac:dyDescent="0.3">
      <c r="A19" s="9" t="s">
        <v>74</v>
      </c>
      <c r="B19" s="9" t="s">
        <v>75</v>
      </c>
      <c r="C19" s="9" t="s">
        <v>28</v>
      </c>
      <c r="D19" s="10">
        <v>27400</v>
      </c>
      <c r="E19" s="11">
        <v>0.05</v>
      </c>
      <c r="F19" s="12">
        <f t="shared" si="0"/>
        <v>1370</v>
      </c>
      <c r="G19" s="12">
        <f t="shared" si="1"/>
        <v>26030</v>
      </c>
      <c r="H19" s="13">
        <v>0.1943</v>
      </c>
      <c r="I19" s="14">
        <v>12</v>
      </c>
      <c r="J19" s="15">
        <f t="shared" si="2"/>
        <v>1.6191666666666667E-2</v>
      </c>
      <c r="K19" s="12">
        <f t="shared" si="3"/>
        <v>2404.1808490383578</v>
      </c>
      <c r="L19" s="12">
        <f t="shared" si="4"/>
        <v>28850.170188460295</v>
      </c>
      <c r="M19" s="12">
        <f t="shared" si="5"/>
        <v>2820.1701884602953</v>
      </c>
      <c r="N19" s="12">
        <v>499</v>
      </c>
      <c r="O19" s="12">
        <v>1691.95</v>
      </c>
      <c r="P19" s="9" t="s">
        <v>29</v>
      </c>
      <c r="Q19" s="12">
        <v>10412</v>
      </c>
      <c r="R19" s="12">
        <f t="shared" si="6"/>
        <v>-8784.7798115397054</v>
      </c>
      <c r="S19" s="9" t="s">
        <v>24</v>
      </c>
      <c r="T19" s="9" t="s">
        <v>43</v>
      </c>
    </row>
    <row r="20" spans="1:20" x14ac:dyDescent="0.3">
      <c r="A20" s="2" t="s">
        <v>76</v>
      </c>
      <c r="B20" s="2" t="s">
        <v>77</v>
      </c>
      <c r="C20" s="2" t="s">
        <v>22</v>
      </c>
      <c r="D20" s="3">
        <v>255800</v>
      </c>
      <c r="E20" s="4">
        <v>0.1</v>
      </c>
      <c r="F20" s="5">
        <f t="shared" si="0"/>
        <v>25580</v>
      </c>
      <c r="G20" s="5">
        <f t="shared" si="1"/>
        <v>230220</v>
      </c>
      <c r="H20" s="6">
        <v>0.1782</v>
      </c>
      <c r="I20" s="7">
        <v>60</v>
      </c>
      <c r="J20" s="8">
        <f t="shared" si="2"/>
        <v>1.485E-2</v>
      </c>
      <c r="K20" s="5">
        <f t="shared" si="3"/>
        <v>5823.5552078236524</v>
      </c>
      <c r="L20" s="5">
        <f t="shared" si="4"/>
        <v>349413.31246941915</v>
      </c>
      <c r="M20" s="5">
        <f t="shared" si="5"/>
        <v>119193.31246941915</v>
      </c>
      <c r="N20" s="5">
        <v>2302.2000000000003</v>
      </c>
      <c r="O20" s="5">
        <v>74821.5</v>
      </c>
      <c r="P20" s="2" t="s">
        <v>37</v>
      </c>
      <c r="Q20" s="5">
        <v>0</v>
      </c>
      <c r="R20" s="5">
        <f t="shared" si="6"/>
        <v>46674.012469419147</v>
      </c>
      <c r="S20" s="2" t="s">
        <v>42</v>
      </c>
      <c r="T20" s="2" t="s">
        <v>52</v>
      </c>
    </row>
    <row r="21" spans="1:20" x14ac:dyDescent="0.3">
      <c r="A21" s="9" t="s">
        <v>78</v>
      </c>
      <c r="B21" s="9" t="s">
        <v>79</v>
      </c>
      <c r="C21" s="9" t="s">
        <v>67</v>
      </c>
      <c r="D21" s="10">
        <v>67100</v>
      </c>
      <c r="E21" s="11">
        <v>0.15</v>
      </c>
      <c r="F21" s="12">
        <f t="shared" si="0"/>
        <v>10065</v>
      </c>
      <c r="G21" s="12">
        <f t="shared" si="1"/>
        <v>57035</v>
      </c>
      <c r="H21" s="13">
        <v>0.1885</v>
      </c>
      <c r="I21" s="14">
        <v>6</v>
      </c>
      <c r="J21" s="15">
        <f t="shared" si="2"/>
        <v>1.5708333333333335E-2</v>
      </c>
      <c r="K21" s="12">
        <f t="shared" si="3"/>
        <v>10035.243212956349</v>
      </c>
      <c r="L21" s="12">
        <f t="shared" si="4"/>
        <v>60211.459277738097</v>
      </c>
      <c r="M21" s="12">
        <f t="shared" si="5"/>
        <v>3176.4592777380967</v>
      </c>
      <c r="N21" s="12">
        <v>570.35</v>
      </c>
      <c r="O21" s="12">
        <v>1853.6375</v>
      </c>
      <c r="P21" s="9" t="s">
        <v>23</v>
      </c>
      <c r="Q21" s="12">
        <v>0</v>
      </c>
      <c r="R21" s="12">
        <f t="shared" si="6"/>
        <v>1893.1717777380966</v>
      </c>
      <c r="S21" s="9" t="s">
        <v>30</v>
      </c>
      <c r="T21" s="9" t="s">
        <v>31</v>
      </c>
    </row>
    <row r="22" spans="1:20" x14ac:dyDescent="0.3">
      <c r="A22" s="2" t="s">
        <v>80</v>
      </c>
      <c r="B22" s="2" t="s">
        <v>81</v>
      </c>
      <c r="C22" s="2" t="s">
        <v>67</v>
      </c>
      <c r="D22" s="3">
        <v>119500</v>
      </c>
      <c r="E22" s="4">
        <v>0.15</v>
      </c>
      <c r="F22" s="5">
        <f t="shared" si="0"/>
        <v>17925</v>
      </c>
      <c r="G22" s="5">
        <f t="shared" si="1"/>
        <v>101575</v>
      </c>
      <c r="H22" s="6">
        <v>0.192</v>
      </c>
      <c r="I22" s="7">
        <v>12</v>
      </c>
      <c r="J22" s="8">
        <f t="shared" si="2"/>
        <v>1.6E-2</v>
      </c>
      <c r="K22" s="5">
        <f t="shared" si="3"/>
        <v>9370.5026329130233</v>
      </c>
      <c r="L22" s="5">
        <f t="shared" si="4"/>
        <v>112446.03159495628</v>
      </c>
      <c r="M22" s="5">
        <f t="shared" si="5"/>
        <v>10871.031594956279</v>
      </c>
      <c r="N22" s="5">
        <v>1015.75</v>
      </c>
      <c r="O22" s="5">
        <v>6602.375</v>
      </c>
      <c r="P22" s="2" t="s">
        <v>23</v>
      </c>
      <c r="Q22" s="5">
        <v>0</v>
      </c>
      <c r="R22" s="5">
        <f t="shared" si="6"/>
        <v>5284.4065949562792</v>
      </c>
      <c r="S22" s="2" t="s">
        <v>30</v>
      </c>
      <c r="T22" s="2" t="s">
        <v>55</v>
      </c>
    </row>
    <row r="23" spans="1:20" x14ac:dyDescent="0.3">
      <c r="A23" s="9" t="s">
        <v>82</v>
      </c>
      <c r="B23" s="9" t="s">
        <v>83</v>
      </c>
      <c r="C23" s="9" t="s">
        <v>67</v>
      </c>
      <c r="D23" s="10">
        <v>10400</v>
      </c>
      <c r="E23" s="11">
        <v>0</v>
      </c>
      <c r="F23" s="12">
        <f t="shared" si="0"/>
        <v>0</v>
      </c>
      <c r="G23" s="12">
        <f t="shared" si="1"/>
        <v>10400</v>
      </c>
      <c r="H23" s="13">
        <v>0.18429999999999999</v>
      </c>
      <c r="I23" s="14">
        <v>18</v>
      </c>
      <c r="J23" s="15">
        <f t="shared" si="2"/>
        <v>1.5358333333333333E-2</v>
      </c>
      <c r="K23" s="12">
        <f t="shared" si="3"/>
        <v>665.71385155718531</v>
      </c>
      <c r="L23" s="12">
        <f t="shared" si="4"/>
        <v>11982.849328029335</v>
      </c>
      <c r="M23" s="12">
        <f t="shared" si="5"/>
        <v>1582.8493280293351</v>
      </c>
      <c r="N23" s="12">
        <v>499</v>
      </c>
      <c r="O23" s="12">
        <v>1014</v>
      </c>
      <c r="P23" s="9" t="s">
        <v>29</v>
      </c>
      <c r="Q23" s="12">
        <v>4160</v>
      </c>
      <c r="R23" s="12">
        <f t="shared" si="6"/>
        <v>-3092.1506719706649</v>
      </c>
      <c r="S23" s="9" t="s">
        <v>24</v>
      </c>
      <c r="T23" s="9" t="s">
        <v>55</v>
      </c>
    </row>
    <row r="24" spans="1:20" x14ac:dyDescent="0.3">
      <c r="A24" s="2" t="s">
        <v>84</v>
      </c>
      <c r="B24" s="2" t="s">
        <v>85</v>
      </c>
      <c r="C24" s="2" t="s">
        <v>67</v>
      </c>
      <c r="D24" s="3">
        <v>11500</v>
      </c>
      <c r="E24" s="4">
        <v>0</v>
      </c>
      <c r="F24" s="5">
        <f t="shared" si="0"/>
        <v>0</v>
      </c>
      <c r="G24" s="5">
        <f t="shared" si="1"/>
        <v>11500</v>
      </c>
      <c r="H24" s="6">
        <v>0.16639999999999999</v>
      </c>
      <c r="I24" s="7">
        <v>18</v>
      </c>
      <c r="J24" s="8">
        <f t="shared" si="2"/>
        <v>1.3866666666666666E-2</v>
      </c>
      <c r="K24" s="5">
        <f t="shared" si="3"/>
        <v>726.33243606329438</v>
      </c>
      <c r="L24" s="5">
        <f t="shared" si="4"/>
        <v>13073.983849139298</v>
      </c>
      <c r="M24" s="5">
        <f t="shared" si="5"/>
        <v>1573.9838491392984</v>
      </c>
      <c r="N24" s="5">
        <v>499</v>
      </c>
      <c r="O24" s="5">
        <v>1121.25</v>
      </c>
      <c r="P24" s="2" t="s">
        <v>37</v>
      </c>
      <c r="Q24" s="5">
        <v>0</v>
      </c>
      <c r="R24" s="5">
        <f t="shared" si="6"/>
        <v>951.7338491392984</v>
      </c>
      <c r="S24" s="2" t="s">
        <v>42</v>
      </c>
      <c r="T24" s="2" t="s">
        <v>55</v>
      </c>
    </row>
    <row r="25" spans="1:20" x14ac:dyDescent="0.3">
      <c r="A25" s="9" t="s">
        <v>86</v>
      </c>
      <c r="B25" s="9" t="s">
        <v>87</v>
      </c>
      <c r="C25" s="9" t="s">
        <v>28</v>
      </c>
      <c r="D25" s="10">
        <v>115400</v>
      </c>
      <c r="E25" s="11">
        <v>0.15</v>
      </c>
      <c r="F25" s="12">
        <f t="shared" si="0"/>
        <v>17310</v>
      </c>
      <c r="G25" s="12">
        <f t="shared" si="1"/>
        <v>98090</v>
      </c>
      <c r="H25" s="13">
        <v>0.19059999999999999</v>
      </c>
      <c r="I25" s="14">
        <v>24</v>
      </c>
      <c r="J25" s="15">
        <f t="shared" si="2"/>
        <v>1.5883333333333333E-2</v>
      </c>
      <c r="K25" s="12">
        <f t="shared" si="3"/>
        <v>4947.4411636903824</v>
      </c>
      <c r="L25" s="12">
        <f t="shared" si="4"/>
        <v>118738.58792856918</v>
      </c>
      <c r="M25" s="12">
        <f t="shared" si="5"/>
        <v>20648.587928569177</v>
      </c>
      <c r="N25" s="12">
        <v>980.9</v>
      </c>
      <c r="O25" s="12">
        <v>12751.7</v>
      </c>
      <c r="P25" s="9" t="s">
        <v>37</v>
      </c>
      <c r="Q25" s="12">
        <v>0</v>
      </c>
      <c r="R25" s="12">
        <f t="shared" si="6"/>
        <v>8877.7879285691779</v>
      </c>
      <c r="S25" s="9" t="s">
        <v>42</v>
      </c>
      <c r="T25" s="9" t="s">
        <v>88</v>
      </c>
    </row>
    <row r="26" spans="1:20" x14ac:dyDescent="0.3">
      <c r="A26" s="2" t="s">
        <v>89</v>
      </c>
      <c r="B26" s="2" t="s">
        <v>90</v>
      </c>
      <c r="C26" s="2" t="s">
        <v>67</v>
      </c>
      <c r="D26" s="3">
        <v>18900</v>
      </c>
      <c r="E26" s="4">
        <v>0.1</v>
      </c>
      <c r="F26" s="5">
        <f t="shared" si="0"/>
        <v>1890</v>
      </c>
      <c r="G26" s="5">
        <f t="shared" si="1"/>
        <v>17010</v>
      </c>
      <c r="H26" s="6">
        <v>0.17449999999999999</v>
      </c>
      <c r="I26" s="7">
        <v>12</v>
      </c>
      <c r="J26" s="8">
        <f t="shared" si="2"/>
        <v>1.4541666666666666E-2</v>
      </c>
      <c r="K26" s="5">
        <f t="shared" si="3"/>
        <v>1555.0277313216341</v>
      </c>
      <c r="L26" s="5">
        <f t="shared" si="4"/>
        <v>18660.33277585961</v>
      </c>
      <c r="M26" s="5">
        <f t="shared" si="5"/>
        <v>1650.3327758596097</v>
      </c>
      <c r="N26" s="5">
        <v>499</v>
      </c>
      <c r="O26" s="5">
        <v>1105.6500000000001</v>
      </c>
      <c r="P26" s="2" t="s">
        <v>23</v>
      </c>
      <c r="Q26" s="5">
        <v>0</v>
      </c>
      <c r="R26" s="5">
        <f t="shared" si="6"/>
        <v>1043.6827758596096</v>
      </c>
      <c r="S26" s="2" t="s">
        <v>24</v>
      </c>
      <c r="T26" s="2" t="s">
        <v>49</v>
      </c>
    </row>
    <row r="27" spans="1:20" x14ac:dyDescent="0.3">
      <c r="A27" s="9" t="s">
        <v>91</v>
      </c>
      <c r="B27" s="9" t="s">
        <v>92</v>
      </c>
      <c r="C27" s="9" t="s">
        <v>22</v>
      </c>
      <c r="D27" s="10">
        <v>215100</v>
      </c>
      <c r="E27" s="11">
        <v>0.05</v>
      </c>
      <c r="F27" s="12">
        <f t="shared" si="0"/>
        <v>10755</v>
      </c>
      <c r="G27" s="12">
        <f t="shared" si="1"/>
        <v>204345</v>
      </c>
      <c r="H27" s="13">
        <v>0.1048</v>
      </c>
      <c r="I27" s="14">
        <v>36</v>
      </c>
      <c r="J27" s="15">
        <f t="shared" si="2"/>
        <v>8.7333333333333343E-3</v>
      </c>
      <c r="K27" s="12">
        <f t="shared" si="3"/>
        <v>6639.7848864820307</v>
      </c>
      <c r="L27" s="12">
        <f t="shared" si="4"/>
        <v>239032.25591335312</v>
      </c>
      <c r="M27" s="12">
        <f t="shared" si="5"/>
        <v>34687.255913353118</v>
      </c>
      <c r="N27" s="12">
        <v>2043.45</v>
      </c>
      <c r="O27" s="12">
        <v>39847.275000000001</v>
      </c>
      <c r="P27" s="9" t="s">
        <v>37</v>
      </c>
      <c r="Q27" s="12">
        <v>0</v>
      </c>
      <c r="R27" s="12">
        <f t="shared" si="6"/>
        <v>-3116.5690866468867</v>
      </c>
      <c r="S27" s="9" t="s">
        <v>30</v>
      </c>
      <c r="T27" s="9" t="s">
        <v>52</v>
      </c>
    </row>
    <row r="28" spans="1:20" x14ac:dyDescent="0.3">
      <c r="A28" s="2" t="s">
        <v>93</v>
      </c>
      <c r="B28" s="2" t="s">
        <v>94</v>
      </c>
      <c r="C28" s="2" t="s">
        <v>28</v>
      </c>
      <c r="D28" s="3">
        <v>77700</v>
      </c>
      <c r="E28" s="4">
        <v>0</v>
      </c>
      <c r="F28" s="5">
        <f t="shared" si="0"/>
        <v>0</v>
      </c>
      <c r="G28" s="5">
        <f t="shared" si="1"/>
        <v>77700</v>
      </c>
      <c r="H28" s="6">
        <v>0.14230000000000001</v>
      </c>
      <c r="I28" s="7">
        <v>9</v>
      </c>
      <c r="J28" s="8">
        <f t="shared" si="2"/>
        <v>1.1858333333333334E-2</v>
      </c>
      <c r="K28" s="5">
        <f t="shared" si="3"/>
        <v>9153.2623825800601</v>
      </c>
      <c r="L28" s="5">
        <f t="shared" si="4"/>
        <v>82379.361443220536</v>
      </c>
      <c r="M28" s="5">
        <f t="shared" si="5"/>
        <v>4679.3614432205359</v>
      </c>
      <c r="N28" s="5">
        <v>777</v>
      </c>
      <c r="O28" s="5">
        <v>3787.875</v>
      </c>
      <c r="P28" s="2" t="s">
        <v>23</v>
      </c>
      <c r="Q28" s="5">
        <v>0</v>
      </c>
      <c r="R28" s="5">
        <f t="shared" si="6"/>
        <v>1668.4864432205359</v>
      </c>
      <c r="S28" s="2" t="s">
        <v>24</v>
      </c>
      <c r="T28" s="2" t="s">
        <v>46</v>
      </c>
    </row>
    <row r="29" spans="1:20" x14ac:dyDescent="0.3">
      <c r="A29" s="9" t="s">
        <v>95</v>
      </c>
      <c r="B29" s="9" t="s">
        <v>96</v>
      </c>
      <c r="C29" s="9" t="s">
        <v>22</v>
      </c>
      <c r="D29" s="10">
        <v>189700</v>
      </c>
      <c r="E29" s="11">
        <v>0.1</v>
      </c>
      <c r="F29" s="12">
        <f t="shared" si="0"/>
        <v>18970</v>
      </c>
      <c r="G29" s="12">
        <f t="shared" si="1"/>
        <v>170730</v>
      </c>
      <c r="H29" s="13">
        <v>0.1012</v>
      </c>
      <c r="I29" s="14">
        <v>12</v>
      </c>
      <c r="J29" s="15">
        <f t="shared" si="2"/>
        <v>8.4333333333333326E-3</v>
      </c>
      <c r="K29" s="12">
        <f t="shared" si="3"/>
        <v>15019.409702000245</v>
      </c>
      <c r="L29" s="12">
        <f t="shared" si="4"/>
        <v>180232.91642400293</v>
      </c>
      <c r="M29" s="12">
        <f t="shared" si="5"/>
        <v>9502.9164240029349</v>
      </c>
      <c r="N29" s="12">
        <v>1707.3</v>
      </c>
      <c r="O29" s="12">
        <v>11097.45</v>
      </c>
      <c r="P29" s="9" t="s">
        <v>37</v>
      </c>
      <c r="Q29" s="12">
        <v>0</v>
      </c>
      <c r="R29" s="12">
        <f t="shared" si="6"/>
        <v>112.76642400293349</v>
      </c>
      <c r="S29" s="9" t="s">
        <v>42</v>
      </c>
      <c r="T29" s="9" t="s">
        <v>97</v>
      </c>
    </row>
    <row r="30" spans="1:20" x14ac:dyDescent="0.3">
      <c r="A30" s="2" t="s">
        <v>98</v>
      </c>
      <c r="B30" s="2" t="s">
        <v>99</v>
      </c>
      <c r="C30" s="2" t="s">
        <v>67</v>
      </c>
      <c r="D30" s="3">
        <v>52900</v>
      </c>
      <c r="E30" s="4">
        <v>0</v>
      </c>
      <c r="F30" s="5">
        <f t="shared" si="0"/>
        <v>0</v>
      </c>
      <c r="G30" s="5">
        <f t="shared" si="1"/>
        <v>52900</v>
      </c>
      <c r="H30" s="6">
        <v>0.1447</v>
      </c>
      <c r="I30" s="7">
        <v>12</v>
      </c>
      <c r="J30" s="8">
        <f t="shared" si="2"/>
        <v>1.2058333333333332E-2</v>
      </c>
      <c r="K30" s="5">
        <f t="shared" si="3"/>
        <v>4761.4449295016675</v>
      </c>
      <c r="L30" s="5">
        <f t="shared" si="4"/>
        <v>57137.33915402001</v>
      </c>
      <c r="M30" s="5">
        <f t="shared" si="5"/>
        <v>4237.33915402001</v>
      </c>
      <c r="N30" s="5">
        <v>529</v>
      </c>
      <c r="O30" s="5">
        <v>3438.5</v>
      </c>
      <c r="P30" s="2" t="s">
        <v>23</v>
      </c>
      <c r="Q30" s="5">
        <v>0</v>
      </c>
      <c r="R30" s="5">
        <f t="shared" si="6"/>
        <v>1327.83915402001</v>
      </c>
      <c r="S30" s="2" t="s">
        <v>58</v>
      </c>
      <c r="T30" s="2" t="s">
        <v>97</v>
      </c>
    </row>
    <row r="31" spans="1:20" x14ac:dyDescent="0.3">
      <c r="A31" s="9" t="s">
        <v>100</v>
      </c>
      <c r="B31" s="9" t="s">
        <v>101</v>
      </c>
      <c r="C31" s="9" t="s">
        <v>67</v>
      </c>
      <c r="D31" s="10">
        <v>86000</v>
      </c>
      <c r="E31" s="11">
        <v>0.2</v>
      </c>
      <c r="F31" s="12">
        <f t="shared" si="0"/>
        <v>17200</v>
      </c>
      <c r="G31" s="12">
        <f t="shared" si="1"/>
        <v>68800</v>
      </c>
      <c r="H31" s="13">
        <v>0.19839999999999999</v>
      </c>
      <c r="I31" s="14">
        <v>18</v>
      </c>
      <c r="J31" s="15">
        <f t="shared" si="2"/>
        <v>1.6533333333333334E-2</v>
      </c>
      <c r="K31" s="12">
        <f t="shared" si="3"/>
        <v>4450.4181999278653</v>
      </c>
      <c r="L31" s="12">
        <f t="shared" si="4"/>
        <v>80107.527598701578</v>
      </c>
      <c r="M31" s="12">
        <f t="shared" si="5"/>
        <v>11307.527598701578</v>
      </c>
      <c r="N31" s="12">
        <v>688</v>
      </c>
      <c r="O31" s="12">
        <v>6708</v>
      </c>
      <c r="P31" s="9" t="s">
        <v>23</v>
      </c>
      <c r="Q31" s="12">
        <v>0</v>
      </c>
      <c r="R31" s="12">
        <f t="shared" si="6"/>
        <v>5287.5275987015775</v>
      </c>
      <c r="S31" s="9" t="s">
        <v>30</v>
      </c>
      <c r="T31" s="9" t="s">
        <v>55</v>
      </c>
    </row>
    <row r="32" spans="1:20" x14ac:dyDescent="0.3">
      <c r="A32" s="2" t="s">
        <v>102</v>
      </c>
      <c r="B32" s="2" t="s">
        <v>103</v>
      </c>
      <c r="C32" s="2" t="s">
        <v>67</v>
      </c>
      <c r="D32" s="3">
        <v>116500</v>
      </c>
      <c r="E32" s="4">
        <v>0</v>
      </c>
      <c r="F32" s="5">
        <f t="shared" si="0"/>
        <v>0</v>
      </c>
      <c r="G32" s="5">
        <f t="shared" si="1"/>
        <v>116500</v>
      </c>
      <c r="H32" s="6">
        <v>0.18629999999999999</v>
      </c>
      <c r="I32" s="7">
        <v>18</v>
      </c>
      <c r="J32" s="8">
        <f t="shared" si="2"/>
        <v>1.5524999999999999E-2</v>
      </c>
      <c r="K32" s="5">
        <f t="shared" si="3"/>
        <v>7468.4072533432436</v>
      </c>
      <c r="L32" s="5">
        <f t="shared" si="4"/>
        <v>134431.33056017838</v>
      </c>
      <c r="M32" s="5">
        <f t="shared" si="5"/>
        <v>17931.33056017838</v>
      </c>
      <c r="N32" s="5">
        <v>1165</v>
      </c>
      <c r="O32" s="5">
        <v>11358.75</v>
      </c>
      <c r="P32" s="2" t="s">
        <v>23</v>
      </c>
      <c r="Q32" s="5">
        <v>0</v>
      </c>
      <c r="R32" s="5">
        <f t="shared" si="6"/>
        <v>7737.5805601783795</v>
      </c>
      <c r="S32" s="2" t="s">
        <v>24</v>
      </c>
      <c r="T32" s="2" t="s">
        <v>46</v>
      </c>
    </row>
    <row r="33" spans="1:20" x14ac:dyDescent="0.3">
      <c r="A33" s="9" t="s">
        <v>104</v>
      </c>
      <c r="B33" s="9" t="s">
        <v>105</v>
      </c>
      <c r="C33" s="9" t="s">
        <v>22</v>
      </c>
      <c r="D33" s="10">
        <v>180700</v>
      </c>
      <c r="E33" s="11">
        <v>0.05</v>
      </c>
      <c r="F33" s="12">
        <f t="shared" si="0"/>
        <v>9035</v>
      </c>
      <c r="G33" s="12">
        <f t="shared" si="1"/>
        <v>171665</v>
      </c>
      <c r="H33" s="13">
        <v>0.16819999999999999</v>
      </c>
      <c r="I33" s="14">
        <v>24</v>
      </c>
      <c r="J33" s="15">
        <f t="shared" si="2"/>
        <v>1.4016666666666665E-2</v>
      </c>
      <c r="K33" s="12">
        <f t="shared" si="3"/>
        <v>8472.6665212539501</v>
      </c>
      <c r="L33" s="12">
        <f t="shared" si="4"/>
        <v>203343.99651009479</v>
      </c>
      <c r="M33" s="12">
        <f t="shared" si="5"/>
        <v>31678.996510094788</v>
      </c>
      <c r="N33" s="12">
        <v>1716.65</v>
      </c>
      <c r="O33" s="12">
        <v>22316.45</v>
      </c>
      <c r="P33" s="9" t="s">
        <v>23</v>
      </c>
      <c r="Q33" s="12">
        <v>0</v>
      </c>
      <c r="R33" s="12">
        <f t="shared" si="6"/>
        <v>11079.196510094789</v>
      </c>
      <c r="S33" s="9" t="s">
        <v>24</v>
      </c>
      <c r="T33" s="9" t="s">
        <v>34</v>
      </c>
    </row>
    <row r="34" spans="1:20" x14ac:dyDescent="0.3">
      <c r="A34" s="2" t="s">
        <v>106</v>
      </c>
      <c r="B34" s="2" t="s">
        <v>107</v>
      </c>
      <c r="C34" s="2" t="s">
        <v>67</v>
      </c>
      <c r="D34" s="3">
        <v>15600</v>
      </c>
      <c r="E34" s="4">
        <v>0</v>
      </c>
      <c r="F34" s="5">
        <f t="shared" si="0"/>
        <v>0</v>
      </c>
      <c r="G34" s="5">
        <f t="shared" si="1"/>
        <v>15600</v>
      </c>
      <c r="H34" s="6">
        <v>0.2089</v>
      </c>
      <c r="I34" s="7">
        <v>12</v>
      </c>
      <c r="J34" s="8">
        <f t="shared" si="2"/>
        <v>1.7408333333333335E-2</v>
      </c>
      <c r="K34" s="5">
        <f t="shared" si="3"/>
        <v>1451.7514246860994</v>
      </c>
      <c r="L34" s="5">
        <f t="shared" si="4"/>
        <v>17421.017096233194</v>
      </c>
      <c r="M34" s="5">
        <f t="shared" si="5"/>
        <v>1821.017096233194</v>
      </c>
      <c r="N34" s="5">
        <v>499</v>
      </c>
      <c r="O34" s="5">
        <v>1014</v>
      </c>
      <c r="P34" s="2" t="s">
        <v>23</v>
      </c>
      <c r="Q34" s="5">
        <v>0</v>
      </c>
      <c r="R34" s="5">
        <f t="shared" si="6"/>
        <v>1306.017096233194</v>
      </c>
      <c r="S34" s="2" t="s">
        <v>30</v>
      </c>
      <c r="T34" s="2" t="s">
        <v>25</v>
      </c>
    </row>
    <row r="35" spans="1:20" x14ac:dyDescent="0.3">
      <c r="A35" s="9" t="s">
        <v>108</v>
      </c>
      <c r="B35" s="9" t="s">
        <v>109</v>
      </c>
      <c r="C35" s="9" t="s">
        <v>22</v>
      </c>
      <c r="D35" s="10">
        <v>208700</v>
      </c>
      <c r="E35" s="11">
        <v>0.25</v>
      </c>
      <c r="F35" s="12">
        <f t="shared" si="0"/>
        <v>52175</v>
      </c>
      <c r="G35" s="12">
        <f t="shared" si="1"/>
        <v>156525</v>
      </c>
      <c r="H35" s="13">
        <v>0.13350000000000001</v>
      </c>
      <c r="I35" s="14">
        <v>60</v>
      </c>
      <c r="J35" s="15">
        <f t="shared" si="2"/>
        <v>1.1125000000000001E-2</v>
      </c>
      <c r="K35" s="12">
        <f t="shared" si="3"/>
        <v>3589.5318657748676</v>
      </c>
      <c r="L35" s="12">
        <f t="shared" si="4"/>
        <v>215371.91194649207</v>
      </c>
      <c r="M35" s="12">
        <f t="shared" si="5"/>
        <v>58846.911946492066</v>
      </c>
      <c r="N35" s="12">
        <v>1565.25</v>
      </c>
      <c r="O35" s="12">
        <v>50870.625</v>
      </c>
      <c r="P35" s="9" t="s">
        <v>23</v>
      </c>
      <c r="Q35" s="12">
        <v>0</v>
      </c>
      <c r="R35" s="12">
        <f t="shared" si="6"/>
        <v>9541.5369464920659</v>
      </c>
      <c r="S35" s="9" t="s">
        <v>58</v>
      </c>
      <c r="T35" s="9" t="s">
        <v>55</v>
      </c>
    </row>
    <row r="36" spans="1:20" x14ac:dyDescent="0.3">
      <c r="A36" s="2" t="s">
        <v>110</v>
      </c>
      <c r="B36" s="2" t="s">
        <v>111</v>
      </c>
      <c r="C36" s="2" t="s">
        <v>22</v>
      </c>
      <c r="D36" s="3">
        <v>135400</v>
      </c>
      <c r="E36" s="4">
        <v>0.15</v>
      </c>
      <c r="F36" s="5">
        <f t="shared" si="0"/>
        <v>20310</v>
      </c>
      <c r="G36" s="5">
        <f t="shared" si="1"/>
        <v>115090</v>
      </c>
      <c r="H36" s="6">
        <v>0.1212</v>
      </c>
      <c r="I36" s="7">
        <v>24</v>
      </c>
      <c r="J36" s="8">
        <f t="shared" si="2"/>
        <v>1.01E-2</v>
      </c>
      <c r="K36" s="5">
        <f t="shared" si="3"/>
        <v>5424.1377183432369</v>
      </c>
      <c r="L36" s="5">
        <f t="shared" si="4"/>
        <v>130179.30524023768</v>
      </c>
      <c r="M36" s="5">
        <f t="shared" si="5"/>
        <v>15089.305240237678</v>
      </c>
      <c r="N36" s="5">
        <v>1150.9000000000001</v>
      </c>
      <c r="O36" s="5">
        <v>14961.7</v>
      </c>
      <c r="P36" s="2" t="s">
        <v>23</v>
      </c>
      <c r="Q36" s="5">
        <v>0</v>
      </c>
      <c r="R36" s="5">
        <f t="shared" si="6"/>
        <v>1278.5052402376768</v>
      </c>
      <c r="S36" s="2" t="s">
        <v>24</v>
      </c>
      <c r="T36" s="2" t="s">
        <v>46</v>
      </c>
    </row>
    <row r="37" spans="1:20" x14ac:dyDescent="0.3">
      <c r="A37" s="9" t="s">
        <v>112</v>
      </c>
      <c r="B37" s="9" t="s">
        <v>113</v>
      </c>
      <c r="C37" s="9" t="s">
        <v>28</v>
      </c>
      <c r="D37" s="10">
        <v>149800</v>
      </c>
      <c r="E37" s="11">
        <v>0.2</v>
      </c>
      <c r="F37" s="12">
        <f t="shared" si="0"/>
        <v>29960</v>
      </c>
      <c r="G37" s="12">
        <f t="shared" si="1"/>
        <v>119840</v>
      </c>
      <c r="H37" s="13">
        <v>0.19969999999999999</v>
      </c>
      <c r="I37" s="14">
        <v>6</v>
      </c>
      <c r="J37" s="15">
        <f t="shared" si="2"/>
        <v>1.6641666666666666E-2</v>
      </c>
      <c r="K37" s="12">
        <f t="shared" si="3"/>
        <v>21152.694905536726</v>
      </c>
      <c r="L37" s="12">
        <f t="shared" si="4"/>
        <v>126916.16943322035</v>
      </c>
      <c r="M37" s="12">
        <f t="shared" si="5"/>
        <v>7076.1694332203479</v>
      </c>
      <c r="N37" s="12">
        <v>1198.4000000000001</v>
      </c>
      <c r="O37" s="12">
        <v>3894.8</v>
      </c>
      <c r="P37" s="9" t="s">
        <v>37</v>
      </c>
      <c r="Q37" s="12">
        <v>0</v>
      </c>
      <c r="R37" s="12">
        <f t="shared" si="6"/>
        <v>4379.7694332203473</v>
      </c>
      <c r="S37" s="9" t="s">
        <v>58</v>
      </c>
      <c r="T37" s="9" t="s">
        <v>34</v>
      </c>
    </row>
    <row r="38" spans="1:20" x14ac:dyDescent="0.3">
      <c r="A38" s="2" t="s">
        <v>114</v>
      </c>
      <c r="B38" s="2" t="s">
        <v>115</v>
      </c>
      <c r="C38" s="2" t="s">
        <v>41</v>
      </c>
      <c r="D38" s="3">
        <v>1369000</v>
      </c>
      <c r="E38" s="4">
        <v>0.2</v>
      </c>
      <c r="F38" s="5">
        <f t="shared" si="0"/>
        <v>273800</v>
      </c>
      <c r="G38" s="5">
        <f t="shared" si="1"/>
        <v>1095200</v>
      </c>
      <c r="H38" s="6">
        <v>0.1114</v>
      </c>
      <c r="I38" s="7">
        <v>60</v>
      </c>
      <c r="J38" s="8">
        <f t="shared" si="2"/>
        <v>9.2833333333333327E-3</v>
      </c>
      <c r="K38" s="5">
        <f t="shared" si="3"/>
        <v>23888.839091580103</v>
      </c>
      <c r="L38" s="5">
        <f t="shared" si="4"/>
        <v>1433330.3454948061</v>
      </c>
      <c r="M38" s="5">
        <f t="shared" si="5"/>
        <v>338130.34549480607</v>
      </c>
      <c r="N38" s="5">
        <v>10952</v>
      </c>
      <c r="O38" s="5">
        <v>355940</v>
      </c>
      <c r="P38" s="2" t="s">
        <v>37</v>
      </c>
      <c r="Q38" s="5">
        <v>0</v>
      </c>
      <c r="R38" s="5">
        <f t="shared" si="6"/>
        <v>-6857.654505193932</v>
      </c>
      <c r="S38" s="2" t="s">
        <v>58</v>
      </c>
      <c r="T38" s="2" t="s">
        <v>25</v>
      </c>
    </row>
    <row r="39" spans="1:20" x14ac:dyDescent="0.3">
      <c r="A39" s="9" t="s">
        <v>116</v>
      </c>
      <c r="B39" s="9" t="s">
        <v>117</v>
      </c>
      <c r="C39" s="9" t="s">
        <v>41</v>
      </c>
      <c r="D39" s="10">
        <v>1287800</v>
      </c>
      <c r="E39" s="11">
        <v>0.2</v>
      </c>
      <c r="F39" s="12">
        <f t="shared" si="0"/>
        <v>257560</v>
      </c>
      <c r="G39" s="12">
        <f t="shared" si="1"/>
        <v>1030240</v>
      </c>
      <c r="H39" s="13">
        <v>0.1009</v>
      </c>
      <c r="I39" s="14">
        <v>84</v>
      </c>
      <c r="J39" s="15">
        <f t="shared" si="2"/>
        <v>8.4083333333333336E-3</v>
      </c>
      <c r="K39" s="12">
        <f t="shared" si="3"/>
        <v>17151.150828383328</v>
      </c>
      <c r="L39" s="12">
        <f t="shared" si="4"/>
        <v>1440696.6695841996</v>
      </c>
      <c r="M39" s="12">
        <f t="shared" si="5"/>
        <v>410456.66958419955</v>
      </c>
      <c r="N39" s="12">
        <v>10302.4</v>
      </c>
      <c r="O39" s="12">
        <v>468759.20000000007</v>
      </c>
      <c r="P39" s="9" t="s">
        <v>23</v>
      </c>
      <c r="Q39" s="12">
        <v>0</v>
      </c>
      <c r="R39" s="12">
        <f t="shared" si="6"/>
        <v>-48000.130415800493</v>
      </c>
      <c r="S39" s="9" t="s">
        <v>24</v>
      </c>
      <c r="T39" s="9" t="s">
        <v>34</v>
      </c>
    </row>
    <row r="40" spans="1:20" x14ac:dyDescent="0.3">
      <c r="A40" s="2" t="s">
        <v>118</v>
      </c>
      <c r="B40" s="2" t="s">
        <v>119</v>
      </c>
      <c r="C40" s="2" t="s">
        <v>67</v>
      </c>
      <c r="D40" s="3">
        <v>107600</v>
      </c>
      <c r="E40" s="4">
        <v>0.05</v>
      </c>
      <c r="F40" s="5">
        <f t="shared" si="0"/>
        <v>5380</v>
      </c>
      <c r="G40" s="5">
        <f t="shared" si="1"/>
        <v>102220</v>
      </c>
      <c r="H40" s="6">
        <v>0.19939999999999999</v>
      </c>
      <c r="I40" s="7">
        <v>6</v>
      </c>
      <c r="J40" s="8">
        <f t="shared" si="2"/>
        <v>1.6616666666666665E-2</v>
      </c>
      <c r="K40" s="5">
        <f t="shared" si="3"/>
        <v>18041.095944670888</v>
      </c>
      <c r="L40" s="5">
        <f t="shared" si="4"/>
        <v>108246.57566802533</v>
      </c>
      <c r="M40" s="5">
        <f t="shared" si="5"/>
        <v>6026.5756680253253</v>
      </c>
      <c r="N40" s="5">
        <v>1022.2</v>
      </c>
      <c r="O40" s="5">
        <v>3322.15</v>
      </c>
      <c r="P40" s="2" t="s">
        <v>37</v>
      </c>
      <c r="Q40" s="5">
        <v>0</v>
      </c>
      <c r="R40" s="5">
        <f t="shared" si="6"/>
        <v>3726.625668025325</v>
      </c>
      <c r="S40" s="2" t="s">
        <v>30</v>
      </c>
      <c r="T40" s="2" t="s">
        <v>31</v>
      </c>
    </row>
    <row r="41" spans="1:20" x14ac:dyDescent="0.3">
      <c r="A41" s="9" t="s">
        <v>120</v>
      </c>
      <c r="B41" s="9" t="s">
        <v>121</v>
      </c>
      <c r="C41" s="9" t="s">
        <v>28</v>
      </c>
      <c r="D41" s="10">
        <v>110900</v>
      </c>
      <c r="E41" s="11">
        <v>0.15</v>
      </c>
      <c r="F41" s="12">
        <f t="shared" si="0"/>
        <v>16635</v>
      </c>
      <c r="G41" s="12">
        <f t="shared" si="1"/>
        <v>94265</v>
      </c>
      <c r="H41" s="13">
        <v>0.18820000000000001</v>
      </c>
      <c r="I41" s="14">
        <v>24</v>
      </c>
      <c r="J41" s="15">
        <f t="shared" si="2"/>
        <v>1.5683333333333334E-2</v>
      </c>
      <c r="K41" s="12">
        <f t="shared" si="3"/>
        <v>4743.5285958850463</v>
      </c>
      <c r="L41" s="12">
        <f t="shared" si="4"/>
        <v>113844.6863012411</v>
      </c>
      <c r="M41" s="12">
        <f t="shared" si="5"/>
        <v>19579.686301241105</v>
      </c>
      <c r="N41" s="12">
        <v>942.65</v>
      </c>
      <c r="O41" s="12">
        <v>12254.45</v>
      </c>
      <c r="P41" s="9" t="s">
        <v>37</v>
      </c>
      <c r="Q41" s="12">
        <v>0</v>
      </c>
      <c r="R41" s="12">
        <f t="shared" si="6"/>
        <v>8267.8863012411057</v>
      </c>
      <c r="S41" s="9" t="s">
        <v>24</v>
      </c>
      <c r="T41" s="9" t="s">
        <v>43</v>
      </c>
    </row>
    <row r="42" spans="1:20" x14ac:dyDescent="0.3">
      <c r="A42" s="2" t="s">
        <v>122</v>
      </c>
      <c r="B42" s="2" t="s">
        <v>123</v>
      </c>
      <c r="C42" s="2" t="s">
        <v>22</v>
      </c>
      <c r="D42" s="3">
        <v>259000</v>
      </c>
      <c r="E42" s="4">
        <v>0.1</v>
      </c>
      <c r="F42" s="5">
        <f t="shared" si="0"/>
        <v>25900</v>
      </c>
      <c r="G42" s="5">
        <f t="shared" si="1"/>
        <v>233100</v>
      </c>
      <c r="H42" s="6">
        <v>0.10349999999999999</v>
      </c>
      <c r="I42" s="7">
        <v>36</v>
      </c>
      <c r="J42" s="8">
        <f t="shared" si="2"/>
        <v>8.624999999999999E-3</v>
      </c>
      <c r="K42" s="5">
        <f t="shared" si="3"/>
        <v>7559.8431914680777</v>
      </c>
      <c r="L42" s="5">
        <f t="shared" si="4"/>
        <v>272154.3548928508</v>
      </c>
      <c r="M42" s="5">
        <f t="shared" si="5"/>
        <v>39054.354892850795</v>
      </c>
      <c r="N42" s="5">
        <v>2331</v>
      </c>
      <c r="O42" s="5">
        <v>45454.5</v>
      </c>
      <c r="P42" s="2" t="s">
        <v>23</v>
      </c>
      <c r="Q42" s="5">
        <v>0</v>
      </c>
      <c r="R42" s="5">
        <f t="shared" si="6"/>
        <v>-4069.1451071492047</v>
      </c>
      <c r="S42" s="2" t="s">
        <v>58</v>
      </c>
      <c r="T42" s="2" t="s">
        <v>34</v>
      </c>
    </row>
    <row r="43" spans="1:20" x14ac:dyDescent="0.3">
      <c r="A43" s="9" t="s">
        <v>124</v>
      </c>
      <c r="B43" s="9" t="s">
        <v>125</v>
      </c>
      <c r="C43" s="9" t="s">
        <v>22</v>
      </c>
      <c r="D43" s="10">
        <v>192400</v>
      </c>
      <c r="E43" s="11">
        <v>0.05</v>
      </c>
      <c r="F43" s="12">
        <f t="shared" si="0"/>
        <v>9620</v>
      </c>
      <c r="G43" s="12">
        <f t="shared" si="1"/>
        <v>182780</v>
      </c>
      <c r="H43" s="13">
        <v>0.13420000000000001</v>
      </c>
      <c r="I43" s="14">
        <v>12</v>
      </c>
      <c r="J43" s="15">
        <f t="shared" si="2"/>
        <v>1.1183333333333335E-2</v>
      </c>
      <c r="K43" s="12">
        <f t="shared" si="3"/>
        <v>16361.450148083304</v>
      </c>
      <c r="L43" s="12">
        <f t="shared" si="4"/>
        <v>196337.40177699964</v>
      </c>
      <c r="M43" s="12">
        <f t="shared" si="5"/>
        <v>13557.401776999643</v>
      </c>
      <c r="N43" s="12">
        <v>1827.8</v>
      </c>
      <c r="O43" s="12">
        <v>11880.7</v>
      </c>
      <c r="P43" s="9" t="s">
        <v>29</v>
      </c>
      <c r="Q43" s="12">
        <v>73112</v>
      </c>
      <c r="R43" s="12">
        <f t="shared" si="6"/>
        <v>-69607.498223000352</v>
      </c>
      <c r="S43" s="9" t="s">
        <v>30</v>
      </c>
      <c r="T43" s="9" t="s">
        <v>52</v>
      </c>
    </row>
    <row r="44" spans="1:20" x14ac:dyDescent="0.3">
      <c r="A44" s="2" t="s">
        <v>126</v>
      </c>
      <c r="B44" s="2" t="s">
        <v>127</v>
      </c>
      <c r="C44" s="2" t="s">
        <v>67</v>
      </c>
      <c r="D44" s="3">
        <v>49400</v>
      </c>
      <c r="E44" s="4">
        <v>0</v>
      </c>
      <c r="F44" s="5">
        <f t="shared" si="0"/>
        <v>0</v>
      </c>
      <c r="G44" s="5">
        <f t="shared" si="1"/>
        <v>49400</v>
      </c>
      <c r="H44" s="6">
        <v>0.1842</v>
      </c>
      <c r="I44" s="7">
        <v>12</v>
      </c>
      <c r="J44" s="8">
        <f t="shared" si="2"/>
        <v>1.5350000000000001E-2</v>
      </c>
      <c r="K44" s="5">
        <f t="shared" si="3"/>
        <v>4538.8717581378933</v>
      </c>
      <c r="L44" s="5">
        <f t="shared" si="4"/>
        <v>54466.461097654719</v>
      </c>
      <c r="M44" s="5">
        <f t="shared" si="5"/>
        <v>5066.4610976547192</v>
      </c>
      <c r="N44" s="5">
        <v>499</v>
      </c>
      <c r="O44" s="5">
        <v>3211</v>
      </c>
      <c r="P44" s="2" t="s">
        <v>29</v>
      </c>
      <c r="Q44" s="5">
        <v>19760</v>
      </c>
      <c r="R44" s="5">
        <f t="shared" si="6"/>
        <v>-17405.538902345281</v>
      </c>
      <c r="S44" s="2" t="s">
        <v>58</v>
      </c>
      <c r="T44" s="2" t="s">
        <v>46</v>
      </c>
    </row>
    <row r="45" spans="1:20" x14ac:dyDescent="0.3">
      <c r="A45" s="9" t="s">
        <v>128</v>
      </c>
      <c r="B45" s="9" t="s">
        <v>129</v>
      </c>
      <c r="C45" s="9" t="s">
        <v>41</v>
      </c>
      <c r="D45" s="10">
        <v>631100</v>
      </c>
      <c r="E45" s="11">
        <v>0.2</v>
      </c>
      <c r="F45" s="12">
        <f t="shared" si="0"/>
        <v>126220</v>
      </c>
      <c r="G45" s="12">
        <f t="shared" si="1"/>
        <v>504880</v>
      </c>
      <c r="H45" s="13">
        <v>9.2499999999999999E-2</v>
      </c>
      <c r="I45" s="14">
        <v>36</v>
      </c>
      <c r="J45" s="15">
        <f t="shared" si="2"/>
        <v>7.7083333333333335E-3</v>
      </c>
      <c r="K45" s="12">
        <f t="shared" si="3"/>
        <v>16113.857902590571</v>
      </c>
      <c r="L45" s="12">
        <f t="shared" si="4"/>
        <v>580098.88449326053</v>
      </c>
      <c r="M45" s="12">
        <f t="shared" si="5"/>
        <v>75218.884493260528</v>
      </c>
      <c r="N45" s="12">
        <v>5048.8</v>
      </c>
      <c r="O45" s="12">
        <v>98451.6</v>
      </c>
      <c r="P45" s="9" t="s">
        <v>23</v>
      </c>
      <c r="Q45" s="12">
        <v>0</v>
      </c>
      <c r="R45" s="12">
        <f t="shared" si="6"/>
        <v>-18183.915506739475</v>
      </c>
      <c r="S45" s="9" t="s">
        <v>42</v>
      </c>
      <c r="T45" s="9" t="s">
        <v>25</v>
      </c>
    </row>
    <row r="46" spans="1:20" x14ac:dyDescent="0.3">
      <c r="A46" s="2" t="s">
        <v>130</v>
      </c>
      <c r="B46" s="2" t="s">
        <v>131</v>
      </c>
      <c r="C46" s="2" t="s">
        <v>22</v>
      </c>
      <c r="D46" s="3">
        <v>282200</v>
      </c>
      <c r="E46" s="4">
        <v>0.1</v>
      </c>
      <c r="F46" s="5">
        <f t="shared" si="0"/>
        <v>28220</v>
      </c>
      <c r="G46" s="5">
        <f t="shared" si="1"/>
        <v>253980</v>
      </c>
      <c r="H46" s="6">
        <v>0.11890000000000001</v>
      </c>
      <c r="I46" s="7">
        <v>24</v>
      </c>
      <c r="J46" s="8">
        <f t="shared" si="2"/>
        <v>9.9083333333333332E-3</v>
      </c>
      <c r="K46" s="5">
        <f t="shared" si="3"/>
        <v>11942.677887322192</v>
      </c>
      <c r="L46" s="5">
        <f t="shared" si="4"/>
        <v>286624.26929573261</v>
      </c>
      <c r="M46" s="5">
        <f t="shared" si="5"/>
        <v>32644.269295732607</v>
      </c>
      <c r="N46" s="5">
        <v>2539.8000000000002</v>
      </c>
      <c r="O46" s="5">
        <v>33017.4</v>
      </c>
      <c r="P46" s="2" t="s">
        <v>23</v>
      </c>
      <c r="Q46" s="5">
        <v>0</v>
      </c>
      <c r="R46" s="5">
        <f t="shared" si="6"/>
        <v>2166.6692957326086</v>
      </c>
      <c r="S46" s="2" t="s">
        <v>24</v>
      </c>
      <c r="T46" s="2" t="s">
        <v>34</v>
      </c>
    </row>
    <row r="47" spans="1:20" x14ac:dyDescent="0.3">
      <c r="A47" s="9" t="s">
        <v>132</v>
      </c>
      <c r="B47" s="9" t="s">
        <v>133</v>
      </c>
      <c r="C47" s="9" t="s">
        <v>22</v>
      </c>
      <c r="D47" s="10">
        <v>139700</v>
      </c>
      <c r="E47" s="11">
        <v>0.15</v>
      </c>
      <c r="F47" s="12">
        <f t="shared" si="0"/>
        <v>20955</v>
      </c>
      <c r="G47" s="12">
        <f t="shared" si="1"/>
        <v>118745</v>
      </c>
      <c r="H47" s="13">
        <v>0.17449999999999999</v>
      </c>
      <c r="I47" s="14">
        <v>24</v>
      </c>
      <c r="J47" s="15">
        <f t="shared" si="2"/>
        <v>1.4541666666666666E-2</v>
      </c>
      <c r="K47" s="12">
        <f t="shared" si="3"/>
        <v>5896.7293803866496</v>
      </c>
      <c r="L47" s="12">
        <f t="shared" si="4"/>
        <v>141521.5051292796</v>
      </c>
      <c r="M47" s="12">
        <f t="shared" si="5"/>
        <v>22776.505129279598</v>
      </c>
      <c r="N47" s="12">
        <v>1187.45</v>
      </c>
      <c r="O47" s="12">
        <v>15436.85</v>
      </c>
      <c r="P47" s="9" t="s">
        <v>37</v>
      </c>
      <c r="Q47" s="12">
        <v>0</v>
      </c>
      <c r="R47" s="12">
        <f t="shared" si="6"/>
        <v>8527.1051292795983</v>
      </c>
      <c r="S47" s="9" t="s">
        <v>24</v>
      </c>
      <c r="T47" s="9" t="s">
        <v>88</v>
      </c>
    </row>
    <row r="48" spans="1:20" x14ac:dyDescent="0.3">
      <c r="A48" s="2" t="s">
        <v>134</v>
      </c>
      <c r="B48" s="2" t="s">
        <v>135</v>
      </c>
      <c r="C48" s="2" t="s">
        <v>41</v>
      </c>
      <c r="D48" s="3">
        <v>1344500</v>
      </c>
      <c r="E48" s="4">
        <v>0.2</v>
      </c>
      <c r="F48" s="5">
        <f t="shared" si="0"/>
        <v>268900</v>
      </c>
      <c r="G48" s="5">
        <f t="shared" si="1"/>
        <v>1075600</v>
      </c>
      <c r="H48" s="6">
        <v>9.1700000000000004E-2</v>
      </c>
      <c r="I48" s="7">
        <v>72</v>
      </c>
      <c r="J48" s="8">
        <f t="shared" si="2"/>
        <v>7.6416666666666673E-3</v>
      </c>
      <c r="K48" s="5">
        <f t="shared" si="3"/>
        <v>19479.143178410664</v>
      </c>
      <c r="L48" s="5">
        <f t="shared" si="4"/>
        <v>1402498.3088455677</v>
      </c>
      <c r="M48" s="5">
        <f t="shared" si="5"/>
        <v>326898.30884556775</v>
      </c>
      <c r="N48" s="5">
        <v>10756</v>
      </c>
      <c r="O48" s="5">
        <v>419484</v>
      </c>
      <c r="P48" s="2" t="s">
        <v>23</v>
      </c>
      <c r="Q48" s="5">
        <v>0</v>
      </c>
      <c r="R48" s="5">
        <f t="shared" si="6"/>
        <v>-81829.69115443225</v>
      </c>
      <c r="S48" s="2" t="s">
        <v>30</v>
      </c>
      <c r="T48" s="2" t="s">
        <v>55</v>
      </c>
    </row>
    <row r="49" spans="1:20" x14ac:dyDescent="0.3">
      <c r="A49" s="9" t="s">
        <v>136</v>
      </c>
      <c r="B49" s="9" t="s">
        <v>137</v>
      </c>
      <c r="C49" s="9" t="s">
        <v>67</v>
      </c>
      <c r="D49" s="10">
        <v>29600</v>
      </c>
      <c r="E49" s="11">
        <v>0.05</v>
      </c>
      <c r="F49" s="12">
        <f t="shared" si="0"/>
        <v>1480</v>
      </c>
      <c r="G49" s="12">
        <f t="shared" si="1"/>
        <v>28120</v>
      </c>
      <c r="H49" s="13">
        <v>0.1663</v>
      </c>
      <c r="I49" s="14">
        <v>3</v>
      </c>
      <c r="J49" s="15">
        <f t="shared" si="2"/>
        <v>1.3858333333333334E-2</v>
      </c>
      <c r="K49" s="12">
        <f t="shared" si="3"/>
        <v>9634.3227318415902</v>
      </c>
      <c r="L49" s="12">
        <f t="shared" si="4"/>
        <v>28902.968195524772</v>
      </c>
      <c r="M49" s="12">
        <f t="shared" si="5"/>
        <v>782.96819552477245</v>
      </c>
      <c r="N49" s="12">
        <v>499</v>
      </c>
      <c r="O49" s="12">
        <v>456.95</v>
      </c>
      <c r="P49" s="9" t="s">
        <v>23</v>
      </c>
      <c r="Q49" s="12">
        <v>0</v>
      </c>
      <c r="R49" s="12">
        <f t="shared" si="6"/>
        <v>825.01819552477241</v>
      </c>
      <c r="S49" s="9" t="s">
        <v>42</v>
      </c>
      <c r="T49" s="9" t="s">
        <v>49</v>
      </c>
    </row>
    <row r="50" spans="1:20" x14ac:dyDescent="0.3">
      <c r="A50" s="2" t="s">
        <v>138</v>
      </c>
      <c r="B50" s="2" t="s">
        <v>139</v>
      </c>
      <c r="C50" s="2" t="s">
        <v>41</v>
      </c>
      <c r="D50" s="3">
        <v>989800</v>
      </c>
      <c r="E50" s="4">
        <v>0.2</v>
      </c>
      <c r="F50" s="5">
        <f t="shared" si="0"/>
        <v>197960</v>
      </c>
      <c r="G50" s="5">
        <f t="shared" si="1"/>
        <v>791840</v>
      </c>
      <c r="H50" s="6">
        <v>0.1132</v>
      </c>
      <c r="I50" s="7">
        <v>36</v>
      </c>
      <c r="J50" s="8">
        <f t="shared" si="2"/>
        <v>9.4333333333333335E-3</v>
      </c>
      <c r="K50" s="5">
        <f t="shared" si="3"/>
        <v>26043.986100512455</v>
      </c>
      <c r="L50" s="5">
        <f t="shared" si="4"/>
        <v>937583.49961844832</v>
      </c>
      <c r="M50" s="5">
        <f t="shared" si="5"/>
        <v>145743.49961844832</v>
      </c>
      <c r="N50" s="5">
        <v>7918.4000000000005</v>
      </c>
      <c r="O50" s="5">
        <v>154408.79999999999</v>
      </c>
      <c r="P50" s="2" t="s">
        <v>37</v>
      </c>
      <c r="Q50" s="5">
        <v>0</v>
      </c>
      <c r="R50" s="5">
        <f t="shared" si="6"/>
        <v>-746.90038155167713</v>
      </c>
      <c r="S50" s="2" t="s">
        <v>58</v>
      </c>
      <c r="T50" s="2" t="s">
        <v>46</v>
      </c>
    </row>
    <row r="51" spans="1:20" x14ac:dyDescent="0.3">
      <c r="A51" s="9" t="s">
        <v>140</v>
      </c>
      <c r="B51" s="9" t="s">
        <v>141</v>
      </c>
      <c r="C51" s="9" t="s">
        <v>67</v>
      </c>
      <c r="D51" s="10">
        <v>56700</v>
      </c>
      <c r="E51" s="11">
        <v>0.1</v>
      </c>
      <c r="F51" s="12">
        <f t="shared" si="0"/>
        <v>5670</v>
      </c>
      <c r="G51" s="12">
        <f t="shared" si="1"/>
        <v>51030</v>
      </c>
      <c r="H51" s="13">
        <v>0.1983</v>
      </c>
      <c r="I51" s="14">
        <v>9</v>
      </c>
      <c r="J51" s="15">
        <f t="shared" si="2"/>
        <v>1.6525000000000001E-2</v>
      </c>
      <c r="K51" s="12">
        <f t="shared" si="3"/>
        <v>6148.7178923806778</v>
      </c>
      <c r="L51" s="12">
        <f t="shared" si="4"/>
        <v>55338.461031426101</v>
      </c>
      <c r="M51" s="12">
        <f t="shared" si="5"/>
        <v>4308.4610314261008</v>
      </c>
      <c r="N51" s="12">
        <v>510.3</v>
      </c>
      <c r="O51" s="12">
        <v>2487.7125000000001</v>
      </c>
      <c r="P51" s="9" t="s">
        <v>23</v>
      </c>
      <c r="Q51" s="12">
        <v>0</v>
      </c>
      <c r="R51" s="12">
        <f t="shared" si="6"/>
        <v>2331.0485314261009</v>
      </c>
      <c r="S51" s="9" t="s">
        <v>24</v>
      </c>
      <c r="T51" s="9" t="s">
        <v>88</v>
      </c>
    </row>
    <row r="52" spans="1:20" x14ac:dyDescent="0.3">
      <c r="A52" s="2" t="s">
        <v>142</v>
      </c>
      <c r="B52" s="2" t="s">
        <v>143</v>
      </c>
      <c r="C52" s="2" t="s">
        <v>41</v>
      </c>
      <c r="D52" s="3">
        <v>609100</v>
      </c>
      <c r="E52" s="4">
        <v>0.1</v>
      </c>
      <c r="F52" s="5">
        <f t="shared" si="0"/>
        <v>60910</v>
      </c>
      <c r="G52" s="5">
        <f t="shared" si="1"/>
        <v>548190</v>
      </c>
      <c r="H52" s="6">
        <v>8.6300000000000002E-2</v>
      </c>
      <c r="I52" s="7">
        <v>72</v>
      </c>
      <c r="J52" s="8">
        <f t="shared" si="2"/>
        <v>7.1916666666666665E-3</v>
      </c>
      <c r="K52" s="5">
        <f t="shared" si="3"/>
        <v>9781.0534068032357</v>
      </c>
      <c r="L52" s="5">
        <f t="shared" si="4"/>
        <v>704235.84528983291</v>
      </c>
      <c r="M52" s="5">
        <f t="shared" si="5"/>
        <v>156045.84528983291</v>
      </c>
      <c r="N52" s="5">
        <v>5481.9000000000005</v>
      </c>
      <c r="O52" s="5">
        <v>213794.09999999998</v>
      </c>
      <c r="P52" s="2" t="s">
        <v>23</v>
      </c>
      <c r="Q52" s="5">
        <v>0</v>
      </c>
      <c r="R52" s="5">
        <f t="shared" si="6"/>
        <v>-52266.35471016707</v>
      </c>
      <c r="S52" s="2" t="s">
        <v>30</v>
      </c>
      <c r="T52" s="2" t="s">
        <v>38</v>
      </c>
    </row>
    <row r="53" spans="1:20" x14ac:dyDescent="0.3">
      <c r="A53" s="9" t="s">
        <v>144</v>
      </c>
      <c r="B53" s="9" t="s">
        <v>145</v>
      </c>
      <c r="C53" s="9" t="s">
        <v>28</v>
      </c>
      <c r="D53" s="10">
        <v>143600</v>
      </c>
      <c r="E53" s="11">
        <v>0.1</v>
      </c>
      <c r="F53" s="12">
        <f t="shared" si="0"/>
        <v>14360</v>
      </c>
      <c r="G53" s="12">
        <f t="shared" si="1"/>
        <v>129240</v>
      </c>
      <c r="H53" s="13">
        <v>0.19370000000000001</v>
      </c>
      <c r="I53" s="14">
        <v>24</v>
      </c>
      <c r="J53" s="15">
        <f t="shared" si="2"/>
        <v>1.6141666666666669E-2</v>
      </c>
      <c r="K53" s="12">
        <f t="shared" si="3"/>
        <v>6538.0661393901119</v>
      </c>
      <c r="L53" s="12">
        <f t="shared" si="4"/>
        <v>156913.5873453627</v>
      </c>
      <c r="M53" s="12">
        <f t="shared" si="5"/>
        <v>27673.587345362699</v>
      </c>
      <c r="N53" s="12">
        <v>1292.4000000000001</v>
      </c>
      <c r="O53" s="12">
        <v>16801.2</v>
      </c>
      <c r="P53" s="9" t="s">
        <v>23</v>
      </c>
      <c r="Q53" s="12">
        <v>0</v>
      </c>
      <c r="R53" s="12">
        <f t="shared" si="6"/>
        <v>12164.7873453627</v>
      </c>
      <c r="S53" s="9" t="s">
        <v>24</v>
      </c>
      <c r="T53" s="9" t="s">
        <v>31</v>
      </c>
    </row>
    <row r="54" spans="1:20" x14ac:dyDescent="0.3">
      <c r="A54" s="2" t="s">
        <v>146</v>
      </c>
      <c r="B54" s="2" t="s">
        <v>147</v>
      </c>
      <c r="C54" s="2" t="s">
        <v>41</v>
      </c>
      <c r="D54" s="3">
        <v>957800</v>
      </c>
      <c r="E54" s="4">
        <v>0.25</v>
      </c>
      <c r="F54" s="5">
        <f t="shared" si="0"/>
        <v>239450</v>
      </c>
      <c r="G54" s="5">
        <f t="shared" si="1"/>
        <v>718350</v>
      </c>
      <c r="H54" s="6">
        <v>0.105</v>
      </c>
      <c r="I54" s="7">
        <v>60</v>
      </c>
      <c r="J54" s="8">
        <f t="shared" si="2"/>
        <v>8.7499999999999991E-3</v>
      </c>
      <c r="K54" s="5">
        <f t="shared" si="3"/>
        <v>15440.143336620677</v>
      </c>
      <c r="L54" s="5">
        <f t="shared" si="4"/>
        <v>926408.60019724059</v>
      </c>
      <c r="M54" s="5">
        <f t="shared" si="5"/>
        <v>208058.60019724059</v>
      </c>
      <c r="N54" s="5">
        <v>7183.5</v>
      </c>
      <c r="O54" s="5">
        <v>233463.75</v>
      </c>
      <c r="P54" s="2" t="s">
        <v>23</v>
      </c>
      <c r="Q54" s="5">
        <v>0</v>
      </c>
      <c r="R54" s="5">
        <f t="shared" si="6"/>
        <v>-18221.649802759406</v>
      </c>
      <c r="S54" s="2" t="s">
        <v>30</v>
      </c>
      <c r="T54" s="2" t="s">
        <v>55</v>
      </c>
    </row>
    <row r="55" spans="1:20" x14ac:dyDescent="0.3">
      <c r="A55" s="9" t="s">
        <v>148</v>
      </c>
      <c r="B55" s="9" t="s">
        <v>149</v>
      </c>
      <c r="C55" s="9" t="s">
        <v>28</v>
      </c>
      <c r="D55" s="10">
        <v>142500</v>
      </c>
      <c r="E55" s="11">
        <v>0.2</v>
      </c>
      <c r="F55" s="12">
        <f t="shared" si="0"/>
        <v>28500</v>
      </c>
      <c r="G55" s="12">
        <f t="shared" si="1"/>
        <v>114000</v>
      </c>
      <c r="H55" s="13">
        <v>0.17419999999999999</v>
      </c>
      <c r="I55" s="14">
        <v>9</v>
      </c>
      <c r="J55" s="15">
        <f t="shared" si="2"/>
        <v>1.4516666666666666E-2</v>
      </c>
      <c r="K55" s="12">
        <f t="shared" si="3"/>
        <v>13603.717897404389</v>
      </c>
      <c r="L55" s="12">
        <f t="shared" si="4"/>
        <v>122433.46107663951</v>
      </c>
      <c r="M55" s="12">
        <f t="shared" si="5"/>
        <v>8433.4610766395053</v>
      </c>
      <c r="N55" s="12">
        <v>1140</v>
      </c>
      <c r="O55" s="12">
        <v>5557.5</v>
      </c>
      <c r="P55" s="9" t="s">
        <v>23</v>
      </c>
      <c r="Q55" s="12">
        <v>0</v>
      </c>
      <c r="R55" s="12">
        <f t="shared" si="6"/>
        <v>4015.9610766395053</v>
      </c>
      <c r="S55" s="9" t="s">
        <v>42</v>
      </c>
      <c r="T55" s="9" t="s">
        <v>52</v>
      </c>
    </row>
    <row r="56" spans="1:20" x14ac:dyDescent="0.3">
      <c r="A56" s="2" t="s">
        <v>150</v>
      </c>
      <c r="B56" s="2" t="s">
        <v>151</v>
      </c>
      <c r="C56" s="2" t="s">
        <v>41</v>
      </c>
      <c r="D56" s="3">
        <v>734300</v>
      </c>
      <c r="E56" s="4">
        <v>0.3</v>
      </c>
      <c r="F56" s="5">
        <f t="shared" si="0"/>
        <v>220290</v>
      </c>
      <c r="G56" s="5">
        <f t="shared" si="1"/>
        <v>514010</v>
      </c>
      <c r="H56" s="6">
        <v>9.1300000000000006E-2</v>
      </c>
      <c r="I56" s="7">
        <v>84</v>
      </c>
      <c r="J56" s="8">
        <f t="shared" si="2"/>
        <v>7.6083333333333341E-3</v>
      </c>
      <c r="K56" s="5">
        <f t="shared" si="3"/>
        <v>8303.8990566053308</v>
      </c>
      <c r="L56" s="5">
        <f t="shared" si="4"/>
        <v>697527.52075484779</v>
      </c>
      <c r="M56" s="5">
        <f t="shared" si="5"/>
        <v>183517.52075484779</v>
      </c>
      <c r="N56" s="5">
        <v>5140.1000000000004</v>
      </c>
      <c r="O56" s="5">
        <v>233874.55000000002</v>
      </c>
      <c r="P56" s="2" t="s">
        <v>23</v>
      </c>
      <c r="Q56" s="5">
        <v>0</v>
      </c>
      <c r="R56" s="5">
        <f t="shared" si="6"/>
        <v>-45216.92924515222</v>
      </c>
      <c r="S56" s="2" t="s">
        <v>42</v>
      </c>
      <c r="T56" s="2" t="s">
        <v>97</v>
      </c>
    </row>
    <row r="57" spans="1:20" x14ac:dyDescent="0.3">
      <c r="A57" s="9" t="s">
        <v>152</v>
      </c>
      <c r="B57" s="9" t="s">
        <v>153</v>
      </c>
      <c r="C57" s="9" t="s">
        <v>28</v>
      </c>
      <c r="D57" s="10">
        <v>51700</v>
      </c>
      <c r="E57" s="11">
        <v>0.05</v>
      </c>
      <c r="F57" s="12">
        <f t="shared" si="0"/>
        <v>2585</v>
      </c>
      <c r="G57" s="12">
        <f t="shared" si="1"/>
        <v>49115</v>
      </c>
      <c r="H57" s="13">
        <v>0.15790000000000001</v>
      </c>
      <c r="I57" s="14">
        <v>36</v>
      </c>
      <c r="J57" s="15">
        <f t="shared" si="2"/>
        <v>1.3158333333333334E-2</v>
      </c>
      <c r="K57" s="12">
        <f t="shared" si="3"/>
        <v>1721.6498813723176</v>
      </c>
      <c r="L57" s="12">
        <f t="shared" si="4"/>
        <v>61979.395729403434</v>
      </c>
      <c r="M57" s="12">
        <f t="shared" si="5"/>
        <v>12864.395729403434</v>
      </c>
      <c r="N57" s="12">
        <v>499</v>
      </c>
      <c r="O57" s="12">
        <v>9577.4249999999993</v>
      </c>
      <c r="P57" s="9" t="s">
        <v>23</v>
      </c>
      <c r="Q57" s="12">
        <v>0</v>
      </c>
      <c r="R57" s="12">
        <f t="shared" si="6"/>
        <v>3785.9707294034342</v>
      </c>
      <c r="S57" s="9" t="s">
        <v>58</v>
      </c>
      <c r="T57" s="9" t="s">
        <v>52</v>
      </c>
    </row>
    <row r="58" spans="1:20" x14ac:dyDescent="0.3">
      <c r="A58" s="2" t="s">
        <v>154</v>
      </c>
      <c r="B58" s="2" t="s">
        <v>155</v>
      </c>
      <c r="C58" s="2" t="s">
        <v>22</v>
      </c>
      <c r="D58" s="3">
        <v>208600</v>
      </c>
      <c r="E58" s="4">
        <v>0.15</v>
      </c>
      <c r="F58" s="5">
        <f t="shared" si="0"/>
        <v>31290</v>
      </c>
      <c r="G58" s="5">
        <f t="shared" si="1"/>
        <v>177310</v>
      </c>
      <c r="H58" s="6">
        <v>0.1075</v>
      </c>
      <c r="I58" s="7">
        <v>24</v>
      </c>
      <c r="J58" s="8">
        <f t="shared" si="2"/>
        <v>8.9583333333333338E-3</v>
      </c>
      <c r="K58" s="5">
        <f t="shared" si="3"/>
        <v>8243.470775499607</v>
      </c>
      <c r="L58" s="5">
        <f t="shared" si="4"/>
        <v>197843.29861199058</v>
      </c>
      <c r="M58" s="5">
        <f t="shared" si="5"/>
        <v>20533.298611990584</v>
      </c>
      <c r="N58" s="5">
        <v>1773.1000000000001</v>
      </c>
      <c r="O58" s="5">
        <v>23050.3</v>
      </c>
      <c r="P58" s="2" t="s">
        <v>37</v>
      </c>
      <c r="Q58" s="5">
        <v>0</v>
      </c>
      <c r="R58" s="5">
        <f t="shared" si="6"/>
        <v>-743.90138800941713</v>
      </c>
      <c r="S58" s="2" t="s">
        <v>30</v>
      </c>
      <c r="T58" s="2" t="s">
        <v>34</v>
      </c>
    </row>
    <row r="59" spans="1:20" x14ac:dyDescent="0.3">
      <c r="A59" s="9" t="s">
        <v>156</v>
      </c>
      <c r="B59" s="9" t="s">
        <v>157</v>
      </c>
      <c r="C59" s="9" t="s">
        <v>67</v>
      </c>
      <c r="D59" s="10">
        <v>35400</v>
      </c>
      <c r="E59" s="11">
        <v>0.1</v>
      </c>
      <c r="F59" s="12">
        <f t="shared" si="0"/>
        <v>3540</v>
      </c>
      <c r="G59" s="12">
        <f t="shared" si="1"/>
        <v>31860</v>
      </c>
      <c r="H59" s="13">
        <v>0.17799999999999999</v>
      </c>
      <c r="I59" s="14">
        <v>3</v>
      </c>
      <c r="J59" s="15">
        <f t="shared" si="2"/>
        <v>1.4833333333333332E-2</v>
      </c>
      <c r="K59" s="12">
        <f t="shared" si="3"/>
        <v>10936.60630013035</v>
      </c>
      <c r="L59" s="12">
        <f t="shared" si="4"/>
        <v>32809.818900391052</v>
      </c>
      <c r="M59" s="12">
        <f t="shared" si="5"/>
        <v>949.81890039105201</v>
      </c>
      <c r="N59" s="12">
        <v>499</v>
      </c>
      <c r="O59" s="12">
        <v>517.72500000000002</v>
      </c>
      <c r="P59" s="9" t="s">
        <v>23</v>
      </c>
      <c r="Q59" s="12">
        <v>0</v>
      </c>
      <c r="R59" s="12">
        <f t="shared" si="6"/>
        <v>931.09390039105199</v>
      </c>
      <c r="S59" s="9" t="s">
        <v>30</v>
      </c>
      <c r="T59" s="9" t="s">
        <v>31</v>
      </c>
    </row>
    <row r="60" spans="1:20" x14ac:dyDescent="0.3">
      <c r="A60" s="2" t="s">
        <v>158</v>
      </c>
      <c r="B60" s="2" t="s">
        <v>159</v>
      </c>
      <c r="C60" s="2" t="s">
        <v>22</v>
      </c>
      <c r="D60" s="3">
        <v>178700</v>
      </c>
      <c r="E60" s="4">
        <v>0.05</v>
      </c>
      <c r="F60" s="5">
        <f t="shared" si="0"/>
        <v>8935</v>
      </c>
      <c r="G60" s="5">
        <f t="shared" si="1"/>
        <v>169765</v>
      </c>
      <c r="H60" s="6">
        <v>0.1195</v>
      </c>
      <c r="I60" s="7">
        <v>12</v>
      </c>
      <c r="J60" s="8">
        <f t="shared" si="2"/>
        <v>9.9583333333333329E-3</v>
      </c>
      <c r="K60" s="5">
        <f t="shared" si="3"/>
        <v>15079.444018788052</v>
      </c>
      <c r="L60" s="5">
        <f t="shared" si="4"/>
        <v>180953.32822545661</v>
      </c>
      <c r="M60" s="5">
        <f t="shared" si="5"/>
        <v>11188.328225456615</v>
      </c>
      <c r="N60" s="5">
        <v>1697.65</v>
      </c>
      <c r="O60" s="5">
        <v>11034.725</v>
      </c>
      <c r="P60" s="2" t="s">
        <v>23</v>
      </c>
      <c r="Q60" s="5">
        <v>0</v>
      </c>
      <c r="R60" s="5">
        <f t="shared" si="6"/>
        <v>1851.253225456614</v>
      </c>
      <c r="S60" s="2" t="s">
        <v>30</v>
      </c>
      <c r="T60" s="2" t="s">
        <v>34</v>
      </c>
    </row>
    <row r="61" spans="1:20" x14ac:dyDescent="0.3">
      <c r="A61" s="9" t="s">
        <v>160</v>
      </c>
      <c r="B61" s="9" t="s">
        <v>161</v>
      </c>
      <c r="C61" s="9" t="s">
        <v>41</v>
      </c>
      <c r="D61" s="10">
        <v>1165500</v>
      </c>
      <c r="E61" s="11">
        <v>0.15</v>
      </c>
      <c r="F61" s="12">
        <f t="shared" si="0"/>
        <v>174825</v>
      </c>
      <c r="G61" s="12">
        <f t="shared" si="1"/>
        <v>990675</v>
      </c>
      <c r="H61" s="13">
        <v>9.8900000000000002E-2</v>
      </c>
      <c r="I61" s="14">
        <v>84</v>
      </c>
      <c r="J61" s="15">
        <f t="shared" si="2"/>
        <v>8.2416666666666662E-3</v>
      </c>
      <c r="K61" s="12">
        <f t="shared" si="3"/>
        <v>16390.126317507842</v>
      </c>
      <c r="L61" s="12">
        <f t="shared" si="4"/>
        <v>1376770.6106706588</v>
      </c>
      <c r="M61" s="12">
        <f t="shared" si="5"/>
        <v>386095.61067065876</v>
      </c>
      <c r="N61" s="12">
        <v>9906.75</v>
      </c>
      <c r="O61" s="12">
        <v>450757.125</v>
      </c>
      <c r="P61" s="9" t="s">
        <v>23</v>
      </c>
      <c r="Q61" s="12">
        <v>0</v>
      </c>
      <c r="R61" s="12">
        <f t="shared" si="6"/>
        <v>-54754.76432934124</v>
      </c>
      <c r="S61" s="9" t="s">
        <v>24</v>
      </c>
      <c r="T61" s="9" t="s">
        <v>97</v>
      </c>
    </row>
    <row r="62" spans="1:20" x14ac:dyDescent="0.3">
      <c r="A62" s="2" t="s">
        <v>162</v>
      </c>
      <c r="B62" s="2" t="s">
        <v>163</v>
      </c>
      <c r="C62" s="2" t="s">
        <v>67</v>
      </c>
      <c r="D62" s="3">
        <v>60000</v>
      </c>
      <c r="E62" s="4">
        <v>0.15</v>
      </c>
      <c r="F62" s="5">
        <f t="shared" si="0"/>
        <v>9000</v>
      </c>
      <c r="G62" s="5">
        <f t="shared" si="1"/>
        <v>51000</v>
      </c>
      <c r="H62" s="6">
        <v>0.1825</v>
      </c>
      <c r="I62" s="7">
        <v>18</v>
      </c>
      <c r="J62" s="8">
        <f t="shared" si="2"/>
        <v>1.5208333333333332E-2</v>
      </c>
      <c r="K62" s="5">
        <f t="shared" si="3"/>
        <v>3260.1759527685467</v>
      </c>
      <c r="L62" s="5">
        <f t="shared" si="4"/>
        <v>58683.16714983384</v>
      </c>
      <c r="M62" s="5">
        <f t="shared" si="5"/>
        <v>7683.1671498338401</v>
      </c>
      <c r="N62" s="5">
        <v>510</v>
      </c>
      <c r="O62" s="5">
        <v>4972.5</v>
      </c>
      <c r="P62" s="2" t="s">
        <v>37</v>
      </c>
      <c r="Q62" s="5">
        <v>0</v>
      </c>
      <c r="R62" s="5">
        <f t="shared" si="6"/>
        <v>3220.6671498338401</v>
      </c>
      <c r="S62" s="2" t="s">
        <v>42</v>
      </c>
      <c r="T62" s="2" t="s">
        <v>25</v>
      </c>
    </row>
    <row r="63" spans="1:20" x14ac:dyDescent="0.3">
      <c r="A63" s="9" t="s">
        <v>164</v>
      </c>
      <c r="B63" s="9" t="s">
        <v>165</v>
      </c>
      <c r="C63" s="9" t="s">
        <v>41</v>
      </c>
      <c r="D63" s="10">
        <v>1381200</v>
      </c>
      <c r="E63" s="11">
        <v>0.25</v>
      </c>
      <c r="F63" s="12">
        <f t="shared" si="0"/>
        <v>345300</v>
      </c>
      <c r="G63" s="12">
        <f t="shared" si="1"/>
        <v>1035900</v>
      </c>
      <c r="H63" s="13">
        <v>9.7799999999999998E-2</v>
      </c>
      <c r="I63" s="14">
        <v>84</v>
      </c>
      <c r="J63" s="15">
        <f t="shared" si="2"/>
        <v>8.1499999999999993E-3</v>
      </c>
      <c r="K63" s="12">
        <f t="shared" si="3"/>
        <v>17079.642132790395</v>
      </c>
      <c r="L63" s="12">
        <f t="shared" si="4"/>
        <v>1434689.9391543933</v>
      </c>
      <c r="M63" s="12">
        <f t="shared" si="5"/>
        <v>398789.93915439327</v>
      </c>
      <c r="N63" s="12">
        <v>10359</v>
      </c>
      <c r="O63" s="12">
        <v>471334.5</v>
      </c>
      <c r="P63" s="9" t="s">
        <v>23</v>
      </c>
      <c r="Q63" s="12">
        <v>0</v>
      </c>
      <c r="R63" s="12">
        <f t="shared" si="6"/>
        <v>-62185.560845606728</v>
      </c>
      <c r="S63" s="9" t="s">
        <v>42</v>
      </c>
      <c r="T63" s="9" t="s">
        <v>97</v>
      </c>
    </row>
    <row r="64" spans="1:20" x14ac:dyDescent="0.3">
      <c r="A64" s="2" t="s">
        <v>166</v>
      </c>
      <c r="B64" s="2" t="s">
        <v>167</v>
      </c>
      <c r="C64" s="2" t="s">
        <v>67</v>
      </c>
      <c r="D64" s="3">
        <v>35700</v>
      </c>
      <c r="E64" s="4">
        <v>0.1</v>
      </c>
      <c r="F64" s="5">
        <f t="shared" si="0"/>
        <v>3570</v>
      </c>
      <c r="G64" s="5">
        <f t="shared" si="1"/>
        <v>32130</v>
      </c>
      <c r="H64" s="6">
        <v>0.191</v>
      </c>
      <c r="I64" s="7">
        <v>18</v>
      </c>
      <c r="J64" s="8">
        <f t="shared" si="2"/>
        <v>1.5916666666666666E-2</v>
      </c>
      <c r="K64" s="5">
        <f t="shared" si="3"/>
        <v>2066.9667914693187</v>
      </c>
      <c r="L64" s="5">
        <f t="shared" si="4"/>
        <v>37205.402246447738</v>
      </c>
      <c r="M64" s="5">
        <f t="shared" si="5"/>
        <v>5075.4022464477384</v>
      </c>
      <c r="N64" s="5">
        <v>499</v>
      </c>
      <c r="O64" s="5">
        <v>3132.6750000000002</v>
      </c>
      <c r="P64" s="2" t="s">
        <v>23</v>
      </c>
      <c r="Q64" s="5">
        <v>0</v>
      </c>
      <c r="R64" s="5">
        <f t="shared" si="6"/>
        <v>2441.7272464477383</v>
      </c>
      <c r="S64" s="2" t="s">
        <v>58</v>
      </c>
      <c r="T64" s="2" t="s">
        <v>97</v>
      </c>
    </row>
    <row r="65" spans="1:20" x14ac:dyDescent="0.3">
      <c r="A65" s="9" t="s">
        <v>168</v>
      </c>
      <c r="B65" s="9" t="s">
        <v>169</v>
      </c>
      <c r="C65" s="9" t="s">
        <v>67</v>
      </c>
      <c r="D65" s="10">
        <v>40000</v>
      </c>
      <c r="E65" s="11">
        <v>0.15</v>
      </c>
      <c r="F65" s="12">
        <f t="shared" si="0"/>
        <v>6000</v>
      </c>
      <c r="G65" s="12">
        <f t="shared" si="1"/>
        <v>34000</v>
      </c>
      <c r="H65" s="13">
        <v>0.16170000000000001</v>
      </c>
      <c r="I65" s="14">
        <v>9</v>
      </c>
      <c r="J65" s="15">
        <f t="shared" si="2"/>
        <v>1.3475000000000001E-2</v>
      </c>
      <c r="K65" s="12">
        <f t="shared" si="3"/>
        <v>4036.8469227749501</v>
      </c>
      <c r="L65" s="12">
        <f t="shared" si="4"/>
        <v>36331.622304974553</v>
      </c>
      <c r="M65" s="12">
        <f t="shared" si="5"/>
        <v>2331.6223049745531</v>
      </c>
      <c r="N65" s="12">
        <v>499</v>
      </c>
      <c r="O65" s="12">
        <v>1657.5</v>
      </c>
      <c r="P65" s="9" t="s">
        <v>29</v>
      </c>
      <c r="Q65" s="12">
        <v>13600</v>
      </c>
      <c r="R65" s="12">
        <f t="shared" si="6"/>
        <v>-12426.877695025447</v>
      </c>
      <c r="S65" s="9" t="s">
        <v>30</v>
      </c>
      <c r="T65" s="9" t="s">
        <v>55</v>
      </c>
    </row>
    <row r="66" spans="1:20" x14ac:dyDescent="0.3">
      <c r="A66" s="2" t="s">
        <v>170</v>
      </c>
      <c r="B66" s="2" t="s">
        <v>171</v>
      </c>
      <c r="C66" s="2" t="s">
        <v>28</v>
      </c>
      <c r="D66" s="3">
        <v>44100</v>
      </c>
      <c r="E66" s="4">
        <v>0.15</v>
      </c>
      <c r="F66" s="5">
        <f t="shared" ref="F66:F129" si="7">D66*E66</f>
        <v>6615</v>
      </c>
      <c r="G66" s="5">
        <f t="shared" ref="G66:G129" si="8">D66-F66</f>
        <v>37485</v>
      </c>
      <c r="H66" s="6">
        <v>0.1371</v>
      </c>
      <c r="I66" s="7">
        <v>18</v>
      </c>
      <c r="J66" s="8">
        <f t="shared" ref="J66:J129" si="9">H66/12</f>
        <v>1.1424999999999999E-2</v>
      </c>
      <c r="K66" s="5">
        <f t="shared" ref="K66:K129" si="10">-PMT(J66,I66,G66)</f>
        <v>2315.799539934012</v>
      </c>
      <c r="L66" s="5">
        <f t="shared" ref="L66:L129" si="11">K66*I66</f>
        <v>41684.391718812214</v>
      </c>
      <c r="M66" s="5">
        <f t="shared" ref="M66:M129" si="12">L66-G66</f>
        <v>4199.3917188122141</v>
      </c>
      <c r="N66" s="5">
        <v>499</v>
      </c>
      <c r="O66" s="5">
        <v>3654.7875000000004</v>
      </c>
      <c r="P66" s="2" t="s">
        <v>23</v>
      </c>
      <c r="Q66" s="5">
        <v>0</v>
      </c>
      <c r="R66" s="5">
        <f t="shared" ref="R66:R129" si="13">M66+N66-O66-Q66</f>
        <v>1043.6042188122137</v>
      </c>
      <c r="S66" s="2" t="s">
        <v>42</v>
      </c>
      <c r="T66" s="2" t="s">
        <v>88</v>
      </c>
    </row>
    <row r="67" spans="1:20" x14ac:dyDescent="0.3">
      <c r="A67" s="9" t="s">
        <v>172</v>
      </c>
      <c r="B67" s="9" t="s">
        <v>173</v>
      </c>
      <c r="C67" s="9" t="s">
        <v>67</v>
      </c>
      <c r="D67" s="10">
        <v>101300</v>
      </c>
      <c r="E67" s="11">
        <v>0.2</v>
      </c>
      <c r="F67" s="12">
        <f t="shared" si="7"/>
        <v>20260</v>
      </c>
      <c r="G67" s="12">
        <f t="shared" si="8"/>
        <v>81040</v>
      </c>
      <c r="H67" s="13">
        <v>0.17119999999999999</v>
      </c>
      <c r="I67" s="14">
        <v>18</v>
      </c>
      <c r="J67" s="15">
        <f t="shared" si="9"/>
        <v>1.4266666666666665E-2</v>
      </c>
      <c r="K67" s="12">
        <f t="shared" si="10"/>
        <v>5136.8882222263583</v>
      </c>
      <c r="L67" s="12">
        <f t="shared" si="11"/>
        <v>92463.988000074445</v>
      </c>
      <c r="M67" s="12">
        <f t="shared" si="12"/>
        <v>11423.988000074445</v>
      </c>
      <c r="N67" s="12">
        <v>810.4</v>
      </c>
      <c r="O67" s="12">
        <v>7901.4000000000005</v>
      </c>
      <c r="P67" s="9" t="s">
        <v>29</v>
      </c>
      <c r="Q67" s="12">
        <v>32416</v>
      </c>
      <c r="R67" s="12">
        <f t="shared" si="13"/>
        <v>-28083.011999925555</v>
      </c>
      <c r="S67" s="9" t="s">
        <v>42</v>
      </c>
      <c r="T67" s="9" t="s">
        <v>97</v>
      </c>
    </row>
    <row r="68" spans="1:20" x14ac:dyDescent="0.3">
      <c r="A68" s="2" t="s">
        <v>174</v>
      </c>
      <c r="B68" s="2" t="s">
        <v>175</v>
      </c>
      <c r="C68" s="2" t="s">
        <v>67</v>
      </c>
      <c r="D68" s="3">
        <v>47400</v>
      </c>
      <c r="E68" s="4">
        <v>0.15</v>
      </c>
      <c r="F68" s="5">
        <f t="shared" si="7"/>
        <v>7110</v>
      </c>
      <c r="G68" s="5">
        <f t="shared" si="8"/>
        <v>40290</v>
      </c>
      <c r="H68" s="6">
        <v>0.20030000000000001</v>
      </c>
      <c r="I68" s="7">
        <v>12</v>
      </c>
      <c r="J68" s="8">
        <f t="shared" si="9"/>
        <v>1.6691666666666667E-2</v>
      </c>
      <c r="K68" s="5">
        <f t="shared" si="10"/>
        <v>3732.8227484513764</v>
      </c>
      <c r="L68" s="5">
        <f t="shared" si="11"/>
        <v>44793.872981416513</v>
      </c>
      <c r="M68" s="5">
        <f t="shared" si="12"/>
        <v>4503.8729814165126</v>
      </c>
      <c r="N68" s="5">
        <v>499</v>
      </c>
      <c r="O68" s="5">
        <v>2618.85</v>
      </c>
      <c r="P68" s="2" t="s">
        <v>23</v>
      </c>
      <c r="Q68" s="5">
        <v>0</v>
      </c>
      <c r="R68" s="5">
        <f t="shared" si="13"/>
        <v>2384.0229814165127</v>
      </c>
      <c r="S68" s="2" t="s">
        <v>30</v>
      </c>
      <c r="T68" s="2" t="s">
        <v>97</v>
      </c>
    </row>
    <row r="69" spans="1:20" x14ac:dyDescent="0.3">
      <c r="A69" s="9" t="s">
        <v>176</v>
      </c>
      <c r="B69" s="9" t="s">
        <v>177</v>
      </c>
      <c r="C69" s="9" t="s">
        <v>67</v>
      </c>
      <c r="D69" s="10">
        <v>56800</v>
      </c>
      <c r="E69" s="11">
        <v>0.2</v>
      </c>
      <c r="F69" s="12">
        <f t="shared" si="7"/>
        <v>11360</v>
      </c>
      <c r="G69" s="12">
        <f t="shared" si="8"/>
        <v>45440</v>
      </c>
      <c r="H69" s="13">
        <v>0.14230000000000001</v>
      </c>
      <c r="I69" s="14">
        <v>9</v>
      </c>
      <c r="J69" s="15">
        <f t="shared" si="9"/>
        <v>1.1858333333333334E-2</v>
      </c>
      <c r="K69" s="12">
        <f t="shared" si="10"/>
        <v>5352.9503560416715</v>
      </c>
      <c r="L69" s="12">
        <f t="shared" si="11"/>
        <v>48176.553204375043</v>
      </c>
      <c r="M69" s="12">
        <f t="shared" si="12"/>
        <v>2736.5532043750427</v>
      </c>
      <c r="N69" s="12">
        <v>499</v>
      </c>
      <c r="O69" s="12">
        <v>2215.1999999999998</v>
      </c>
      <c r="P69" s="9" t="s">
        <v>23</v>
      </c>
      <c r="Q69" s="12">
        <v>0</v>
      </c>
      <c r="R69" s="12">
        <f t="shared" si="13"/>
        <v>1020.3532043750429</v>
      </c>
      <c r="S69" s="9" t="s">
        <v>42</v>
      </c>
      <c r="T69" s="9" t="s">
        <v>31</v>
      </c>
    </row>
    <row r="70" spans="1:20" x14ac:dyDescent="0.3">
      <c r="A70" s="2" t="s">
        <v>178</v>
      </c>
      <c r="B70" s="2" t="s">
        <v>179</v>
      </c>
      <c r="C70" s="2" t="s">
        <v>67</v>
      </c>
      <c r="D70" s="3">
        <v>60300</v>
      </c>
      <c r="E70" s="4">
        <v>0.15</v>
      </c>
      <c r="F70" s="5">
        <f t="shared" si="7"/>
        <v>9045</v>
      </c>
      <c r="G70" s="5">
        <f t="shared" si="8"/>
        <v>51255</v>
      </c>
      <c r="H70" s="6">
        <v>0.1502</v>
      </c>
      <c r="I70" s="7">
        <v>18</v>
      </c>
      <c r="J70" s="8">
        <f t="shared" si="9"/>
        <v>1.2516666666666667E-2</v>
      </c>
      <c r="K70" s="5">
        <f t="shared" si="10"/>
        <v>3198.0147329136967</v>
      </c>
      <c r="L70" s="5">
        <f t="shared" si="11"/>
        <v>57564.265192446539</v>
      </c>
      <c r="M70" s="5">
        <f t="shared" si="12"/>
        <v>6309.265192446539</v>
      </c>
      <c r="N70" s="5">
        <v>512.54999999999995</v>
      </c>
      <c r="O70" s="5">
        <v>4997.3625000000002</v>
      </c>
      <c r="P70" s="2" t="s">
        <v>29</v>
      </c>
      <c r="Q70" s="5">
        <v>20502</v>
      </c>
      <c r="R70" s="5">
        <f t="shared" si="13"/>
        <v>-18677.547307553461</v>
      </c>
      <c r="S70" s="2" t="s">
        <v>42</v>
      </c>
      <c r="T70" s="2" t="s">
        <v>25</v>
      </c>
    </row>
    <row r="71" spans="1:20" x14ac:dyDescent="0.3">
      <c r="A71" s="9" t="s">
        <v>180</v>
      </c>
      <c r="B71" s="9" t="s">
        <v>181</v>
      </c>
      <c r="C71" s="9" t="s">
        <v>22</v>
      </c>
      <c r="D71" s="10">
        <v>66500</v>
      </c>
      <c r="E71" s="11">
        <v>0.2</v>
      </c>
      <c r="F71" s="12">
        <f t="shared" si="7"/>
        <v>13300</v>
      </c>
      <c r="G71" s="12">
        <f t="shared" si="8"/>
        <v>53200</v>
      </c>
      <c r="H71" s="13">
        <v>0.15140000000000001</v>
      </c>
      <c r="I71" s="14">
        <v>24</v>
      </c>
      <c r="J71" s="15">
        <f t="shared" si="9"/>
        <v>1.2616666666666667E-2</v>
      </c>
      <c r="K71" s="12">
        <f t="shared" si="10"/>
        <v>2583.0297367625471</v>
      </c>
      <c r="L71" s="12">
        <f t="shared" si="11"/>
        <v>61992.713682301131</v>
      </c>
      <c r="M71" s="12">
        <f t="shared" si="12"/>
        <v>8792.7136823011315</v>
      </c>
      <c r="N71" s="12">
        <v>532</v>
      </c>
      <c r="O71" s="12">
        <v>6916</v>
      </c>
      <c r="P71" s="9" t="s">
        <v>37</v>
      </c>
      <c r="Q71" s="12">
        <v>0</v>
      </c>
      <c r="R71" s="12">
        <f t="shared" si="13"/>
        <v>2408.7136823011315</v>
      </c>
      <c r="S71" s="9" t="s">
        <v>58</v>
      </c>
      <c r="T71" s="9" t="s">
        <v>88</v>
      </c>
    </row>
    <row r="72" spans="1:20" x14ac:dyDescent="0.3">
      <c r="A72" s="2" t="s">
        <v>182</v>
      </c>
      <c r="B72" s="2" t="s">
        <v>183</v>
      </c>
      <c r="C72" s="2" t="s">
        <v>28</v>
      </c>
      <c r="D72" s="3">
        <v>81800</v>
      </c>
      <c r="E72" s="4">
        <v>0.1</v>
      </c>
      <c r="F72" s="5">
        <f t="shared" si="7"/>
        <v>8180</v>
      </c>
      <c r="G72" s="5">
        <f t="shared" si="8"/>
        <v>73620</v>
      </c>
      <c r="H72" s="6">
        <v>0.14699999999999999</v>
      </c>
      <c r="I72" s="7">
        <v>18</v>
      </c>
      <c r="J72" s="8">
        <f t="shared" si="9"/>
        <v>1.2249999999999999E-2</v>
      </c>
      <c r="K72" s="5">
        <f t="shared" si="10"/>
        <v>4582.3804678703491</v>
      </c>
      <c r="L72" s="5">
        <f t="shared" si="11"/>
        <v>82482.848421666276</v>
      </c>
      <c r="M72" s="5">
        <f t="shared" si="12"/>
        <v>8862.8484216662764</v>
      </c>
      <c r="N72" s="5">
        <v>736.2</v>
      </c>
      <c r="O72" s="5">
        <v>7177.9500000000007</v>
      </c>
      <c r="P72" s="2" t="s">
        <v>23</v>
      </c>
      <c r="Q72" s="5">
        <v>0</v>
      </c>
      <c r="R72" s="5">
        <f t="shared" si="13"/>
        <v>2421.0984216662764</v>
      </c>
      <c r="S72" s="2" t="s">
        <v>42</v>
      </c>
      <c r="T72" s="2" t="s">
        <v>184</v>
      </c>
    </row>
    <row r="73" spans="1:20" x14ac:dyDescent="0.3">
      <c r="A73" s="9" t="s">
        <v>185</v>
      </c>
      <c r="B73" s="9" t="s">
        <v>186</v>
      </c>
      <c r="C73" s="9" t="s">
        <v>41</v>
      </c>
      <c r="D73" s="10">
        <v>917300</v>
      </c>
      <c r="E73" s="11">
        <v>0.2</v>
      </c>
      <c r="F73" s="12">
        <f t="shared" si="7"/>
        <v>183460</v>
      </c>
      <c r="G73" s="12">
        <f t="shared" si="8"/>
        <v>733840</v>
      </c>
      <c r="H73" s="13">
        <v>0.1075</v>
      </c>
      <c r="I73" s="14">
        <v>36</v>
      </c>
      <c r="J73" s="15">
        <f t="shared" si="9"/>
        <v>8.9583333333333338E-3</v>
      </c>
      <c r="K73" s="12">
        <f t="shared" si="10"/>
        <v>23938.193410823402</v>
      </c>
      <c r="L73" s="12">
        <f t="shared" si="11"/>
        <v>861774.96278964251</v>
      </c>
      <c r="M73" s="12">
        <f t="shared" si="12"/>
        <v>127934.96278964251</v>
      </c>
      <c r="N73" s="12">
        <v>7338.4000000000005</v>
      </c>
      <c r="O73" s="12">
        <v>143098.79999999999</v>
      </c>
      <c r="P73" s="9" t="s">
        <v>37</v>
      </c>
      <c r="Q73" s="12">
        <v>0</v>
      </c>
      <c r="R73" s="12">
        <f t="shared" si="13"/>
        <v>-7825.437210357486</v>
      </c>
      <c r="S73" s="9" t="s">
        <v>24</v>
      </c>
      <c r="T73" s="9" t="s">
        <v>49</v>
      </c>
    </row>
    <row r="74" spans="1:20" x14ac:dyDescent="0.3">
      <c r="A74" s="2" t="s">
        <v>187</v>
      </c>
      <c r="B74" s="2" t="s">
        <v>188</v>
      </c>
      <c r="C74" s="2" t="s">
        <v>67</v>
      </c>
      <c r="D74" s="3">
        <v>11500</v>
      </c>
      <c r="E74" s="4">
        <v>0.15</v>
      </c>
      <c r="F74" s="5">
        <f t="shared" si="7"/>
        <v>1725</v>
      </c>
      <c r="G74" s="5">
        <f t="shared" si="8"/>
        <v>9775</v>
      </c>
      <c r="H74" s="6">
        <v>0.1598</v>
      </c>
      <c r="I74" s="7">
        <v>3</v>
      </c>
      <c r="J74" s="8">
        <f t="shared" si="9"/>
        <v>1.3316666666666666E-2</v>
      </c>
      <c r="K74" s="5">
        <f t="shared" si="10"/>
        <v>3345.4962656629659</v>
      </c>
      <c r="L74" s="5">
        <f t="shared" si="11"/>
        <v>10036.488796988899</v>
      </c>
      <c r="M74" s="5">
        <f t="shared" si="12"/>
        <v>261.48879698889868</v>
      </c>
      <c r="N74" s="5">
        <v>499</v>
      </c>
      <c r="O74" s="5">
        <v>158.84375</v>
      </c>
      <c r="P74" s="2" t="s">
        <v>37</v>
      </c>
      <c r="Q74" s="5">
        <v>0</v>
      </c>
      <c r="R74" s="5">
        <f t="shared" si="13"/>
        <v>601.64504698889868</v>
      </c>
      <c r="S74" s="2" t="s">
        <v>30</v>
      </c>
      <c r="T74" s="2" t="s">
        <v>97</v>
      </c>
    </row>
    <row r="75" spans="1:20" x14ac:dyDescent="0.3">
      <c r="A75" s="9" t="s">
        <v>189</v>
      </c>
      <c r="B75" s="9" t="s">
        <v>190</v>
      </c>
      <c r="C75" s="9" t="s">
        <v>22</v>
      </c>
      <c r="D75" s="10">
        <v>195400</v>
      </c>
      <c r="E75" s="11">
        <v>0.15</v>
      </c>
      <c r="F75" s="12">
        <f t="shared" si="7"/>
        <v>29310</v>
      </c>
      <c r="G75" s="12">
        <f t="shared" si="8"/>
        <v>166090</v>
      </c>
      <c r="H75" s="13">
        <v>0.1174</v>
      </c>
      <c r="I75" s="14">
        <v>36</v>
      </c>
      <c r="J75" s="15">
        <f t="shared" si="9"/>
        <v>9.7833333333333331E-3</v>
      </c>
      <c r="K75" s="12">
        <f t="shared" si="10"/>
        <v>5495.9622139232924</v>
      </c>
      <c r="L75" s="12">
        <f t="shared" si="11"/>
        <v>197854.63970123854</v>
      </c>
      <c r="M75" s="12">
        <f t="shared" si="12"/>
        <v>31764.639701238542</v>
      </c>
      <c r="N75" s="12">
        <v>1660.9</v>
      </c>
      <c r="O75" s="12">
        <v>32387.550000000003</v>
      </c>
      <c r="P75" s="9" t="s">
        <v>37</v>
      </c>
      <c r="Q75" s="12">
        <v>0</v>
      </c>
      <c r="R75" s="12">
        <f t="shared" si="13"/>
        <v>1037.9897012385409</v>
      </c>
      <c r="S75" s="9" t="s">
        <v>24</v>
      </c>
      <c r="T75" s="9" t="s">
        <v>34</v>
      </c>
    </row>
    <row r="76" spans="1:20" x14ac:dyDescent="0.3">
      <c r="A76" s="2" t="s">
        <v>191</v>
      </c>
      <c r="B76" s="2" t="s">
        <v>192</v>
      </c>
      <c r="C76" s="2" t="s">
        <v>41</v>
      </c>
      <c r="D76" s="3">
        <v>518900</v>
      </c>
      <c r="E76" s="4">
        <v>0.3</v>
      </c>
      <c r="F76" s="5">
        <f t="shared" si="7"/>
        <v>155670</v>
      </c>
      <c r="G76" s="5">
        <f t="shared" si="8"/>
        <v>363230</v>
      </c>
      <c r="H76" s="6">
        <v>8.5800000000000001E-2</v>
      </c>
      <c r="I76" s="7">
        <v>60</v>
      </c>
      <c r="J76" s="8">
        <f t="shared" si="9"/>
        <v>7.1500000000000001E-3</v>
      </c>
      <c r="K76" s="5">
        <f t="shared" si="10"/>
        <v>7466.2325737508972</v>
      </c>
      <c r="L76" s="5">
        <f t="shared" si="11"/>
        <v>447973.95442505385</v>
      </c>
      <c r="M76" s="5">
        <f t="shared" si="12"/>
        <v>84743.954425053846</v>
      </c>
      <c r="N76" s="5">
        <v>3632.3</v>
      </c>
      <c r="O76" s="5">
        <v>118049.75</v>
      </c>
      <c r="P76" s="2" t="s">
        <v>23</v>
      </c>
      <c r="Q76" s="5">
        <v>0</v>
      </c>
      <c r="R76" s="5">
        <f t="shared" si="13"/>
        <v>-29673.495574946151</v>
      </c>
      <c r="S76" s="2" t="s">
        <v>42</v>
      </c>
      <c r="T76" s="2" t="s">
        <v>88</v>
      </c>
    </row>
    <row r="77" spans="1:20" x14ac:dyDescent="0.3">
      <c r="A77" s="9" t="s">
        <v>193</v>
      </c>
      <c r="B77" s="9" t="s">
        <v>194</v>
      </c>
      <c r="C77" s="9" t="s">
        <v>41</v>
      </c>
      <c r="D77" s="10">
        <v>618200</v>
      </c>
      <c r="E77" s="11">
        <v>0.1</v>
      </c>
      <c r="F77" s="12">
        <f t="shared" si="7"/>
        <v>61820</v>
      </c>
      <c r="G77" s="12">
        <f t="shared" si="8"/>
        <v>556380</v>
      </c>
      <c r="H77" s="13">
        <v>0.1028</v>
      </c>
      <c r="I77" s="14">
        <v>48</v>
      </c>
      <c r="J77" s="15">
        <f t="shared" si="9"/>
        <v>8.5666666666666669E-3</v>
      </c>
      <c r="K77" s="12">
        <f t="shared" si="10"/>
        <v>14186.167353762825</v>
      </c>
      <c r="L77" s="12">
        <f t="shared" si="11"/>
        <v>680936.03298061562</v>
      </c>
      <c r="M77" s="12">
        <f t="shared" si="12"/>
        <v>124556.03298061562</v>
      </c>
      <c r="N77" s="12">
        <v>5563.8</v>
      </c>
      <c r="O77" s="12">
        <v>144658.80000000002</v>
      </c>
      <c r="P77" s="9" t="s">
        <v>23</v>
      </c>
      <c r="Q77" s="12">
        <v>0</v>
      </c>
      <c r="R77" s="12">
        <f t="shared" si="13"/>
        <v>-14538.967019384392</v>
      </c>
      <c r="S77" s="9" t="s">
        <v>58</v>
      </c>
      <c r="T77" s="9" t="s">
        <v>49</v>
      </c>
    </row>
    <row r="78" spans="1:20" x14ac:dyDescent="0.3">
      <c r="A78" s="2" t="s">
        <v>195</v>
      </c>
      <c r="B78" s="2" t="s">
        <v>196</v>
      </c>
      <c r="C78" s="2" t="s">
        <v>22</v>
      </c>
      <c r="D78" s="3">
        <v>89100</v>
      </c>
      <c r="E78" s="4">
        <v>0.15</v>
      </c>
      <c r="F78" s="5">
        <f t="shared" si="7"/>
        <v>13365</v>
      </c>
      <c r="G78" s="5">
        <f t="shared" si="8"/>
        <v>75735</v>
      </c>
      <c r="H78" s="6">
        <v>0.1787</v>
      </c>
      <c r="I78" s="7">
        <v>12</v>
      </c>
      <c r="J78" s="8">
        <f t="shared" si="9"/>
        <v>1.4891666666666666E-2</v>
      </c>
      <c r="K78" s="5">
        <f t="shared" si="10"/>
        <v>6938.6994937828449</v>
      </c>
      <c r="L78" s="5">
        <f t="shared" si="11"/>
        <v>83264.393925394135</v>
      </c>
      <c r="M78" s="5">
        <f t="shared" si="12"/>
        <v>7529.3939253941353</v>
      </c>
      <c r="N78" s="5">
        <v>757.35</v>
      </c>
      <c r="O78" s="5">
        <v>4922.7750000000005</v>
      </c>
      <c r="P78" s="2" t="s">
        <v>23</v>
      </c>
      <c r="Q78" s="5">
        <v>0</v>
      </c>
      <c r="R78" s="5">
        <f t="shared" si="13"/>
        <v>3363.9689253941351</v>
      </c>
      <c r="S78" s="2" t="s">
        <v>58</v>
      </c>
      <c r="T78" s="2" t="s">
        <v>43</v>
      </c>
    </row>
    <row r="79" spans="1:20" x14ac:dyDescent="0.3">
      <c r="A79" s="9" t="s">
        <v>197</v>
      </c>
      <c r="B79" s="9" t="s">
        <v>198</v>
      </c>
      <c r="C79" s="9" t="s">
        <v>28</v>
      </c>
      <c r="D79" s="10">
        <v>67700</v>
      </c>
      <c r="E79" s="11">
        <v>0</v>
      </c>
      <c r="F79" s="12">
        <f t="shared" si="7"/>
        <v>0</v>
      </c>
      <c r="G79" s="12">
        <f t="shared" si="8"/>
        <v>67700</v>
      </c>
      <c r="H79" s="13">
        <v>0.188</v>
      </c>
      <c r="I79" s="14">
        <v>18</v>
      </c>
      <c r="J79" s="15">
        <f t="shared" si="9"/>
        <v>1.5666666666666666E-2</v>
      </c>
      <c r="K79" s="12">
        <f t="shared" si="10"/>
        <v>4345.5129238137079</v>
      </c>
      <c r="L79" s="12">
        <f t="shared" si="11"/>
        <v>78219.232628646743</v>
      </c>
      <c r="M79" s="12">
        <f t="shared" si="12"/>
        <v>10519.232628646743</v>
      </c>
      <c r="N79" s="12">
        <v>677</v>
      </c>
      <c r="O79" s="12">
        <v>6600.75</v>
      </c>
      <c r="P79" s="9" t="s">
        <v>23</v>
      </c>
      <c r="Q79" s="12">
        <v>0</v>
      </c>
      <c r="R79" s="12">
        <f t="shared" si="13"/>
        <v>4595.4826286467433</v>
      </c>
      <c r="S79" s="9" t="s">
        <v>58</v>
      </c>
      <c r="T79" s="9" t="s">
        <v>49</v>
      </c>
    </row>
    <row r="80" spans="1:20" x14ac:dyDescent="0.3">
      <c r="A80" s="2" t="s">
        <v>199</v>
      </c>
      <c r="B80" s="2" t="s">
        <v>200</v>
      </c>
      <c r="C80" s="2" t="s">
        <v>41</v>
      </c>
      <c r="D80" s="3">
        <v>905700</v>
      </c>
      <c r="E80" s="4">
        <v>0.3</v>
      </c>
      <c r="F80" s="5">
        <f t="shared" si="7"/>
        <v>271710</v>
      </c>
      <c r="G80" s="5">
        <f t="shared" si="8"/>
        <v>633990</v>
      </c>
      <c r="H80" s="6">
        <v>8.9599999999999999E-2</v>
      </c>
      <c r="I80" s="7">
        <v>48</v>
      </c>
      <c r="J80" s="8">
        <f t="shared" si="9"/>
        <v>7.4666666666666666E-3</v>
      </c>
      <c r="K80" s="5">
        <f t="shared" si="10"/>
        <v>15764.829158129303</v>
      </c>
      <c r="L80" s="5">
        <f t="shared" si="11"/>
        <v>756711.79959020659</v>
      </c>
      <c r="M80" s="5">
        <f t="shared" si="12"/>
        <v>122721.79959020659</v>
      </c>
      <c r="N80" s="5">
        <v>6339.9000000000005</v>
      </c>
      <c r="O80" s="5">
        <v>164837.4</v>
      </c>
      <c r="P80" s="2" t="s">
        <v>23</v>
      </c>
      <c r="Q80" s="5">
        <v>0</v>
      </c>
      <c r="R80" s="5">
        <f t="shared" si="13"/>
        <v>-35775.700409793411</v>
      </c>
      <c r="S80" s="2" t="s">
        <v>58</v>
      </c>
      <c r="T80" s="2" t="s">
        <v>25</v>
      </c>
    </row>
    <row r="81" spans="1:20" x14ac:dyDescent="0.3">
      <c r="A81" s="9" t="s">
        <v>201</v>
      </c>
      <c r="B81" s="9" t="s">
        <v>202</v>
      </c>
      <c r="C81" s="9" t="s">
        <v>41</v>
      </c>
      <c r="D81" s="10">
        <v>992000</v>
      </c>
      <c r="E81" s="11">
        <v>0.3</v>
      </c>
      <c r="F81" s="12">
        <f t="shared" si="7"/>
        <v>297600</v>
      </c>
      <c r="G81" s="12">
        <f t="shared" si="8"/>
        <v>694400</v>
      </c>
      <c r="H81" s="13">
        <v>9.9500000000000005E-2</v>
      </c>
      <c r="I81" s="14">
        <v>72</v>
      </c>
      <c r="J81" s="15">
        <f t="shared" si="9"/>
        <v>8.2916666666666677E-3</v>
      </c>
      <c r="K81" s="12">
        <f t="shared" si="10"/>
        <v>12846.839977588059</v>
      </c>
      <c r="L81" s="12">
        <f t="shared" si="11"/>
        <v>924972.4783863402</v>
      </c>
      <c r="M81" s="12">
        <f t="shared" si="12"/>
        <v>230572.4783863402</v>
      </c>
      <c r="N81" s="12">
        <v>6944</v>
      </c>
      <c r="O81" s="12">
        <v>270816</v>
      </c>
      <c r="P81" s="9" t="s">
        <v>37</v>
      </c>
      <c r="Q81" s="12">
        <v>0</v>
      </c>
      <c r="R81" s="12">
        <f t="shared" si="13"/>
        <v>-33299.521613659803</v>
      </c>
      <c r="S81" s="9" t="s">
        <v>30</v>
      </c>
      <c r="T81" s="9" t="s">
        <v>43</v>
      </c>
    </row>
    <row r="82" spans="1:20" x14ac:dyDescent="0.3">
      <c r="A82" s="2" t="s">
        <v>203</v>
      </c>
      <c r="B82" s="2" t="s">
        <v>204</v>
      </c>
      <c r="C82" s="2" t="s">
        <v>67</v>
      </c>
      <c r="D82" s="3">
        <v>58500</v>
      </c>
      <c r="E82" s="4">
        <v>0.15</v>
      </c>
      <c r="F82" s="5">
        <f t="shared" si="7"/>
        <v>8775</v>
      </c>
      <c r="G82" s="5">
        <f t="shared" si="8"/>
        <v>49725</v>
      </c>
      <c r="H82" s="6">
        <v>0.2</v>
      </c>
      <c r="I82" s="7">
        <v>18</v>
      </c>
      <c r="J82" s="8">
        <f t="shared" si="9"/>
        <v>1.6666666666666666E-2</v>
      </c>
      <c r="K82" s="5">
        <f t="shared" si="10"/>
        <v>3220.3501501339588</v>
      </c>
      <c r="L82" s="5">
        <f t="shared" si="11"/>
        <v>57966.30270241126</v>
      </c>
      <c r="M82" s="5">
        <f t="shared" si="12"/>
        <v>8241.3027024112598</v>
      </c>
      <c r="N82" s="5">
        <v>499</v>
      </c>
      <c r="O82" s="5">
        <v>4848.1875</v>
      </c>
      <c r="P82" s="2" t="s">
        <v>23</v>
      </c>
      <c r="Q82" s="5">
        <v>0</v>
      </c>
      <c r="R82" s="5">
        <f t="shared" si="13"/>
        <v>3892.1152024112598</v>
      </c>
      <c r="S82" s="2" t="s">
        <v>58</v>
      </c>
      <c r="T82" s="2" t="s">
        <v>46</v>
      </c>
    </row>
    <row r="83" spans="1:20" x14ac:dyDescent="0.3">
      <c r="A83" s="9" t="s">
        <v>205</v>
      </c>
      <c r="B83" s="9" t="s">
        <v>206</v>
      </c>
      <c r="C83" s="9" t="s">
        <v>28</v>
      </c>
      <c r="D83" s="10">
        <v>65600</v>
      </c>
      <c r="E83" s="11">
        <v>0.1</v>
      </c>
      <c r="F83" s="12">
        <f t="shared" si="7"/>
        <v>6560</v>
      </c>
      <c r="G83" s="12">
        <f t="shared" si="8"/>
        <v>59040</v>
      </c>
      <c r="H83" s="13">
        <v>0.159</v>
      </c>
      <c r="I83" s="14">
        <v>12</v>
      </c>
      <c r="J83" s="15">
        <f t="shared" si="9"/>
        <v>1.325E-2</v>
      </c>
      <c r="K83" s="12">
        <f t="shared" si="10"/>
        <v>5353.9563540214949</v>
      </c>
      <c r="L83" s="12">
        <f t="shared" si="11"/>
        <v>64247.476248257939</v>
      </c>
      <c r="M83" s="12">
        <f t="shared" si="12"/>
        <v>5207.476248257939</v>
      </c>
      <c r="N83" s="12">
        <v>590.4</v>
      </c>
      <c r="O83" s="12">
        <v>3837.6</v>
      </c>
      <c r="P83" s="9" t="s">
        <v>23</v>
      </c>
      <c r="Q83" s="12">
        <v>0</v>
      </c>
      <c r="R83" s="12">
        <f t="shared" si="13"/>
        <v>1960.2762482579387</v>
      </c>
      <c r="S83" s="9" t="s">
        <v>58</v>
      </c>
      <c r="T83" s="9" t="s">
        <v>52</v>
      </c>
    </row>
    <row r="84" spans="1:20" x14ac:dyDescent="0.3">
      <c r="A84" s="2" t="s">
        <v>207</v>
      </c>
      <c r="B84" s="2" t="s">
        <v>208</v>
      </c>
      <c r="C84" s="2" t="s">
        <v>67</v>
      </c>
      <c r="D84" s="3">
        <v>114200</v>
      </c>
      <c r="E84" s="4">
        <v>0.1</v>
      </c>
      <c r="F84" s="5">
        <f t="shared" si="7"/>
        <v>11420</v>
      </c>
      <c r="G84" s="5">
        <f t="shared" si="8"/>
        <v>102780</v>
      </c>
      <c r="H84" s="6">
        <v>0.14680000000000001</v>
      </c>
      <c r="I84" s="7">
        <v>24</v>
      </c>
      <c r="J84" s="8">
        <f t="shared" si="9"/>
        <v>1.2233333333333334E-2</v>
      </c>
      <c r="K84" s="5">
        <f t="shared" si="10"/>
        <v>4967.8455534467048</v>
      </c>
      <c r="L84" s="5">
        <f t="shared" si="11"/>
        <v>119228.29328272092</v>
      </c>
      <c r="M84" s="5">
        <f t="shared" si="12"/>
        <v>16448.293282720915</v>
      </c>
      <c r="N84" s="5">
        <v>1027.8</v>
      </c>
      <c r="O84" s="5">
        <v>13361.4</v>
      </c>
      <c r="P84" s="2" t="s">
        <v>23</v>
      </c>
      <c r="Q84" s="5">
        <v>0</v>
      </c>
      <c r="R84" s="5">
        <f t="shared" si="13"/>
        <v>4114.6932827209148</v>
      </c>
      <c r="S84" s="2" t="s">
        <v>30</v>
      </c>
      <c r="T84" s="2" t="s">
        <v>31</v>
      </c>
    </row>
    <row r="85" spans="1:20" x14ac:dyDescent="0.3">
      <c r="A85" s="9" t="s">
        <v>209</v>
      </c>
      <c r="B85" s="9" t="s">
        <v>210</v>
      </c>
      <c r="C85" s="9" t="s">
        <v>28</v>
      </c>
      <c r="D85" s="10">
        <v>114000</v>
      </c>
      <c r="E85" s="11">
        <v>0</v>
      </c>
      <c r="F85" s="12">
        <f t="shared" si="7"/>
        <v>0</v>
      </c>
      <c r="G85" s="12">
        <f t="shared" si="8"/>
        <v>114000</v>
      </c>
      <c r="H85" s="13">
        <v>0.15590000000000001</v>
      </c>
      <c r="I85" s="14">
        <v>6</v>
      </c>
      <c r="J85" s="15">
        <f t="shared" si="9"/>
        <v>1.2991666666666667E-2</v>
      </c>
      <c r="K85" s="12">
        <f t="shared" si="10"/>
        <v>19873.23805513946</v>
      </c>
      <c r="L85" s="12">
        <f t="shared" si="11"/>
        <v>119239.42833083676</v>
      </c>
      <c r="M85" s="12">
        <f t="shared" si="12"/>
        <v>5239.4283308367594</v>
      </c>
      <c r="N85" s="12">
        <v>1140</v>
      </c>
      <c r="O85" s="12">
        <v>3705</v>
      </c>
      <c r="P85" s="9" t="s">
        <v>37</v>
      </c>
      <c r="Q85" s="12">
        <v>0</v>
      </c>
      <c r="R85" s="12">
        <f t="shared" si="13"/>
        <v>2674.4283308367594</v>
      </c>
      <c r="S85" s="9" t="s">
        <v>42</v>
      </c>
      <c r="T85" s="9" t="s">
        <v>31</v>
      </c>
    </row>
    <row r="86" spans="1:20" x14ac:dyDescent="0.3">
      <c r="A86" s="2" t="s">
        <v>211</v>
      </c>
      <c r="B86" s="2" t="s">
        <v>212</v>
      </c>
      <c r="C86" s="2" t="s">
        <v>67</v>
      </c>
      <c r="D86" s="3">
        <v>82400</v>
      </c>
      <c r="E86" s="4">
        <v>0.15</v>
      </c>
      <c r="F86" s="5">
        <f t="shared" si="7"/>
        <v>12360</v>
      </c>
      <c r="G86" s="5">
        <f t="shared" si="8"/>
        <v>70040</v>
      </c>
      <c r="H86" s="6">
        <v>0.16950000000000001</v>
      </c>
      <c r="I86" s="7">
        <v>18</v>
      </c>
      <c r="J86" s="8">
        <f t="shared" si="9"/>
        <v>1.4125E-2</v>
      </c>
      <c r="K86" s="5">
        <f t="shared" si="10"/>
        <v>4433.977715582203</v>
      </c>
      <c r="L86" s="5">
        <f t="shared" si="11"/>
        <v>79811.598880479651</v>
      </c>
      <c r="M86" s="5">
        <f t="shared" si="12"/>
        <v>9771.5988804796507</v>
      </c>
      <c r="N86" s="5">
        <v>700.4</v>
      </c>
      <c r="O86" s="5">
        <v>6828.9000000000005</v>
      </c>
      <c r="P86" s="2" t="s">
        <v>37</v>
      </c>
      <c r="Q86" s="5">
        <v>0</v>
      </c>
      <c r="R86" s="5">
        <f t="shared" si="13"/>
        <v>3643.0988804796498</v>
      </c>
      <c r="S86" s="2" t="s">
        <v>58</v>
      </c>
      <c r="T86" s="2" t="s">
        <v>38</v>
      </c>
    </row>
    <row r="87" spans="1:20" x14ac:dyDescent="0.3">
      <c r="A87" s="9" t="s">
        <v>213</v>
      </c>
      <c r="B87" s="9" t="s">
        <v>214</v>
      </c>
      <c r="C87" s="9" t="s">
        <v>22</v>
      </c>
      <c r="D87" s="10">
        <v>125000</v>
      </c>
      <c r="E87" s="11">
        <v>0.1</v>
      </c>
      <c r="F87" s="12">
        <f t="shared" si="7"/>
        <v>12500</v>
      </c>
      <c r="G87" s="12">
        <f t="shared" si="8"/>
        <v>112500</v>
      </c>
      <c r="H87" s="13">
        <v>0.1201</v>
      </c>
      <c r="I87" s="14">
        <v>12</v>
      </c>
      <c r="J87" s="15">
        <f t="shared" si="9"/>
        <v>1.0008333333333333E-2</v>
      </c>
      <c r="K87" s="12">
        <f t="shared" si="10"/>
        <v>9996.015018990207</v>
      </c>
      <c r="L87" s="12">
        <f t="shared" si="11"/>
        <v>119952.18022788249</v>
      </c>
      <c r="M87" s="12">
        <f t="shared" si="12"/>
        <v>7452.1802278824907</v>
      </c>
      <c r="N87" s="12">
        <v>1125</v>
      </c>
      <c r="O87" s="12">
        <v>7312.5</v>
      </c>
      <c r="P87" s="9" t="s">
        <v>37</v>
      </c>
      <c r="Q87" s="12">
        <v>0</v>
      </c>
      <c r="R87" s="12">
        <f t="shared" si="13"/>
        <v>1264.6802278824907</v>
      </c>
      <c r="S87" s="9" t="s">
        <v>30</v>
      </c>
      <c r="T87" s="9" t="s">
        <v>55</v>
      </c>
    </row>
    <row r="88" spans="1:20" x14ac:dyDescent="0.3">
      <c r="A88" s="2" t="s">
        <v>215</v>
      </c>
      <c r="B88" s="2" t="s">
        <v>216</v>
      </c>
      <c r="C88" s="2" t="s">
        <v>67</v>
      </c>
      <c r="D88" s="3">
        <v>62200</v>
      </c>
      <c r="E88" s="4">
        <v>0.15</v>
      </c>
      <c r="F88" s="5">
        <f t="shared" si="7"/>
        <v>9330</v>
      </c>
      <c r="G88" s="5">
        <f t="shared" si="8"/>
        <v>52870</v>
      </c>
      <c r="H88" s="6">
        <v>0.19800000000000001</v>
      </c>
      <c r="I88" s="7">
        <v>18</v>
      </c>
      <c r="J88" s="8">
        <f t="shared" si="9"/>
        <v>1.6500000000000001E-2</v>
      </c>
      <c r="K88" s="5">
        <f t="shared" si="10"/>
        <v>3418.9494020114648</v>
      </c>
      <c r="L88" s="5">
        <f t="shared" si="11"/>
        <v>61541.089236206368</v>
      </c>
      <c r="M88" s="5">
        <f t="shared" si="12"/>
        <v>8671.0892362063678</v>
      </c>
      <c r="N88" s="5">
        <v>528.70000000000005</v>
      </c>
      <c r="O88" s="5">
        <v>5154.8250000000007</v>
      </c>
      <c r="P88" s="2" t="s">
        <v>37</v>
      </c>
      <c r="Q88" s="5">
        <v>0</v>
      </c>
      <c r="R88" s="5">
        <f t="shared" si="13"/>
        <v>4044.9642362063678</v>
      </c>
      <c r="S88" s="2" t="s">
        <v>24</v>
      </c>
      <c r="T88" s="2" t="s">
        <v>55</v>
      </c>
    </row>
    <row r="89" spans="1:20" x14ac:dyDescent="0.3">
      <c r="A89" s="9" t="s">
        <v>217</v>
      </c>
      <c r="B89" s="9" t="s">
        <v>218</v>
      </c>
      <c r="C89" s="9" t="s">
        <v>67</v>
      </c>
      <c r="D89" s="10">
        <v>48400</v>
      </c>
      <c r="E89" s="11">
        <v>0.15</v>
      </c>
      <c r="F89" s="12">
        <f t="shared" si="7"/>
        <v>7260</v>
      </c>
      <c r="G89" s="12">
        <f t="shared" si="8"/>
        <v>41140</v>
      </c>
      <c r="H89" s="13">
        <v>0.16420000000000001</v>
      </c>
      <c r="I89" s="14">
        <v>24</v>
      </c>
      <c r="J89" s="15">
        <f t="shared" si="9"/>
        <v>1.3683333333333334E-2</v>
      </c>
      <c r="K89" s="12">
        <f t="shared" si="10"/>
        <v>2022.6080965832809</v>
      </c>
      <c r="L89" s="12">
        <f t="shared" si="11"/>
        <v>48542.594317998744</v>
      </c>
      <c r="M89" s="12">
        <f t="shared" si="12"/>
        <v>7402.5943179987444</v>
      </c>
      <c r="N89" s="12">
        <v>499</v>
      </c>
      <c r="O89" s="12">
        <v>5348.2</v>
      </c>
      <c r="P89" s="9" t="s">
        <v>37</v>
      </c>
      <c r="Q89" s="12">
        <v>0</v>
      </c>
      <c r="R89" s="12">
        <f t="shared" si="13"/>
        <v>2553.3943179987446</v>
      </c>
      <c r="S89" s="9" t="s">
        <v>24</v>
      </c>
      <c r="T89" s="9" t="s">
        <v>46</v>
      </c>
    </row>
    <row r="90" spans="1:20" x14ac:dyDescent="0.3">
      <c r="A90" s="2" t="s">
        <v>219</v>
      </c>
      <c r="B90" s="2" t="s">
        <v>220</v>
      </c>
      <c r="C90" s="2" t="s">
        <v>28</v>
      </c>
      <c r="D90" s="3">
        <v>112200</v>
      </c>
      <c r="E90" s="4">
        <v>0</v>
      </c>
      <c r="F90" s="5">
        <f t="shared" si="7"/>
        <v>0</v>
      </c>
      <c r="G90" s="5">
        <f t="shared" si="8"/>
        <v>112200</v>
      </c>
      <c r="H90" s="6">
        <v>0.13009999999999999</v>
      </c>
      <c r="I90" s="7">
        <v>18</v>
      </c>
      <c r="J90" s="8">
        <f t="shared" si="9"/>
        <v>1.0841666666666666E-2</v>
      </c>
      <c r="K90" s="5">
        <f t="shared" si="10"/>
        <v>6894.9434297772705</v>
      </c>
      <c r="L90" s="5">
        <f t="shared" si="11"/>
        <v>124108.98173599086</v>
      </c>
      <c r="M90" s="5">
        <f t="shared" si="12"/>
        <v>11908.981735990863</v>
      </c>
      <c r="N90" s="5">
        <v>1122</v>
      </c>
      <c r="O90" s="5">
        <v>10939.5</v>
      </c>
      <c r="P90" s="2" t="s">
        <v>23</v>
      </c>
      <c r="Q90" s="5">
        <v>0</v>
      </c>
      <c r="R90" s="5">
        <f t="shared" si="13"/>
        <v>2091.4817359908629</v>
      </c>
      <c r="S90" s="2" t="s">
        <v>58</v>
      </c>
      <c r="T90" s="2" t="s">
        <v>97</v>
      </c>
    </row>
    <row r="91" spans="1:20" x14ac:dyDescent="0.3">
      <c r="A91" s="9" t="s">
        <v>221</v>
      </c>
      <c r="B91" s="9" t="s">
        <v>222</v>
      </c>
      <c r="C91" s="9" t="s">
        <v>28</v>
      </c>
      <c r="D91" s="10">
        <v>67600</v>
      </c>
      <c r="E91" s="11">
        <v>0.15</v>
      </c>
      <c r="F91" s="12">
        <f t="shared" si="7"/>
        <v>10140</v>
      </c>
      <c r="G91" s="12">
        <f t="shared" si="8"/>
        <v>57460</v>
      </c>
      <c r="H91" s="13">
        <v>0.19719999999999999</v>
      </c>
      <c r="I91" s="14">
        <v>12</v>
      </c>
      <c r="J91" s="15">
        <f t="shared" si="9"/>
        <v>1.6433333333333331E-2</v>
      </c>
      <c r="K91" s="12">
        <f t="shared" si="10"/>
        <v>5315.0816584034073</v>
      </c>
      <c r="L91" s="12">
        <f t="shared" si="11"/>
        <v>63780.979900840888</v>
      </c>
      <c r="M91" s="12">
        <f t="shared" si="12"/>
        <v>6320.9799008408881</v>
      </c>
      <c r="N91" s="12">
        <v>574.6</v>
      </c>
      <c r="O91" s="12">
        <v>3734.9</v>
      </c>
      <c r="P91" s="9" t="s">
        <v>37</v>
      </c>
      <c r="Q91" s="12">
        <v>0</v>
      </c>
      <c r="R91" s="12">
        <f t="shared" si="13"/>
        <v>3160.6799008408884</v>
      </c>
      <c r="S91" s="9" t="s">
        <v>24</v>
      </c>
      <c r="T91" s="9" t="s">
        <v>88</v>
      </c>
    </row>
    <row r="92" spans="1:20" x14ac:dyDescent="0.3">
      <c r="A92" s="2" t="s">
        <v>223</v>
      </c>
      <c r="B92" s="2" t="s">
        <v>224</v>
      </c>
      <c r="C92" s="2" t="s">
        <v>28</v>
      </c>
      <c r="D92" s="3">
        <v>97100</v>
      </c>
      <c r="E92" s="4">
        <v>0.05</v>
      </c>
      <c r="F92" s="5">
        <f t="shared" si="7"/>
        <v>4855</v>
      </c>
      <c r="G92" s="5">
        <f t="shared" si="8"/>
        <v>92245</v>
      </c>
      <c r="H92" s="6">
        <v>0.1749</v>
      </c>
      <c r="I92" s="7">
        <v>9</v>
      </c>
      <c r="J92" s="8">
        <f t="shared" si="9"/>
        <v>1.4574999999999999E-2</v>
      </c>
      <c r="K92" s="5">
        <f t="shared" si="10"/>
        <v>11010.779128837961</v>
      </c>
      <c r="L92" s="5">
        <f t="shared" si="11"/>
        <v>99097.012159541657</v>
      </c>
      <c r="M92" s="5">
        <f t="shared" si="12"/>
        <v>6852.0121595416567</v>
      </c>
      <c r="N92" s="5">
        <v>922.45</v>
      </c>
      <c r="O92" s="5">
        <v>4496.9437500000004</v>
      </c>
      <c r="P92" s="2" t="s">
        <v>23</v>
      </c>
      <c r="Q92" s="5">
        <v>0</v>
      </c>
      <c r="R92" s="5">
        <f t="shared" si="13"/>
        <v>3277.5184095416562</v>
      </c>
      <c r="S92" s="2" t="s">
        <v>58</v>
      </c>
      <c r="T92" s="2" t="s">
        <v>43</v>
      </c>
    </row>
    <row r="93" spans="1:20" x14ac:dyDescent="0.3">
      <c r="A93" s="9" t="s">
        <v>225</v>
      </c>
      <c r="B93" s="9" t="s">
        <v>226</v>
      </c>
      <c r="C93" s="9" t="s">
        <v>41</v>
      </c>
      <c r="D93" s="10">
        <v>530300</v>
      </c>
      <c r="E93" s="11">
        <v>0.3</v>
      </c>
      <c r="F93" s="12">
        <f t="shared" si="7"/>
        <v>159090</v>
      </c>
      <c r="G93" s="12">
        <f t="shared" si="8"/>
        <v>371210</v>
      </c>
      <c r="H93" s="13">
        <v>0.1079</v>
      </c>
      <c r="I93" s="14">
        <v>84</v>
      </c>
      <c r="J93" s="15">
        <f t="shared" si="9"/>
        <v>8.9916666666666669E-3</v>
      </c>
      <c r="K93" s="12">
        <f t="shared" si="10"/>
        <v>6315.1060709000649</v>
      </c>
      <c r="L93" s="12">
        <f t="shared" si="11"/>
        <v>530468.9099556054</v>
      </c>
      <c r="M93" s="12">
        <f t="shared" si="12"/>
        <v>159258.9099556054</v>
      </c>
      <c r="N93" s="12">
        <v>3712.1</v>
      </c>
      <c r="O93" s="12">
        <v>168900.55000000002</v>
      </c>
      <c r="P93" s="9" t="s">
        <v>23</v>
      </c>
      <c r="Q93" s="12">
        <v>0</v>
      </c>
      <c r="R93" s="12">
        <f t="shared" si="13"/>
        <v>-5929.5400443946128</v>
      </c>
      <c r="S93" s="9" t="s">
        <v>30</v>
      </c>
      <c r="T93" s="9" t="s">
        <v>52</v>
      </c>
    </row>
    <row r="94" spans="1:20" x14ac:dyDescent="0.3">
      <c r="A94" s="2" t="s">
        <v>227</v>
      </c>
      <c r="B94" s="2" t="s">
        <v>228</v>
      </c>
      <c r="C94" s="2" t="s">
        <v>28</v>
      </c>
      <c r="D94" s="3">
        <v>138600</v>
      </c>
      <c r="E94" s="4">
        <v>0.15</v>
      </c>
      <c r="F94" s="5">
        <f t="shared" si="7"/>
        <v>20790</v>
      </c>
      <c r="G94" s="5">
        <f t="shared" si="8"/>
        <v>117810</v>
      </c>
      <c r="H94" s="6">
        <v>0.14380000000000001</v>
      </c>
      <c r="I94" s="7">
        <v>24</v>
      </c>
      <c r="J94" s="8">
        <f t="shared" si="9"/>
        <v>1.1983333333333334E-2</v>
      </c>
      <c r="K94" s="5">
        <f t="shared" si="10"/>
        <v>5677.5696975819537</v>
      </c>
      <c r="L94" s="5">
        <f t="shared" si="11"/>
        <v>136261.6727419669</v>
      </c>
      <c r="M94" s="5">
        <f t="shared" si="12"/>
        <v>18451.672741966904</v>
      </c>
      <c r="N94" s="5">
        <v>1178.1000000000001</v>
      </c>
      <c r="O94" s="5">
        <v>15315.300000000001</v>
      </c>
      <c r="P94" s="2" t="s">
        <v>37</v>
      </c>
      <c r="Q94" s="5">
        <v>0</v>
      </c>
      <c r="R94" s="5">
        <f t="shared" si="13"/>
        <v>4314.4727419669016</v>
      </c>
      <c r="S94" s="2" t="s">
        <v>24</v>
      </c>
      <c r="T94" s="2" t="s">
        <v>25</v>
      </c>
    </row>
    <row r="95" spans="1:20" x14ac:dyDescent="0.3">
      <c r="A95" s="9" t="s">
        <v>229</v>
      </c>
      <c r="B95" s="9" t="s">
        <v>230</v>
      </c>
      <c r="C95" s="9" t="s">
        <v>41</v>
      </c>
      <c r="D95" s="10">
        <v>509200</v>
      </c>
      <c r="E95" s="11">
        <v>0.2</v>
      </c>
      <c r="F95" s="12">
        <f t="shared" si="7"/>
        <v>101840</v>
      </c>
      <c r="G95" s="12">
        <f t="shared" si="8"/>
        <v>407360</v>
      </c>
      <c r="H95" s="13">
        <v>0.1079</v>
      </c>
      <c r="I95" s="14">
        <v>48</v>
      </c>
      <c r="J95" s="15">
        <f t="shared" si="9"/>
        <v>8.9916666666666669E-3</v>
      </c>
      <c r="K95" s="12">
        <f t="shared" si="10"/>
        <v>10486.936848251706</v>
      </c>
      <c r="L95" s="12">
        <f t="shared" si="11"/>
        <v>503372.96871608187</v>
      </c>
      <c r="M95" s="12">
        <f t="shared" si="12"/>
        <v>96012.968716081872</v>
      </c>
      <c r="N95" s="12">
        <v>4073.6</v>
      </c>
      <c r="O95" s="12">
        <v>105913.60000000001</v>
      </c>
      <c r="P95" s="9" t="s">
        <v>23</v>
      </c>
      <c r="Q95" s="12">
        <v>0</v>
      </c>
      <c r="R95" s="12">
        <f t="shared" si="13"/>
        <v>-5827.0312839181279</v>
      </c>
      <c r="S95" s="9" t="s">
        <v>30</v>
      </c>
      <c r="T95" s="9" t="s">
        <v>55</v>
      </c>
    </row>
    <row r="96" spans="1:20" x14ac:dyDescent="0.3">
      <c r="A96" s="2" t="s">
        <v>231</v>
      </c>
      <c r="B96" s="2" t="s">
        <v>232</v>
      </c>
      <c r="C96" s="2" t="s">
        <v>67</v>
      </c>
      <c r="D96" s="3">
        <v>16400</v>
      </c>
      <c r="E96" s="4">
        <v>0.2</v>
      </c>
      <c r="F96" s="5">
        <f t="shared" si="7"/>
        <v>3280</v>
      </c>
      <c r="G96" s="5">
        <f t="shared" si="8"/>
        <v>13120</v>
      </c>
      <c r="H96" s="6">
        <v>0.14019999999999999</v>
      </c>
      <c r="I96" s="7">
        <v>12</v>
      </c>
      <c r="J96" s="8">
        <f t="shared" si="9"/>
        <v>1.1683333333333332E-2</v>
      </c>
      <c r="K96" s="5">
        <f t="shared" si="10"/>
        <v>1178.130450707202</v>
      </c>
      <c r="L96" s="5">
        <f t="shared" si="11"/>
        <v>14137.565408486425</v>
      </c>
      <c r="M96" s="5">
        <f t="shared" si="12"/>
        <v>1017.5654084864254</v>
      </c>
      <c r="N96" s="5">
        <v>499</v>
      </c>
      <c r="O96" s="5">
        <v>852.80000000000007</v>
      </c>
      <c r="P96" s="2" t="s">
        <v>23</v>
      </c>
      <c r="Q96" s="5">
        <v>0</v>
      </c>
      <c r="R96" s="5">
        <f t="shared" si="13"/>
        <v>663.76540848642537</v>
      </c>
      <c r="S96" s="2" t="s">
        <v>58</v>
      </c>
      <c r="T96" s="2" t="s">
        <v>46</v>
      </c>
    </row>
    <row r="97" spans="1:20" x14ac:dyDescent="0.3">
      <c r="A97" s="9" t="s">
        <v>233</v>
      </c>
      <c r="B97" s="9" t="s">
        <v>234</v>
      </c>
      <c r="C97" s="9" t="s">
        <v>67</v>
      </c>
      <c r="D97" s="10">
        <v>87200</v>
      </c>
      <c r="E97" s="11">
        <v>0</v>
      </c>
      <c r="F97" s="12">
        <f t="shared" si="7"/>
        <v>0</v>
      </c>
      <c r="G97" s="12">
        <f t="shared" si="8"/>
        <v>87200</v>
      </c>
      <c r="H97" s="13">
        <v>0.19620000000000001</v>
      </c>
      <c r="I97" s="14">
        <v>12</v>
      </c>
      <c r="J97" s="15">
        <f t="shared" si="9"/>
        <v>1.635E-2</v>
      </c>
      <c r="K97" s="12">
        <f t="shared" si="10"/>
        <v>8061.8785259664828</v>
      </c>
      <c r="L97" s="12">
        <f t="shared" si="11"/>
        <v>96742.54231159779</v>
      </c>
      <c r="M97" s="12">
        <f t="shared" si="12"/>
        <v>9542.5423115977901</v>
      </c>
      <c r="N97" s="12">
        <v>872</v>
      </c>
      <c r="O97" s="12">
        <v>5668</v>
      </c>
      <c r="P97" s="9" t="s">
        <v>23</v>
      </c>
      <c r="Q97" s="12">
        <v>0</v>
      </c>
      <c r="R97" s="12">
        <f t="shared" si="13"/>
        <v>4746.5423115977901</v>
      </c>
      <c r="S97" s="9" t="s">
        <v>58</v>
      </c>
      <c r="T97" s="9" t="s">
        <v>49</v>
      </c>
    </row>
    <row r="98" spans="1:20" x14ac:dyDescent="0.3">
      <c r="A98" s="2" t="s">
        <v>235</v>
      </c>
      <c r="B98" s="2" t="s">
        <v>236</v>
      </c>
      <c r="C98" s="2" t="s">
        <v>22</v>
      </c>
      <c r="D98" s="3">
        <v>252900</v>
      </c>
      <c r="E98" s="4">
        <v>0.25</v>
      </c>
      <c r="F98" s="5">
        <f t="shared" si="7"/>
        <v>63225</v>
      </c>
      <c r="G98" s="5">
        <f t="shared" si="8"/>
        <v>189675</v>
      </c>
      <c r="H98" s="6">
        <v>0.1158</v>
      </c>
      <c r="I98" s="7">
        <v>12</v>
      </c>
      <c r="J98" s="8">
        <f t="shared" si="9"/>
        <v>9.6500000000000006E-3</v>
      </c>
      <c r="K98" s="5">
        <f t="shared" si="10"/>
        <v>16815.149400355909</v>
      </c>
      <c r="L98" s="5">
        <f t="shared" si="11"/>
        <v>201781.79280427092</v>
      </c>
      <c r="M98" s="5">
        <f t="shared" si="12"/>
        <v>12106.792804270925</v>
      </c>
      <c r="N98" s="5">
        <v>1896.75</v>
      </c>
      <c r="O98" s="5">
        <v>12328.875</v>
      </c>
      <c r="P98" s="2" t="s">
        <v>37</v>
      </c>
      <c r="Q98" s="5">
        <v>0</v>
      </c>
      <c r="R98" s="5">
        <f t="shared" si="13"/>
        <v>1674.6678042709245</v>
      </c>
      <c r="S98" s="2" t="s">
        <v>30</v>
      </c>
      <c r="T98" s="2" t="s">
        <v>184</v>
      </c>
    </row>
    <row r="99" spans="1:20" x14ac:dyDescent="0.3">
      <c r="A99" s="9" t="s">
        <v>237</v>
      </c>
      <c r="B99" s="9" t="s">
        <v>238</v>
      </c>
      <c r="C99" s="9" t="s">
        <v>41</v>
      </c>
      <c r="D99" s="10">
        <v>478600</v>
      </c>
      <c r="E99" s="11">
        <v>0.3</v>
      </c>
      <c r="F99" s="12">
        <f t="shared" si="7"/>
        <v>143580</v>
      </c>
      <c r="G99" s="12">
        <f t="shared" si="8"/>
        <v>335020</v>
      </c>
      <c r="H99" s="13">
        <v>0.09</v>
      </c>
      <c r="I99" s="14">
        <v>60</v>
      </c>
      <c r="J99" s="15">
        <f t="shared" si="9"/>
        <v>7.4999999999999997E-3</v>
      </c>
      <c r="K99" s="12">
        <f t="shared" si="10"/>
        <v>6954.4641679331198</v>
      </c>
      <c r="L99" s="12">
        <f t="shared" si="11"/>
        <v>417267.85007598717</v>
      </c>
      <c r="M99" s="12">
        <f t="shared" si="12"/>
        <v>82247.850075987168</v>
      </c>
      <c r="N99" s="12">
        <v>3350.2000000000003</v>
      </c>
      <c r="O99" s="12">
        <v>108881.5</v>
      </c>
      <c r="P99" s="9" t="s">
        <v>23</v>
      </c>
      <c r="Q99" s="12">
        <v>0</v>
      </c>
      <c r="R99" s="12">
        <f t="shared" si="13"/>
        <v>-23283.449924012835</v>
      </c>
      <c r="S99" s="9" t="s">
        <v>58</v>
      </c>
      <c r="T99" s="9" t="s">
        <v>97</v>
      </c>
    </row>
    <row r="100" spans="1:20" x14ac:dyDescent="0.3">
      <c r="A100" s="2" t="s">
        <v>239</v>
      </c>
      <c r="B100" s="2" t="s">
        <v>240</v>
      </c>
      <c r="C100" s="2" t="s">
        <v>67</v>
      </c>
      <c r="D100" s="3">
        <v>85100</v>
      </c>
      <c r="E100" s="4">
        <v>0.15</v>
      </c>
      <c r="F100" s="5">
        <f t="shared" si="7"/>
        <v>12765</v>
      </c>
      <c r="G100" s="5">
        <f t="shared" si="8"/>
        <v>72335</v>
      </c>
      <c r="H100" s="6">
        <v>0.19600000000000001</v>
      </c>
      <c r="I100" s="7">
        <v>9</v>
      </c>
      <c r="J100" s="8">
        <f t="shared" si="9"/>
        <v>1.6333333333333335E-2</v>
      </c>
      <c r="K100" s="5">
        <f t="shared" si="10"/>
        <v>8707.7691537194969</v>
      </c>
      <c r="L100" s="5">
        <f t="shared" si="11"/>
        <v>78369.922383475467</v>
      </c>
      <c r="M100" s="5">
        <f t="shared" si="12"/>
        <v>6034.9223834754666</v>
      </c>
      <c r="N100" s="5">
        <v>723.35</v>
      </c>
      <c r="O100" s="5">
        <v>3526.3312500000002</v>
      </c>
      <c r="P100" s="2" t="s">
        <v>23</v>
      </c>
      <c r="Q100" s="5">
        <v>0</v>
      </c>
      <c r="R100" s="5">
        <f t="shared" si="13"/>
        <v>3231.9411334754668</v>
      </c>
      <c r="S100" s="2" t="s">
        <v>42</v>
      </c>
      <c r="T100" s="2" t="s">
        <v>43</v>
      </c>
    </row>
    <row r="101" spans="1:20" x14ac:dyDescent="0.3">
      <c r="A101" s="9" t="s">
        <v>241</v>
      </c>
      <c r="B101" s="9" t="s">
        <v>242</v>
      </c>
      <c r="C101" s="9" t="s">
        <v>22</v>
      </c>
      <c r="D101" s="10">
        <v>273500</v>
      </c>
      <c r="E101" s="11">
        <v>0.15</v>
      </c>
      <c r="F101" s="12">
        <f t="shared" si="7"/>
        <v>41025</v>
      </c>
      <c r="G101" s="12">
        <f t="shared" si="8"/>
        <v>232475</v>
      </c>
      <c r="H101" s="13">
        <v>0.1588</v>
      </c>
      <c r="I101" s="14">
        <v>60</v>
      </c>
      <c r="J101" s="15">
        <f t="shared" si="9"/>
        <v>1.3233333333333333E-2</v>
      </c>
      <c r="K101" s="12">
        <f t="shared" si="10"/>
        <v>5638.5284505170193</v>
      </c>
      <c r="L101" s="12">
        <f t="shared" si="11"/>
        <v>338311.70703102119</v>
      </c>
      <c r="M101" s="12">
        <f t="shared" si="12"/>
        <v>105836.70703102119</v>
      </c>
      <c r="N101" s="12">
        <v>2324.75</v>
      </c>
      <c r="O101" s="12">
        <v>75554.375</v>
      </c>
      <c r="P101" s="9" t="s">
        <v>29</v>
      </c>
      <c r="Q101" s="12">
        <v>92990</v>
      </c>
      <c r="R101" s="12">
        <f t="shared" si="13"/>
        <v>-60382.917968978814</v>
      </c>
      <c r="S101" s="9" t="s">
        <v>30</v>
      </c>
      <c r="T101" s="9" t="s">
        <v>49</v>
      </c>
    </row>
    <row r="102" spans="1:20" x14ac:dyDescent="0.3">
      <c r="A102" s="2" t="s">
        <v>243</v>
      </c>
      <c r="B102" s="2" t="s">
        <v>244</v>
      </c>
      <c r="C102" s="2" t="s">
        <v>41</v>
      </c>
      <c r="D102" s="3">
        <v>1032700</v>
      </c>
      <c r="E102" s="4">
        <v>0.3</v>
      </c>
      <c r="F102" s="5">
        <f t="shared" si="7"/>
        <v>309810</v>
      </c>
      <c r="G102" s="5">
        <f t="shared" si="8"/>
        <v>722890</v>
      </c>
      <c r="H102" s="6">
        <v>0.1135</v>
      </c>
      <c r="I102" s="7">
        <v>60</v>
      </c>
      <c r="J102" s="8">
        <f t="shared" si="9"/>
        <v>9.4583333333333342E-3</v>
      </c>
      <c r="K102" s="5">
        <f t="shared" si="10"/>
        <v>15843.853342757993</v>
      </c>
      <c r="L102" s="5">
        <f t="shared" si="11"/>
        <v>950631.20056547958</v>
      </c>
      <c r="M102" s="5">
        <f t="shared" si="12"/>
        <v>227741.20056547958</v>
      </c>
      <c r="N102" s="5">
        <v>7228.9000000000005</v>
      </c>
      <c r="O102" s="5">
        <v>234939.25</v>
      </c>
      <c r="P102" s="2" t="s">
        <v>37</v>
      </c>
      <c r="Q102" s="5">
        <v>0</v>
      </c>
      <c r="R102" s="5">
        <f t="shared" si="13"/>
        <v>30.850565479573561</v>
      </c>
      <c r="S102" s="2" t="s">
        <v>30</v>
      </c>
      <c r="T102" s="2" t="s">
        <v>97</v>
      </c>
    </row>
    <row r="103" spans="1:20" x14ac:dyDescent="0.3">
      <c r="A103" s="9" t="s">
        <v>245</v>
      </c>
      <c r="B103" s="9" t="s">
        <v>246</v>
      </c>
      <c r="C103" s="9" t="s">
        <v>28</v>
      </c>
      <c r="D103" s="10">
        <v>80300</v>
      </c>
      <c r="E103" s="11">
        <v>0.15</v>
      </c>
      <c r="F103" s="12">
        <f t="shared" si="7"/>
        <v>12045</v>
      </c>
      <c r="G103" s="12">
        <f t="shared" si="8"/>
        <v>68255</v>
      </c>
      <c r="H103" s="13">
        <v>0.14230000000000001</v>
      </c>
      <c r="I103" s="14">
        <v>24</v>
      </c>
      <c r="J103" s="15">
        <f t="shared" si="9"/>
        <v>1.1858333333333334E-2</v>
      </c>
      <c r="K103" s="12">
        <f t="shared" si="10"/>
        <v>3284.5404870739308</v>
      </c>
      <c r="L103" s="12">
        <f t="shared" si="11"/>
        <v>78828.971689774335</v>
      </c>
      <c r="M103" s="12">
        <f t="shared" si="12"/>
        <v>10573.971689774335</v>
      </c>
      <c r="N103" s="12">
        <v>682.55000000000007</v>
      </c>
      <c r="O103" s="12">
        <v>8873.15</v>
      </c>
      <c r="P103" s="9" t="s">
        <v>23</v>
      </c>
      <c r="Q103" s="12">
        <v>0</v>
      </c>
      <c r="R103" s="12">
        <f t="shared" si="13"/>
        <v>2383.3716897743343</v>
      </c>
      <c r="S103" s="9" t="s">
        <v>42</v>
      </c>
      <c r="T103" s="9" t="s">
        <v>43</v>
      </c>
    </row>
    <row r="104" spans="1:20" x14ac:dyDescent="0.3">
      <c r="A104" s="2" t="s">
        <v>247</v>
      </c>
      <c r="B104" s="2" t="s">
        <v>248</v>
      </c>
      <c r="C104" s="2" t="s">
        <v>28</v>
      </c>
      <c r="D104" s="3">
        <v>76000</v>
      </c>
      <c r="E104" s="4">
        <v>0.05</v>
      </c>
      <c r="F104" s="5">
        <f t="shared" si="7"/>
        <v>3800</v>
      </c>
      <c r="G104" s="5">
        <f t="shared" si="8"/>
        <v>72200</v>
      </c>
      <c r="H104" s="6">
        <v>0.1457</v>
      </c>
      <c r="I104" s="7">
        <v>6</v>
      </c>
      <c r="J104" s="8">
        <f t="shared" si="9"/>
        <v>1.2141666666666667E-2</v>
      </c>
      <c r="K104" s="5">
        <f t="shared" si="10"/>
        <v>12549.842275441732</v>
      </c>
      <c r="L104" s="5">
        <f t="shared" si="11"/>
        <v>75299.053652650386</v>
      </c>
      <c r="M104" s="5">
        <f t="shared" si="12"/>
        <v>3099.0536526503856</v>
      </c>
      <c r="N104" s="5">
        <v>722</v>
      </c>
      <c r="O104" s="5">
        <v>2346.5</v>
      </c>
      <c r="P104" s="2" t="s">
        <v>23</v>
      </c>
      <c r="Q104" s="5">
        <v>0</v>
      </c>
      <c r="R104" s="5">
        <f t="shared" si="13"/>
        <v>1474.5536526503856</v>
      </c>
      <c r="S104" s="2" t="s">
        <v>42</v>
      </c>
      <c r="T104" s="2" t="s">
        <v>184</v>
      </c>
    </row>
    <row r="105" spans="1:20" x14ac:dyDescent="0.3">
      <c r="A105" s="9" t="s">
        <v>249</v>
      </c>
      <c r="B105" s="9" t="s">
        <v>250</v>
      </c>
      <c r="C105" s="9" t="s">
        <v>22</v>
      </c>
      <c r="D105" s="10">
        <v>156100</v>
      </c>
      <c r="E105" s="11">
        <v>0.2</v>
      </c>
      <c r="F105" s="12">
        <f t="shared" si="7"/>
        <v>31220</v>
      </c>
      <c r="G105" s="12">
        <f t="shared" si="8"/>
        <v>124880</v>
      </c>
      <c r="H105" s="13">
        <v>0.1608</v>
      </c>
      <c r="I105" s="14">
        <v>12</v>
      </c>
      <c r="J105" s="15">
        <f t="shared" si="9"/>
        <v>1.34E-2</v>
      </c>
      <c r="K105" s="12">
        <f t="shared" si="10"/>
        <v>11335.197727628967</v>
      </c>
      <c r="L105" s="12">
        <f t="shared" si="11"/>
        <v>136022.3727315476</v>
      </c>
      <c r="M105" s="12">
        <f t="shared" si="12"/>
        <v>11142.372731547599</v>
      </c>
      <c r="N105" s="12">
        <v>1248.8</v>
      </c>
      <c r="O105" s="12">
        <v>8117.2000000000007</v>
      </c>
      <c r="P105" s="9" t="s">
        <v>29</v>
      </c>
      <c r="Q105" s="12">
        <v>49952</v>
      </c>
      <c r="R105" s="12">
        <f t="shared" si="13"/>
        <v>-45678.027268452402</v>
      </c>
      <c r="S105" s="9" t="s">
        <v>58</v>
      </c>
      <c r="T105" s="9" t="s">
        <v>38</v>
      </c>
    </row>
    <row r="106" spans="1:20" x14ac:dyDescent="0.3">
      <c r="A106" s="2" t="s">
        <v>251</v>
      </c>
      <c r="B106" s="2" t="s">
        <v>252</v>
      </c>
      <c r="C106" s="2" t="s">
        <v>67</v>
      </c>
      <c r="D106" s="3">
        <v>94500</v>
      </c>
      <c r="E106" s="4">
        <v>0.2</v>
      </c>
      <c r="F106" s="5">
        <f t="shared" si="7"/>
        <v>18900</v>
      </c>
      <c r="G106" s="5">
        <f t="shared" si="8"/>
        <v>75600</v>
      </c>
      <c r="H106" s="6">
        <v>0.2092</v>
      </c>
      <c r="I106" s="7">
        <v>3</v>
      </c>
      <c r="J106" s="8">
        <f t="shared" si="9"/>
        <v>1.7433333333333332E-2</v>
      </c>
      <c r="K106" s="5">
        <f t="shared" si="10"/>
        <v>26083.701627063925</v>
      </c>
      <c r="L106" s="5">
        <f t="shared" si="11"/>
        <v>78251.104881191772</v>
      </c>
      <c r="M106" s="5">
        <f t="shared" si="12"/>
        <v>2651.1048811917717</v>
      </c>
      <c r="N106" s="5">
        <v>756</v>
      </c>
      <c r="O106" s="5">
        <v>1228.5</v>
      </c>
      <c r="P106" s="2" t="s">
        <v>23</v>
      </c>
      <c r="Q106" s="5">
        <v>0</v>
      </c>
      <c r="R106" s="5">
        <f t="shared" si="13"/>
        <v>2178.6048811917717</v>
      </c>
      <c r="S106" s="2" t="s">
        <v>42</v>
      </c>
      <c r="T106" s="2" t="s">
        <v>88</v>
      </c>
    </row>
    <row r="107" spans="1:20" x14ac:dyDescent="0.3">
      <c r="A107" s="9" t="s">
        <v>253</v>
      </c>
      <c r="B107" s="9" t="s">
        <v>254</v>
      </c>
      <c r="C107" s="9" t="s">
        <v>67</v>
      </c>
      <c r="D107" s="10">
        <v>66100</v>
      </c>
      <c r="E107" s="11">
        <v>0.2</v>
      </c>
      <c r="F107" s="12">
        <f t="shared" si="7"/>
        <v>13220</v>
      </c>
      <c r="G107" s="12">
        <f t="shared" si="8"/>
        <v>52880</v>
      </c>
      <c r="H107" s="13">
        <v>0.1898</v>
      </c>
      <c r="I107" s="14">
        <v>12</v>
      </c>
      <c r="J107" s="15">
        <f t="shared" si="9"/>
        <v>1.5816666666666666E-2</v>
      </c>
      <c r="K107" s="12">
        <f t="shared" si="10"/>
        <v>4872.735123900422</v>
      </c>
      <c r="L107" s="12">
        <f t="shared" si="11"/>
        <v>58472.821486805064</v>
      </c>
      <c r="M107" s="12">
        <f t="shared" si="12"/>
        <v>5592.8214868050636</v>
      </c>
      <c r="N107" s="12">
        <v>528.79999999999995</v>
      </c>
      <c r="O107" s="12">
        <v>3437.2000000000003</v>
      </c>
      <c r="P107" s="9" t="s">
        <v>23</v>
      </c>
      <c r="Q107" s="12">
        <v>0</v>
      </c>
      <c r="R107" s="12">
        <f t="shared" si="13"/>
        <v>2684.4214868050635</v>
      </c>
      <c r="S107" s="9" t="s">
        <v>24</v>
      </c>
      <c r="T107" s="9" t="s">
        <v>55</v>
      </c>
    </row>
    <row r="108" spans="1:20" x14ac:dyDescent="0.3">
      <c r="A108" s="2" t="s">
        <v>255</v>
      </c>
      <c r="B108" s="2" t="s">
        <v>256</v>
      </c>
      <c r="C108" s="2" t="s">
        <v>67</v>
      </c>
      <c r="D108" s="3">
        <v>22700</v>
      </c>
      <c r="E108" s="4">
        <v>0.1</v>
      </c>
      <c r="F108" s="5">
        <f t="shared" si="7"/>
        <v>2270</v>
      </c>
      <c r="G108" s="5">
        <f t="shared" si="8"/>
        <v>20430</v>
      </c>
      <c r="H108" s="6">
        <v>0.16300000000000001</v>
      </c>
      <c r="I108" s="7">
        <v>24</v>
      </c>
      <c r="J108" s="8">
        <f t="shared" si="9"/>
        <v>1.3583333333333334E-2</v>
      </c>
      <c r="K108" s="5">
        <f t="shared" si="10"/>
        <v>1003.2473135154198</v>
      </c>
      <c r="L108" s="5">
        <f t="shared" si="11"/>
        <v>24077.935524370077</v>
      </c>
      <c r="M108" s="5">
        <f t="shared" si="12"/>
        <v>3647.9355243700775</v>
      </c>
      <c r="N108" s="5">
        <v>499</v>
      </c>
      <c r="O108" s="5">
        <v>2655.9</v>
      </c>
      <c r="P108" s="2" t="s">
        <v>37</v>
      </c>
      <c r="Q108" s="5">
        <v>0</v>
      </c>
      <c r="R108" s="5">
        <f t="shared" si="13"/>
        <v>1491.0355243700774</v>
      </c>
      <c r="S108" s="2" t="s">
        <v>30</v>
      </c>
      <c r="T108" s="2" t="s">
        <v>31</v>
      </c>
    </row>
    <row r="109" spans="1:20" x14ac:dyDescent="0.3">
      <c r="A109" s="9" t="s">
        <v>257</v>
      </c>
      <c r="B109" s="9" t="s">
        <v>258</v>
      </c>
      <c r="C109" s="9" t="s">
        <v>67</v>
      </c>
      <c r="D109" s="10">
        <v>69700</v>
      </c>
      <c r="E109" s="11">
        <v>0</v>
      </c>
      <c r="F109" s="12">
        <f t="shared" si="7"/>
        <v>0</v>
      </c>
      <c r="G109" s="12">
        <f t="shared" si="8"/>
        <v>69700</v>
      </c>
      <c r="H109" s="13">
        <v>0.1842</v>
      </c>
      <c r="I109" s="14">
        <v>3</v>
      </c>
      <c r="J109" s="15">
        <f t="shared" si="9"/>
        <v>1.5350000000000001E-2</v>
      </c>
      <c r="K109" s="12">
        <f t="shared" si="10"/>
        <v>23950.218330548105</v>
      </c>
      <c r="L109" s="12">
        <f t="shared" si="11"/>
        <v>71850.654991644318</v>
      </c>
      <c r="M109" s="12">
        <f t="shared" si="12"/>
        <v>2150.6549916443182</v>
      </c>
      <c r="N109" s="12">
        <v>697</v>
      </c>
      <c r="O109" s="12">
        <v>1132.625</v>
      </c>
      <c r="P109" s="9" t="s">
        <v>23</v>
      </c>
      <c r="Q109" s="12">
        <v>0</v>
      </c>
      <c r="R109" s="12">
        <f t="shared" si="13"/>
        <v>1715.0299916443182</v>
      </c>
      <c r="S109" s="9" t="s">
        <v>24</v>
      </c>
      <c r="T109" s="9" t="s">
        <v>97</v>
      </c>
    </row>
    <row r="110" spans="1:20" x14ac:dyDescent="0.3">
      <c r="A110" s="2" t="s">
        <v>259</v>
      </c>
      <c r="B110" s="2" t="s">
        <v>260</v>
      </c>
      <c r="C110" s="2" t="s">
        <v>41</v>
      </c>
      <c r="D110" s="3">
        <v>1112500</v>
      </c>
      <c r="E110" s="4">
        <v>0.3</v>
      </c>
      <c r="F110" s="5">
        <f t="shared" si="7"/>
        <v>333750</v>
      </c>
      <c r="G110" s="5">
        <f t="shared" si="8"/>
        <v>778750</v>
      </c>
      <c r="H110" s="6">
        <v>8.9599999999999999E-2</v>
      </c>
      <c r="I110" s="7">
        <v>60</v>
      </c>
      <c r="J110" s="8">
        <f t="shared" si="9"/>
        <v>7.4666666666666666E-3</v>
      </c>
      <c r="K110" s="5">
        <f t="shared" si="10"/>
        <v>16150.455246376112</v>
      </c>
      <c r="L110" s="5">
        <f t="shared" si="11"/>
        <v>969027.31478256674</v>
      </c>
      <c r="M110" s="5">
        <f t="shared" si="12"/>
        <v>190277.31478256674</v>
      </c>
      <c r="N110" s="5">
        <v>7787.5</v>
      </c>
      <c r="O110" s="5">
        <v>253093.75</v>
      </c>
      <c r="P110" s="2" t="s">
        <v>23</v>
      </c>
      <c r="Q110" s="5">
        <v>0</v>
      </c>
      <c r="R110" s="5">
        <f t="shared" si="13"/>
        <v>-55028.93521743326</v>
      </c>
      <c r="S110" s="2" t="s">
        <v>42</v>
      </c>
      <c r="T110" s="2" t="s">
        <v>97</v>
      </c>
    </row>
    <row r="111" spans="1:20" x14ac:dyDescent="0.3">
      <c r="A111" s="9" t="s">
        <v>261</v>
      </c>
      <c r="B111" s="9" t="s">
        <v>262</v>
      </c>
      <c r="C111" s="9" t="s">
        <v>41</v>
      </c>
      <c r="D111" s="10">
        <v>668100</v>
      </c>
      <c r="E111" s="11">
        <v>0.15</v>
      </c>
      <c r="F111" s="12">
        <f t="shared" si="7"/>
        <v>100215</v>
      </c>
      <c r="G111" s="12">
        <f t="shared" si="8"/>
        <v>567885</v>
      </c>
      <c r="H111" s="13">
        <v>0.10150000000000001</v>
      </c>
      <c r="I111" s="14">
        <v>72</v>
      </c>
      <c r="J111" s="15">
        <f t="shared" si="9"/>
        <v>8.4583333333333333E-3</v>
      </c>
      <c r="K111" s="12">
        <f t="shared" si="10"/>
        <v>10563.552216329292</v>
      </c>
      <c r="L111" s="12">
        <f t="shared" si="11"/>
        <v>760575.759575709</v>
      </c>
      <c r="M111" s="12">
        <f t="shared" si="12"/>
        <v>192690.759575709</v>
      </c>
      <c r="N111" s="12">
        <v>5678.85</v>
      </c>
      <c r="O111" s="12">
        <v>221475.15000000002</v>
      </c>
      <c r="P111" s="9" t="s">
        <v>23</v>
      </c>
      <c r="Q111" s="12">
        <v>0</v>
      </c>
      <c r="R111" s="12">
        <f t="shared" si="13"/>
        <v>-23105.540424291015</v>
      </c>
      <c r="S111" s="9" t="s">
        <v>30</v>
      </c>
      <c r="T111" s="9" t="s">
        <v>43</v>
      </c>
    </row>
    <row r="112" spans="1:20" x14ac:dyDescent="0.3">
      <c r="A112" s="2" t="s">
        <v>263</v>
      </c>
      <c r="B112" s="2" t="s">
        <v>264</v>
      </c>
      <c r="C112" s="2" t="s">
        <v>67</v>
      </c>
      <c r="D112" s="3">
        <v>96500</v>
      </c>
      <c r="E112" s="4">
        <v>0.05</v>
      </c>
      <c r="F112" s="5">
        <f t="shared" si="7"/>
        <v>4825</v>
      </c>
      <c r="G112" s="5">
        <f t="shared" si="8"/>
        <v>91675</v>
      </c>
      <c r="H112" s="6">
        <v>0.17319999999999999</v>
      </c>
      <c r="I112" s="7">
        <v>18</v>
      </c>
      <c r="J112" s="8">
        <f t="shared" si="9"/>
        <v>1.4433333333333333E-2</v>
      </c>
      <c r="K112" s="5">
        <f t="shared" si="10"/>
        <v>5819.721073797894</v>
      </c>
      <c r="L112" s="5">
        <f t="shared" si="11"/>
        <v>104754.9793283621</v>
      </c>
      <c r="M112" s="5">
        <f t="shared" si="12"/>
        <v>13079.979328362097</v>
      </c>
      <c r="N112" s="5">
        <v>916.75</v>
      </c>
      <c r="O112" s="5">
        <v>8938.3125</v>
      </c>
      <c r="P112" s="2" t="s">
        <v>23</v>
      </c>
      <c r="Q112" s="5">
        <v>0</v>
      </c>
      <c r="R112" s="5">
        <f t="shared" si="13"/>
        <v>5058.4168283620966</v>
      </c>
      <c r="S112" s="2" t="s">
        <v>58</v>
      </c>
      <c r="T112" s="2" t="s">
        <v>31</v>
      </c>
    </row>
    <row r="113" spans="1:20" x14ac:dyDescent="0.3">
      <c r="A113" s="9" t="s">
        <v>265</v>
      </c>
      <c r="B113" s="9" t="s">
        <v>266</v>
      </c>
      <c r="C113" s="9" t="s">
        <v>67</v>
      </c>
      <c r="D113" s="10">
        <v>73700</v>
      </c>
      <c r="E113" s="11">
        <v>0</v>
      </c>
      <c r="F113" s="12">
        <f t="shared" si="7"/>
        <v>0</v>
      </c>
      <c r="G113" s="12">
        <f t="shared" si="8"/>
        <v>73700</v>
      </c>
      <c r="H113" s="13">
        <v>0.21990000000000001</v>
      </c>
      <c r="I113" s="14">
        <v>12</v>
      </c>
      <c r="J113" s="15">
        <f t="shared" si="9"/>
        <v>1.8325000000000001E-2</v>
      </c>
      <c r="K113" s="12">
        <f t="shared" si="10"/>
        <v>6897.551085492084</v>
      </c>
      <c r="L113" s="12">
        <f t="shared" si="11"/>
        <v>82770.613025905011</v>
      </c>
      <c r="M113" s="12">
        <f t="shared" si="12"/>
        <v>9070.6130259050115</v>
      </c>
      <c r="N113" s="12">
        <v>737</v>
      </c>
      <c r="O113" s="12">
        <v>4790.5</v>
      </c>
      <c r="P113" s="9" t="s">
        <v>23</v>
      </c>
      <c r="Q113" s="12">
        <v>0</v>
      </c>
      <c r="R113" s="12">
        <f t="shared" si="13"/>
        <v>5017.1130259050115</v>
      </c>
      <c r="S113" s="9" t="s">
        <v>42</v>
      </c>
      <c r="T113" s="9" t="s">
        <v>38</v>
      </c>
    </row>
    <row r="114" spans="1:20" x14ac:dyDescent="0.3">
      <c r="A114" s="2" t="s">
        <v>267</v>
      </c>
      <c r="B114" s="2" t="s">
        <v>268</v>
      </c>
      <c r="C114" s="2" t="s">
        <v>28</v>
      </c>
      <c r="D114" s="3">
        <v>120400</v>
      </c>
      <c r="E114" s="4">
        <v>0.05</v>
      </c>
      <c r="F114" s="5">
        <f t="shared" si="7"/>
        <v>6020</v>
      </c>
      <c r="G114" s="5">
        <f t="shared" si="8"/>
        <v>114380</v>
      </c>
      <c r="H114" s="6">
        <v>0.1502</v>
      </c>
      <c r="I114" s="7">
        <v>12</v>
      </c>
      <c r="J114" s="8">
        <f t="shared" si="9"/>
        <v>1.2516666666666667E-2</v>
      </c>
      <c r="K114" s="5">
        <f t="shared" si="10"/>
        <v>10324.825247821784</v>
      </c>
      <c r="L114" s="5">
        <f t="shared" si="11"/>
        <v>123897.9029738614</v>
      </c>
      <c r="M114" s="5">
        <f t="shared" si="12"/>
        <v>9517.9029738614045</v>
      </c>
      <c r="N114" s="5">
        <v>1143.8</v>
      </c>
      <c r="O114" s="5">
        <v>7434.7</v>
      </c>
      <c r="P114" s="2" t="s">
        <v>23</v>
      </c>
      <c r="Q114" s="5">
        <v>0</v>
      </c>
      <c r="R114" s="5">
        <f t="shared" si="13"/>
        <v>3227.0029738614039</v>
      </c>
      <c r="S114" s="2" t="s">
        <v>30</v>
      </c>
      <c r="T114" s="2" t="s">
        <v>25</v>
      </c>
    </row>
    <row r="115" spans="1:20" x14ac:dyDescent="0.3">
      <c r="A115" s="9" t="s">
        <v>269</v>
      </c>
      <c r="B115" s="9" t="s">
        <v>270</v>
      </c>
      <c r="C115" s="9" t="s">
        <v>28</v>
      </c>
      <c r="D115" s="10">
        <v>132000</v>
      </c>
      <c r="E115" s="11">
        <v>0.15</v>
      </c>
      <c r="F115" s="12">
        <f t="shared" si="7"/>
        <v>19800</v>
      </c>
      <c r="G115" s="12">
        <f t="shared" si="8"/>
        <v>112200</v>
      </c>
      <c r="H115" s="13">
        <v>0.15290000000000001</v>
      </c>
      <c r="I115" s="14">
        <v>12</v>
      </c>
      <c r="J115" s="15">
        <f t="shared" si="9"/>
        <v>1.2741666666666667E-2</v>
      </c>
      <c r="K115" s="12">
        <f t="shared" si="10"/>
        <v>10142.342738474979</v>
      </c>
      <c r="L115" s="12">
        <f t="shared" si="11"/>
        <v>121708.11286169974</v>
      </c>
      <c r="M115" s="12">
        <f t="shared" si="12"/>
        <v>9508.1128616997448</v>
      </c>
      <c r="N115" s="12">
        <v>1122</v>
      </c>
      <c r="O115" s="12">
        <v>7293</v>
      </c>
      <c r="P115" s="9" t="s">
        <v>23</v>
      </c>
      <c r="Q115" s="12">
        <v>0</v>
      </c>
      <c r="R115" s="12">
        <f t="shared" si="13"/>
        <v>3337.1128616997448</v>
      </c>
      <c r="S115" s="9" t="s">
        <v>42</v>
      </c>
      <c r="T115" s="9" t="s">
        <v>88</v>
      </c>
    </row>
    <row r="116" spans="1:20" x14ac:dyDescent="0.3">
      <c r="A116" s="2" t="s">
        <v>271</v>
      </c>
      <c r="B116" s="2" t="s">
        <v>272</v>
      </c>
      <c r="C116" s="2" t="s">
        <v>41</v>
      </c>
      <c r="D116" s="3">
        <v>1271600</v>
      </c>
      <c r="E116" s="4">
        <v>0.25</v>
      </c>
      <c r="F116" s="5">
        <f t="shared" si="7"/>
        <v>317900</v>
      </c>
      <c r="G116" s="5">
        <f t="shared" si="8"/>
        <v>953700</v>
      </c>
      <c r="H116" s="6">
        <v>0.1046</v>
      </c>
      <c r="I116" s="7">
        <v>48</v>
      </c>
      <c r="J116" s="8">
        <f t="shared" si="9"/>
        <v>8.716666666666666E-3</v>
      </c>
      <c r="K116" s="5">
        <f t="shared" si="10"/>
        <v>24399.524176479546</v>
      </c>
      <c r="L116" s="5">
        <f t="shared" si="11"/>
        <v>1171177.1604710182</v>
      </c>
      <c r="M116" s="5">
        <f t="shared" si="12"/>
        <v>217477.16047101817</v>
      </c>
      <c r="N116" s="5">
        <v>9537</v>
      </c>
      <c r="O116" s="5">
        <v>247962</v>
      </c>
      <c r="P116" s="2" t="s">
        <v>23</v>
      </c>
      <c r="Q116" s="5">
        <v>0</v>
      </c>
      <c r="R116" s="5">
        <f t="shared" si="13"/>
        <v>-20947.839528981829</v>
      </c>
      <c r="S116" s="2" t="s">
        <v>30</v>
      </c>
      <c r="T116" s="2" t="s">
        <v>52</v>
      </c>
    </row>
    <row r="117" spans="1:20" x14ac:dyDescent="0.3">
      <c r="A117" s="9" t="s">
        <v>273</v>
      </c>
      <c r="B117" s="9" t="s">
        <v>274</v>
      </c>
      <c r="C117" s="9" t="s">
        <v>41</v>
      </c>
      <c r="D117" s="10">
        <v>765200</v>
      </c>
      <c r="E117" s="11">
        <v>0.1</v>
      </c>
      <c r="F117" s="12">
        <f t="shared" si="7"/>
        <v>76520</v>
      </c>
      <c r="G117" s="12">
        <f t="shared" si="8"/>
        <v>688680</v>
      </c>
      <c r="H117" s="13">
        <v>8.7999999999999995E-2</v>
      </c>
      <c r="I117" s="14">
        <v>72</v>
      </c>
      <c r="J117" s="15">
        <f t="shared" si="9"/>
        <v>7.3333333333333332E-3</v>
      </c>
      <c r="K117" s="12">
        <f t="shared" si="10"/>
        <v>12345.577662981672</v>
      </c>
      <c r="L117" s="12">
        <f t="shared" si="11"/>
        <v>888881.59173468035</v>
      </c>
      <c r="M117" s="12">
        <f t="shared" si="12"/>
        <v>200201.59173468035</v>
      </c>
      <c r="N117" s="12">
        <v>6886.8</v>
      </c>
      <c r="O117" s="12">
        <v>268585.2</v>
      </c>
      <c r="P117" s="9" t="s">
        <v>23</v>
      </c>
      <c r="Q117" s="12">
        <v>0</v>
      </c>
      <c r="R117" s="12">
        <f t="shared" si="13"/>
        <v>-61496.808265319676</v>
      </c>
      <c r="S117" s="9" t="s">
        <v>42</v>
      </c>
      <c r="T117" s="9" t="s">
        <v>46</v>
      </c>
    </row>
    <row r="118" spans="1:20" x14ac:dyDescent="0.3">
      <c r="A118" s="2" t="s">
        <v>275</v>
      </c>
      <c r="B118" s="2" t="s">
        <v>276</v>
      </c>
      <c r="C118" s="2" t="s">
        <v>22</v>
      </c>
      <c r="D118" s="3">
        <v>158400</v>
      </c>
      <c r="E118" s="4">
        <v>0.05</v>
      </c>
      <c r="F118" s="5">
        <f t="shared" si="7"/>
        <v>7920</v>
      </c>
      <c r="G118" s="5">
        <f t="shared" si="8"/>
        <v>150480</v>
      </c>
      <c r="H118" s="6">
        <v>0.15240000000000001</v>
      </c>
      <c r="I118" s="7">
        <v>24</v>
      </c>
      <c r="J118" s="8">
        <f t="shared" si="9"/>
        <v>1.2700000000000001E-2</v>
      </c>
      <c r="K118" s="5">
        <f t="shared" si="10"/>
        <v>7313.4413499451011</v>
      </c>
      <c r="L118" s="5">
        <f t="shared" si="11"/>
        <v>175522.59239868243</v>
      </c>
      <c r="M118" s="5">
        <f t="shared" si="12"/>
        <v>25042.592398682435</v>
      </c>
      <c r="N118" s="5">
        <v>1504.8</v>
      </c>
      <c r="O118" s="5">
        <v>19562.400000000001</v>
      </c>
      <c r="P118" s="2" t="s">
        <v>23</v>
      </c>
      <c r="Q118" s="5">
        <v>0</v>
      </c>
      <c r="R118" s="5">
        <f t="shared" si="13"/>
        <v>6984.9923986824324</v>
      </c>
      <c r="S118" s="2" t="s">
        <v>58</v>
      </c>
      <c r="T118" s="2" t="s">
        <v>38</v>
      </c>
    </row>
    <row r="119" spans="1:20" x14ac:dyDescent="0.3">
      <c r="A119" s="9" t="s">
        <v>277</v>
      </c>
      <c r="B119" s="9" t="s">
        <v>278</v>
      </c>
      <c r="C119" s="9" t="s">
        <v>22</v>
      </c>
      <c r="D119" s="10">
        <v>155400</v>
      </c>
      <c r="E119" s="11">
        <v>0.25</v>
      </c>
      <c r="F119" s="12">
        <f t="shared" si="7"/>
        <v>38850</v>
      </c>
      <c r="G119" s="12">
        <f t="shared" si="8"/>
        <v>116550</v>
      </c>
      <c r="H119" s="13">
        <v>0.10639999999999999</v>
      </c>
      <c r="I119" s="14">
        <v>36</v>
      </c>
      <c r="J119" s="15">
        <f t="shared" si="9"/>
        <v>8.8666666666666668E-3</v>
      </c>
      <c r="K119" s="12">
        <f t="shared" si="10"/>
        <v>3795.8583999542229</v>
      </c>
      <c r="L119" s="12">
        <f t="shared" si="11"/>
        <v>136650.90239835202</v>
      </c>
      <c r="M119" s="12">
        <f t="shared" si="12"/>
        <v>20100.902398352016</v>
      </c>
      <c r="N119" s="12">
        <v>1165.5</v>
      </c>
      <c r="O119" s="12">
        <v>22727.25</v>
      </c>
      <c r="P119" s="9" t="s">
        <v>23</v>
      </c>
      <c r="Q119" s="12">
        <v>0</v>
      </c>
      <c r="R119" s="12">
        <f t="shared" si="13"/>
        <v>-1460.8476016479835</v>
      </c>
      <c r="S119" s="9" t="s">
        <v>58</v>
      </c>
      <c r="T119" s="9" t="s">
        <v>49</v>
      </c>
    </row>
    <row r="120" spans="1:20" x14ac:dyDescent="0.3">
      <c r="A120" s="2" t="s">
        <v>279</v>
      </c>
      <c r="B120" s="2" t="s">
        <v>280</v>
      </c>
      <c r="C120" s="2" t="s">
        <v>22</v>
      </c>
      <c r="D120" s="3">
        <v>242300</v>
      </c>
      <c r="E120" s="4">
        <v>0.25</v>
      </c>
      <c r="F120" s="5">
        <f t="shared" si="7"/>
        <v>60575</v>
      </c>
      <c r="G120" s="5">
        <f t="shared" si="8"/>
        <v>181725</v>
      </c>
      <c r="H120" s="6">
        <v>0.16980000000000001</v>
      </c>
      <c r="I120" s="7">
        <v>12</v>
      </c>
      <c r="J120" s="8">
        <f t="shared" si="9"/>
        <v>1.4150000000000001E-2</v>
      </c>
      <c r="K120" s="5">
        <f t="shared" si="10"/>
        <v>16572.458803445552</v>
      </c>
      <c r="L120" s="5">
        <f t="shared" si="11"/>
        <v>198869.50564134662</v>
      </c>
      <c r="M120" s="5">
        <f t="shared" si="12"/>
        <v>17144.505641346623</v>
      </c>
      <c r="N120" s="5">
        <v>1817.25</v>
      </c>
      <c r="O120" s="5">
        <v>11812.125</v>
      </c>
      <c r="P120" s="2" t="s">
        <v>29</v>
      </c>
      <c r="Q120" s="5">
        <v>72690</v>
      </c>
      <c r="R120" s="5">
        <f t="shared" si="13"/>
        <v>-65540.369358653377</v>
      </c>
      <c r="S120" s="2" t="s">
        <v>58</v>
      </c>
      <c r="T120" s="2" t="s">
        <v>55</v>
      </c>
    </row>
    <row r="121" spans="1:20" x14ac:dyDescent="0.3">
      <c r="A121" s="9" t="s">
        <v>281</v>
      </c>
      <c r="B121" s="9" t="s">
        <v>282</v>
      </c>
      <c r="C121" s="9" t="s">
        <v>22</v>
      </c>
      <c r="D121" s="10">
        <v>164200</v>
      </c>
      <c r="E121" s="11">
        <v>0.2</v>
      </c>
      <c r="F121" s="12">
        <f t="shared" si="7"/>
        <v>32840</v>
      </c>
      <c r="G121" s="12">
        <f t="shared" si="8"/>
        <v>131360</v>
      </c>
      <c r="H121" s="13">
        <v>0.1079</v>
      </c>
      <c r="I121" s="14">
        <v>12</v>
      </c>
      <c r="J121" s="15">
        <f t="shared" si="9"/>
        <v>8.9916666666666669E-3</v>
      </c>
      <c r="K121" s="12">
        <f t="shared" si="10"/>
        <v>11596.951267552435</v>
      </c>
      <c r="L121" s="12">
        <f t="shared" si="11"/>
        <v>139163.41521062923</v>
      </c>
      <c r="M121" s="12">
        <f t="shared" si="12"/>
        <v>7803.4152106292313</v>
      </c>
      <c r="N121" s="12">
        <v>1313.6000000000001</v>
      </c>
      <c r="O121" s="12">
        <v>8538.4</v>
      </c>
      <c r="P121" s="9" t="s">
        <v>37</v>
      </c>
      <c r="Q121" s="12">
        <v>0</v>
      </c>
      <c r="R121" s="12">
        <f t="shared" si="13"/>
        <v>578.61521062923202</v>
      </c>
      <c r="S121" s="9" t="s">
        <v>58</v>
      </c>
      <c r="T121" s="9" t="s">
        <v>46</v>
      </c>
    </row>
    <row r="122" spans="1:20" x14ac:dyDescent="0.3">
      <c r="A122" s="2" t="s">
        <v>283</v>
      </c>
      <c r="B122" s="2" t="s">
        <v>284</v>
      </c>
      <c r="C122" s="2" t="s">
        <v>67</v>
      </c>
      <c r="D122" s="3">
        <v>97200</v>
      </c>
      <c r="E122" s="4">
        <v>0.1</v>
      </c>
      <c r="F122" s="5">
        <f t="shared" si="7"/>
        <v>9720</v>
      </c>
      <c r="G122" s="5">
        <f t="shared" si="8"/>
        <v>87480</v>
      </c>
      <c r="H122" s="6">
        <v>0.16350000000000001</v>
      </c>
      <c r="I122" s="7">
        <v>9</v>
      </c>
      <c r="J122" s="8">
        <f t="shared" si="9"/>
        <v>1.3625E-2</v>
      </c>
      <c r="K122" s="5">
        <f t="shared" si="10"/>
        <v>10394.120308770211</v>
      </c>
      <c r="L122" s="5">
        <f t="shared" si="11"/>
        <v>93547.082778931901</v>
      </c>
      <c r="M122" s="5">
        <f t="shared" si="12"/>
        <v>6067.082778931901</v>
      </c>
      <c r="N122" s="5">
        <v>874.80000000000007</v>
      </c>
      <c r="O122" s="5">
        <v>4264.6499999999996</v>
      </c>
      <c r="P122" s="2" t="s">
        <v>37</v>
      </c>
      <c r="Q122" s="5">
        <v>0</v>
      </c>
      <c r="R122" s="5">
        <f t="shared" si="13"/>
        <v>2677.2327789319015</v>
      </c>
      <c r="S122" s="2" t="s">
        <v>42</v>
      </c>
      <c r="T122" s="2" t="s">
        <v>25</v>
      </c>
    </row>
    <row r="123" spans="1:20" x14ac:dyDescent="0.3">
      <c r="A123" s="9" t="s">
        <v>285</v>
      </c>
      <c r="B123" s="9" t="s">
        <v>286</v>
      </c>
      <c r="C123" s="9" t="s">
        <v>22</v>
      </c>
      <c r="D123" s="10">
        <v>103200</v>
      </c>
      <c r="E123" s="11">
        <v>0.2</v>
      </c>
      <c r="F123" s="12">
        <f t="shared" si="7"/>
        <v>20640</v>
      </c>
      <c r="G123" s="12">
        <f t="shared" si="8"/>
        <v>82560</v>
      </c>
      <c r="H123" s="13">
        <v>0.114</v>
      </c>
      <c r="I123" s="14">
        <v>60</v>
      </c>
      <c r="J123" s="15">
        <f t="shared" si="9"/>
        <v>9.4999999999999998E-3</v>
      </c>
      <c r="K123" s="12">
        <f t="shared" si="10"/>
        <v>1811.5676690638463</v>
      </c>
      <c r="L123" s="12">
        <f t="shared" si="11"/>
        <v>108694.06014383078</v>
      </c>
      <c r="M123" s="12">
        <f t="shared" si="12"/>
        <v>26134.060143830779</v>
      </c>
      <c r="N123" s="12">
        <v>825.6</v>
      </c>
      <c r="O123" s="12">
        <v>26832.000000000004</v>
      </c>
      <c r="P123" s="9" t="s">
        <v>23</v>
      </c>
      <c r="Q123" s="12">
        <v>0</v>
      </c>
      <c r="R123" s="12">
        <f t="shared" si="13"/>
        <v>127.66014383077345</v>
      </c>
      <c r="S123" s="9" t="s">
        <v>30</v>
      </c>
      <c r="T123" s="9" t="s">
        <v>97</v>
      </c>
    </row>
    <row r="124" spans="1:20" x14ac:dyDescent="0.3">
      <c r="A124" s="2" t="s">
        <v>287</v>
      </c>
      <c r="B124" s="2" t="s">
        <v>288</v>
      </c>
      <c r="C124" s="2" t="s">
        <v>41</v>
      </c>
      <c r="D124" s="3">
        <v>557400</v>
      </c>
      <c r="E124" s="4">
        <v>0.25</v>
      </c>
      <c r="F124" s="5">
        <f t="shared" si="7"/>
        <v>139350</v>
      </c>
      <c r="G124" s="5">
        <f t="shared" si="8"/>
        <v>418050</v>
      </c>
      <c r="H124" s="6">
        <v>9.8799999999999999E-2</v>
      </c>
      <c r="I124" s="7">
        <v>60</v>
      </c>
      <c r="J124" s="8">
        <f t="shared" si="9"/>
        <v>8.2333333333333338E-3</v>
      </c>
      <c r="K124" s="5">
        <f t="shared" si="10"/>
        <v>8857.6634625311235</v>
      </c>
      <c r="L124" s="5">
        <f t="shared" si="11"/>
        <v>531459.80775186745</v>
      </c>
      <c r="M124" s="5">
        <f t="shared" si="12"/>
        <v>113409.80775186745</v>
      </c>
      <c r="N124" s="5">
        <v>4180.5</v>
      </c>
      <c r="O124" s="5">
        <v>135866.25</v>
      </c>
      <c r="P124" s="2" t="s">
        <v>37</v>
      </c>
      <c r="Q124" s="5">
        <v>0</v>
      </c>
      <c r="R124" s="5">
        <f t="shared" si="13"/>
        <v>-18275.942248132546</v>
      </c>
      <c r="S124" s="2" t="s">
        <v>24</v>
      </c>
      <c r="T124" s="2" t="s">
        <v>97</v>
      </c>
    </row>
    <row r="125" spans="1:20" x14ac:dyDescent="0.3">
      <c r="A125" s="9" t="s">
        <v>289</v>
      </c>
      <c r="B125" s="9" t="s">
        <v>290</v>
      </c>
      <c r="C125" s="9" t="s">
        <v>41</v>
      </c>
      <c r="D125" s="10">
        <v>1145400</v>
      </c>
      <c r="E125" s="11">
        <v>0.2</v>
      </c>
      <c r="F125" s="12">
        <f t="shared" si="7"/>
        <v>229080</v>
      </c>
      <c r="G125" s="12">
        <f t="shared" si="8"/>
        <v>916320</v>
      </c>
      <c r="H125" s="13">
        <v>8.9700000000000002E-2</v>
      </c>
      <c r="I125" s="14">
        <v>72</v>
      </c>
      <c r="J125" s="15">
        <f t="shared" si="9"/>
        <v>7.4749999999999999E-3</v>
      </c>
      <c r="K125" s="12">
        <f t="shared" si="10"/>
        <v>16503.520190220781</v>
      </c>
      <c r="L125" s="12">
        <f t="shared" si="11"/>
        <v>1188253.4536958963</v>
      </c>
      <c r="M125" s="12">
        <f t="shared" si="12"/>
        <v>271933.45369589631</v>
      </c>
      <c r="N125" s="12">
        <v>9163.2000000000007</v>
      </c>
      <c r="O125" s="12">
        <v>357364.80000000005</v>
      </c>
      <c r="P125" s="9" t="s">
        <v>23</v>
      </c>
      <c r="Q125" s="12">
        <v>0</v>
      </c>
      <c r="R125" s="12">
        <f t="shared" si="13"/>
        <v>-76268.14630410372</v>
      </c>
      <c r="S125" s="9" t="s">
        <v>58</v>
      </c>
      <c r="T125" s="9" t="s">
        <v>49</v>
      </c>
    </row>
    <row r="126" spans="1:20" x14ac:dyDescent="0.3">
      <c r="A126" s="2" t="s">
        <v>291</v>
      </c>
      <c r="B126" s="2" t="s">
        <v>292</v>
      </c>
      <c r="C126" s="2" t="s">
        <v>41</v>
      </c>
      <c r="D126" s="3">
        <v>1159300</v>
      </c>
      <c r="E126" s="4">
        <v>0.15</v>
      </c>
      <c r="F126" s="5">
        <f t="shared" si="7"/>
        <v>173895</v>
      </c>
      <c r="G126" s="5">
        <f t="shared" si="8"/>
        <v>985405</v>
      </c>
      <c r="H126" s="6">
        <v>9.8699999999999996E-2</v>
      </c>
      <c r="I126" s="7">
        <v>60</v>
      </c>
      <c r="J126" s="8">
        <f t="shared" si="9"/>
        <v>8.2249999999999997E-3</v>
      </c>
      <c r="K126" s="5">
        <f t="shared" si="10"/>
        <v>20873.968078366594</v>
      </c>
      <c r="L126" s="5">
        <f t="shared" si="11"/>
        <v>1252438.0847019956</v>
      </c>
      <c r="M126" s="5">
        <f t="shared" si="12"/>
        <v>267033.0847019956</v>
      </c>
      <c r="N126" s="5">
        <v>9854.0500000000011</v>
      </c>
      <c r="O126" s="5">
        <v>320256.625</v>
      </c>
      <c r="P126" s="2" t="s">
        <v>23</v>
      </c>
      <c r="Q126" s="5">
        <v>0</v>
      </c>
      <c r="R126" s="5">
        <f t="shared" si="13"/>
        <v>-43369.490298004413</v>
      </c>
      <c r="S126" s="2" t="s">
        <v>42</v>
      </c>
      <c r="T126" s="2" t="s">
        <v>43</v>
      </c>
    </row>
    <row r="127" spans="1:20" x14ac:dyDescent="0.3">
      <c r="A127" s="9" t="s">
        <v>293</v>
      </c>
      <c r="B127" s="9" t="s">
        <v>294</v>
      </c>
      <c r="C127" s="9" t="s">
        <v>67</v>
      </c>
      <c r="D127" s="10">
        <v>72100</v>
      </c>
      <c r="E127" s="11">
        <v>0.05</v>
      </c>
      <c r="F127" s="12">
        <f t="shared" si="7"/>
        <v>3605</v>
      </c>
      <c r="G127" s="12">
        <f t="shared" si="8"/>
        <v>68495</v>
      </c>
      <c r="H127" s="13">
        <v>0.186</v>
      </c>
      <c r="I127" s="14">
        <v>24</v>
      </c>
      <c r="J127" s="15">
        <f t="shared" si="9"/>
        <v>1.55E-2</v>
      </c>
      <c r="K127" s="12">
        <f t="shared" si="10"/>
        <v>3439.4415118470843</v>
      </c>
      <c r="L127" s="12">
        <f t="shared" si="11"/>
        <v>82546.596284330022</v>
      </c>
      <c r="M127" s="12">
        <f t="shared" si="12"/>
        <v>14051.596284330022</v>
      </c>
      <c r="N127" s="12">
        <v>684.95</v>
      </c>
      <c r="O127" s="12">
        <v>8904.35</v>
      </c>
      <c r="P127" s="9" t="s">
        <v>29</v>
      </c>
      <c r="Q127" s="12">
        <v>27398</v>
      </c>
      <c r="R127" s="12">
        <f t="shared" si="13"/>
        <v>-21565.803715669979</v>
      </c>
      <c r="S127" s="9" t="s">
        <v>42</v>
      </c>
      <c r="T127" s="9" t="s">
        <v>184</v>
      </c>
    </row>
    <row r="128" spans="1:20" x14ac:dyDescent="0.3">
      <c r="A128" s="2" t="s">
        <v>295</v>
      </c>
      <c r="B128" s="2" t="s">
        <v>296</v>
      </c>
      <c r="C128" s="2" t="s">
        <v>67</v>
      </c>
      <c r="D128" s="3">
        <v>104900</v>
      </c>
      <c r="E128" s="4">
        <v>0.15</v>
      </c>
      <c r="F128" s="5">
        <f t="shared" si="7"/>
        <v>15735</v>
      </c>
      <c r="G128" s="5">
        <f t="shared" si="8"/>
        <v>89165</v>
      </c>
      <c r="H128" s="6">
        <v>0.20230000000000001</v>
      </c>
      <c r="I128" s="7">
        <v>3</v>
      </c>
      <c r="J128" s="8">
        <f t="shared" si="9"/>
        <v>1.6858333333333333E-2</v>
      </c>
      <c r="K128" s="5">
        <f t="shared" si="10"/>
        <v>30729.366326255014</v>
      </c>
      <c r="L128" s="5">
        <f t="shared" si="11"/>
        <v>92188.098978765047</v>
      </c>
      <c r="M128" s="5">
        <f t="shared" si="12"/>
        <v>3023.0989787650469</v>
      </c>
      <c r="N128" s="5">
        <v>891.65</v>
      </c>
      <c r="O128" s="5">
        <v>1448.9312500000001</v>
      </c>
      <c r="P128" s="2" t="s">
        <v>23</v>
      </c>
      <c r="Q128" s="5">
        <v>0</v>
      </c>
      <c r="R128" s="5">
        <f t="shared" si="13"/>
        <v>2465.8177287650469</v>
      </c>
      <c r="S128" s="2" t="s">
        <v>58</v>
      </c>
      <c r="T128" s="2" t="s">
        <v>55</v>
      </c>
    </row>
    <row r="129" spans="1:20" x14ac:dyDescent="0.3">
      <c r="A129" s="9" t="s">
        <v>297</v>
      </c>
      <c r="B129" s="9" t="s">
        <v>298</v>
      </c>
      <c r="C129" s="9" t="s">
        <v>22</v>
      </c>
      <c r="D129" s="10">
        <v>144600</v>
      </c>
      <c r="E129" s="11">
        <v>0.15</v>
      </c>
      <c r="F129" s="12">
        <f t="shared" si="7"/>
        <v>21690</v>
      </c>
      <c r="G129" s="12">
        <f t="shared" si="8"/>
        <v>122910</v>
      </c>
      <c r="H129" s="13">
        <v>0.15090000000000001</v>
      </c>
      <c r="I129" s="14">
        <v>60</v>
      </c>
      <c r="J129" s="15">
        <f t="shared" si="9"/>
        <v>1.2575000000000001E-2</v>
      </c>
      <c r="K129" s="12">
        <f t="shared" si="10"/>
        <v>2929.8300430492814</v>
      </c>
      <c r="L129" s="12">
        <f t="shared" si="11"/>
        <v>175789.80258295688</v>
      </c>
      <c r="M129" s="12">
        <f t="shared" si="12"/>
        <v>52879.80258295688</v>
      </c>
      <c r="N129" s="12">
        <v>1229.1000000000001</v>
      </c>
      <c r="O129" s="12">
        <v>39945.75</v>
      </c>
      <c r="P129" s="9" t="s">
        <v>23</v>
      </c>
      <c r="Q129" s="12">
        <v>0</v>
      </c>
      <c r="R129" s="12">
        <f t="shared" si="13"/>
        <v>14163.152582956878</v>
      </c>
      <c r="S129" s="9" t="s">
        <v>30</v>
      </c>
      <c r="T129" s="9" t="s">
        <v>49</v>
      </c>
    </row>
    <row r="130" spans="1:20" x14ac:dyDescent="0.3">
      <c r="A130" s="2" t="s">
        <v>299</v>
      </c>
      <c r="B130" s="2" t="s">
        <v>300</v>
      </c>
      <c r="C130" s="2" t="s">
        <v>67</v>
      </c>
      <c r="D130" s="3">
        <v>78300</v>
      </c>
      <c r="E130" s="4">
        <v>0</v>
      </c>
      <c r="F130" s="5">
        <f t="shared" ref="F130:F193" si="14">D130*E130</f>
        <v>0</v>
      </c>
      <c r="G130" s="5">
        <f t="shared" ref="G130:G193" si="15">D130-F130</f>
        <v>78300</v>
      </c>
      <c r="H130" s="6">
        <v>0.14319999999999999</v>
      </c>
      <c r="I130" s="7">
        <v>12</v>
      </c>
      <c r="J130" s="8">
        <f t="shared" ref="J130:J193" si="16">H130/12</f>
        <v>1.1933333333333332E-2</v>
      </c>
      <c r="K130" s="5">
        <f t="shared" ref="K130:K193" si="17">-PMT(J130,I130,G130)</f>
        <v>7042.1260470391653</v>
      </c>
      <c r="L130" s="5">
        <f t="shared" ref="L130:L193" si="18">K130*I130</f>
        <v>84505.512564469987</v>
      </c>
      <c r="M130" s="5">
        <f t="shared" ref="M130:M193" si="19">L130-G130</f>
        <v>6205.5125644699874</v>
      </c>
      <c r="N130" s="5">
        <v>783</v>
      </c>
      <c r="O130" s="5">
        <v>5089.5</v>
      </c>
      <c r="P130" s="2" t="s">
        <v>23</v>
      </c>
      <c r="Q130" s="5">
        <v>0</v>
      </c>
      <c r="R130" s="5">
        <f t="shared" ref="R130:R193" si="20">M130+N130-O130-Q130</f>
        <v>1899.0125644699874</v>
      </c>
      <c r="S130" s="2" t="s">
        <v>30</v>
      </c>
      <c r="T130" s="2" t="s">
        <v>43</v>
      </c>
    </row>
    <row r="131" spans="1:20" x14ac:dyDescent="0.3">
      <c r="A131" s="9" t="s">
        <v>301</v>
      </c>
      <c r="B131" s="9" t="s">
        <v>302</v>
      </c>
      <c r="C131" s="9" t="s">
        <v>41</v>
      </c>
      <c r="D131" s="10">
        <v>759400</v>
      </c>
      <c r="E131" s="11">
        <v>0.15</v>
      </c>
      <c r="F131" s="12">
        <f t="shared" si="14"/>
        <v>113910</v>
      </c>
      <c r="G131" s="12">
        <f t="shared" si="15"/>
        <v>645490</v>
      </c>
      <c r="H131" s="13">
        <v>9.7500000000000003E-2</v>
      </c>
      <c r="I131" s="14">
        <v>48</v>
      </c>
      <c r="J131" s="15">
        <f t="shared" si="16"/>
        <v>8.1250000000000003E-3</v>
      </c>
      <c r="K131" s="12">
        <f t="shared" si="17"/>
        <v>16293.904726090122</v>
      </c>
      <c r="L131" s="12">
        <f t="shared" si="18"/>
        <v>782107.42685232591</v>
      </c>
      <c r="M131" s="12">
        <f t="shared" si="19"/>
        <v>136617.42685232591</v>
      </c>
      <c r="N131" s="12">
        <v>6454.9000000000005</v>
      </c>
      <c r="O131" s="12">
        <v>167827.4</v>
      </c>
      <c r="P131" s="9" t="s">
        <v>23</v>
      </c>
      <c r="Q131" s="12">
        <v>0</v>
      </c>
      <c r="R131" s="12">
        <f t="shared" si="20"/>
        <v>-24755.073147674091</v>
      </c>
      <c r="S131" s="9" t="s">
        <v>58</v>
      </c>
      <c r="T131" s="9" t="s">
        <v>52</v>
      </c>
    </row>
    <row r="132" spans="1:20" x14ac:dyDescent="0.3">
      <c r="A132" s="2" t="s">
        <v>303</v>
      </c>
      <c r="B132" s="2" t="s">
        <v>304</v>
      </c>
      <c r="C132" s="2" t="s">
        <v>28</v>
      </c>
      <c r="D132" s="3">
        <v>59100</v>
      </c>
      <c r="E132" s="4">
        <v>0.1</v>
      </c>
      <c r="F132" s="5">
        <f t="shared" si="14"/>
        <v>5910</v>
      </c>
      <c r="G132" s="5">
        <f t="shared" si="15"/>
        <v>53190</v>
      </c>
      <c r="H132" s="6">
        <v>0.13320000000000001</v>
      </c>
      <c r="I132" s="7">
        <v>18</v>
      </c>
      <c r="J132" s="8">
        <f t="shared" si="16"/>
        <v>1.11E-2</v>
      </c>
      <c r="K132" s="5">
        <f t="shared" si="17"/>
        <v>3276.3443018887174</v>
      </c>
      <c r="L132" s="5">
        <f t="shared" si="18"/>
        <v>58974.197433996917</v>
      </c>
      <c r="M132" s="5">
        <f t="shared" si="19"/>
        <v>5784.1974339969165</v>
      </c>
      <c r="N132" s="5">
        <v>531.9</v>
      </c>
      <c r="O132" s="5">
        <v>5186.0249999999996</v>
      </c>
      <c r="P132" s="2" t="s">
        <v>23</v>
      </c>
      <c r="Q132" s="5">
        <v>0</v>
      </c>
      <c r="R132" s="5">
        <f t="shared" si="20"/>
        <v>1130.0724339969165</v>
      </c>
      <c r="S132" s="2" t="s">
        <v>58</v>
      </c>
      <c r="T132" s="2" t="s">
        <v>43</v>
      </c>
    </row>
    <row r="133" spans="1:20" x14ac:dyDescent="0.3">
      <c r="A133" s="9" t="s">
        <v>305</v>
      </c>
      <c r="B133" s="9" t="s">
        <v>306</v>
      </c>
      <c r="C133" s="9" t="s">
        <v>28</v>
      </c>
      <c r="D133" s="10">
        <v>34400</v>
      </c>
      <c r="E133" s="11">
        <v>0.15</v>
      </c>
      <c r="F133" s="12">
        <f t="shared" si="14"/>
        <v>5160</v>
      </c>
      <c r="G133" s="12">
        <f t="shared" si="15"/>
        <v>29240</v>
      </c>
      <c r="H133" s="13">
        <v>0.18029999999999999</v>
      </c>
      <c r="I133" s="14">
        <v>9</v>
      </c>
      <c r="J133" s="15">
        <f t="shared" si="16"/>
        <v>1.5024999999999998E-2</v>
      </c>
      <c r="K133" s="12">
        <f t="shared" si="17"/>
        <v>3497.8134142524214</v>
      </c>
      <c r="L133" s="12">
        <f t="shared" si="18"/>
        <v>31480.320728271792</v>
      </c>
      <c r="M133" s="12">
        <f t="shared" si="19"/>
        <v>2240.3207282717922</v>
      </c>
      <c r="N133" s="12">
        <v>499</v>
      </c>
      <c r="O133" s="12">
        <v>1425.45</v>
      </c>
      <c r="P133" s="9" t="s">
        <v>23</v>
      </c>
      <c r="Q133" s="12">
        <v>0</v>
      </c>
      <c r="R133" s="12">
        <f t="shared" si="20"/>
        <v>1313.8707282717921</v>
      </c>
      <c r="S133" s="9" t="s">
        <v>58</v>
      </c>
      <c r="T133" s="9" t="s">
        <v>43</v>
      </c>
    </row>
    <row r="134" spans="1:20" x14ac:dyDescent="0.3">
      <c r="A134" s="2" t="s">
        <v>307</v>
      </c>
      <c r="B134" s="2" t="s">
        <v>308</v>
      </c>
      <c r="C134" s="2" t="s">
        <v>41</v>
      </c>
      <c r="D134" s="3">
        <v>415300</v>
      </c>
      <c r="E134" s="4">
        <v>0.2</v>
      </c>
      <c r="F134" s="5">
        <f t="shared" si="14"/>
        <v>83060</v>
      </c>
      <c r="G134" s="5">
        <f t="shared" si="15"/>
        <v>332240</v>
      </c>
      <c r="H134" s="6">
        <v>0.1011</v>
      </c>
      <c r="I134" s="7">
        <v>72</v>
      </c>
      <c r="J134" s="8">
        <f t="shared" si="16"/>
        <v>8.4250000000000002E-3</v>
      </c>
      <c r="K134" s="5">
        <f t="shared" si="17"/>
        <v>6173.4699877673775</v>
      </c>
      <c r="L134" s="5">
        <f t="shared" si="18"/>
        <v>444489.83911925118</v>
      </c>
      <c r="M134" s="5">
        <f t="shared" si="19"/>
        <v>112249.83911925118</v>
      </c>
      <c r="N134" s="5">
        <v>3322.4</v>
      </c>
      <c r="O134" s="5">
        <v>129573.6</v>
      </c>
      <c r="P134" s="2" t="s">
        <v>23</v>
      </c>
      <c r="Q134" s="5">
        <v>0</v>
      </c>
      <c r="R134" s="5">
        <f t="shared" si="20"/>
        <v>-14001.360880748834</v>
      </c>
      <c r="S134" s="2" t="s">
        <v>58</v>
      </c>
      <c r="T134" s="2" t="s">
        <v>25</v>
      </c>
    </row>
    <row r="135" spans="1:20" x14ac:dyDescent="0.3">
      <c r="A135" s="9" t="s">
        <v>309</v>
      </c>
      <c r="B135" s="9" t="s">
        <v>310</v>
      </c>
      <c r="C135" s="9" t="s">
        <v>28</v>
      </c>
      <c r="D135" s="10">
        <v>104800</v>
      </c>
      <c r="E135" s="11">
        <v>0.05</v>
      </c>
      <c r="F135" s="12">
        <f t="shared" si="14"/>
        <v>5240</v>
      </c>
      <c r="G135" s="12">
        <f t="shared" si="15"/>
        <v>99560</v>
      </c>
      <c r="H135" s="13">
        <v>0.1497</v>
      </c>
      <c r="I135" s="14">
        <v>36</v>
      </c>
      <c r="J135" s="15">
        <f t="shared" si="16"/>
        <v>1.2475E-2</v>
      </c>
      <c r="K135" s="12">
        <f t="shared" si="17"/>
        <v>3449.8176367730139</v>
      </c>
      <c r="L135" s="12">
        <f t="shared" si="18"/>
        <v>124193.43492382849</v>
      </c>
      <c r="M135" s="12">
        <f t="shared" si="19"/>
        <v>24633.434923828492</v>
      </c>
      <c r="N135" s="12">
        <v>995.6</v>
      </c>
      <c r="O135" s="12">
        <v>19414.2</v>
      </c>
      <c r="P135" s="9" t="s">
        <v>23</v>
      </c>
      <c r="Q135" s="12">
        <v>0</v>
      </c>
      <c r="R135" s="12">
        <f t="shared" si="20"/>
        <v>6214.83492382849</v>
      </c>
      <c r="S135" s="9" t="s">
        <v>58</v>
      </c>
      <c r="T135" s="9" t="s">
        <v>25</v>
      </c>
    </row>
    <row r="136" spans="1:20" x14ac:dyDescent="0.3">
      <c r="A136" s="2" t="s">
        <v>311</v>
      </c>
      <c r="B136" s="2" t="s">
        <v>312</v>
      </c>
      <c r="C136" s="2" t="s">
        <v>67</v>
      </c>
      <c r="D136" s="3">
        <v>15100</v>
      </c>
      <c r="E136" s="4">
        <v>0.05</v>
      </c>
      <c r="F136" s="5">
        <f t="shared" si="14"/>
        <v>755</v>
      </c>
      <c r="G136" s="5">
        <f t="shared" si="15"/>
        <v>14345</v>
      </c>
      <c r="H136" s="6">
        <v>0.2059</v>
      </c>
      <c r="I136" s="7">
        <v>24</v>
      </c>
      <c r="J136" s="8">
        <f t="shared" si="16"/>
        <v>1.7158333333333334E-2</v>
      </c>
      <c r="K136" s="5">
        <f t="shared" si="17"/>
        <v>734.24153130864397</v>
      </c>
      <c r="L136" s="5">
        <f t="shared" si="18"/>
        <v>17621.796751407455</v>
      </c>
      <c r="M136" s="5">
        <f t="shared" si="19"/>
        <v>3276.7967514074553</v>
      </c>
      <c r="N136" s="5">
        <v>499</v>
      </c>
      <c r="O136" s="5">
        <v>1864.8500000000001</v>
      </c>
      <c r="P136" s="2" t="s">
        <v>23</v>
      </c>
      <c r="Q136" s="5">
        <v>0</v>
      </c>
      <c r="R136" s="5">
        <f t="shared" si="20"/>
        <v>1910.9467514074552</v>
      </c>
      <c r="S136" s="2" t="s">
        <v>24</v>
      </c>
      <c r="T136" s="2" t="s">
        <v>34</v>
      </c>
    </row>
    <row r="137" spans="1:20" x14ac:dyDescent="0.3">
      <c r="A137" s="9" t="s">
        <v>313</v>
      </c>
      <c r="B137" s="9" t="s">
        <v>314</v>
      </c>
      <c r="C137" s="9" t="s">
        <v>67</v>
      </c>
      <c r="D137" s="10">
        <v>12200</v>
      </c>
      <c r="E137" s="11">
        <v>0</v>
      </c>
      <c r="F137" s="12">
        <f t="shared" si="14"/>
        <v>0</v>
      </c>
      <c r="G137" s="12">
        <f t="shared" si="15"/>
        <v>12200</v>
      </c>
      <c r="H137" s="13">
        <v>0.21970000000000001</v>
      </c>
      <c r="I137" s="14">
        <v>3</v>
      </c>
      <c r="J137" s="15">
        <f t="shared" si="16"/>
        <v>1.8308333333333333E-2</v>
      </c>
      <c r="K137" s="12">
        <f t="shared" si="17"/>
        <v>4216.4749274253627</v>
      </c>
      <c r="L137" s="12">
        <f t="shared" si="18"/>
        <v>12649.424782276088</v>
      </c>
      <c r="M137" s="12">
        <f t="shared" si="19"/>
        <v>449.42478227608808</v>
      </c>
      <c r="N137" s="12">
        <v>499</v>
      </c>
      <c r="O137" s="12">
        <v>198.25</v>
      </c>
      <c r="P137" s="9" t="s">
        <v>37</v>
      </c>
      <c r="Q137" s="12">
        <v>0</v>
      </c>
      <c r="R137" s="12">
        <f t="shared" si="20"/>
        <v>750.17478227608808</v>
      </c>
      <c r="S137" s="9" t="s">
        <v>30</v>
      </c>
      <c r="T137" s="9" t="s">
        <v>88</v>
      </c>
    </row>
    <row r="138" spans="1:20" x14ac:dyDescent="0.3">
      <c r="A138" s="2" t="s">
        <v>315</v>
      </c>
      <c r="B138" s="2" t="s">
        <v>316</v>
      </c>
      <c r="C138" s="2" t="s">
        <v>28</v>
      </c>
      <c r="D138" s="3">
        <v>108800</v>
      </c>
      <c r="E138" s="4">
        <v>0.15</v>
      </c>
      <c r="F138" s="5">
        <f t="shared" si="14"/>
        <v>16320</v>
      </c>
      <c r="G138" s="5">
        <f t="shared" si="15"/>
        <v>92480</v>
      </c>
      <c r="H138" s="6">
        <v>0.17949999999999999</v>
      </c>
      <c r="I138" s="7">
        <v>24</v>
      </c>
      <c r="J138" s="8">
        <f t="shared" si="16"/>
        <v>1.4958333333333332E-2</v>
      </c>
      <c r="K138" s="5">
        <f t="shared" si="17"/>
        <v>4614.7470458079706</v>
      </c>
      <c r="L138" s="5">
        <f t="shared" si="18"/>
        <v>110753.9290993913</v>
      </c>
      <c r="M138" s="5">
        <f t="shared" si="19"/>
        <v>18273.929099391302</v>
      </c>
      <c r="N138" s="5">
        <v>924.80000000000007</v>
      </c>
      <c r="O138" s="5">
        <v>12022.4</v>
      </c>
      <c r="P138" s="2" t="s">
        <v>23</v>
      </c>
      <c r="Q138" s="5">
        <v>0</v>
      </c>
      <c r="R138" s="5">
        <f t="shared" si="20"/>
        <v>7176.3290993913015</v>
      </c>
      <c r="S138" s="2" t="s">
        <v>30</v>
      </c>
      <c r="T138" s="2" t="s">
        <v>88</v>
      </c>
    </row>
    <row r="139" spans="1:20" x14ac:dyDescent="0.3">
      <c r="A139" s="9" t="s">
        <v>317</v>
      </c>
      <c r="B139" s="9" t="s">
        <v>318</v>
      </c>
      <c r="C139" s="9" t="s">
        <v>22</v>
      </c>
      <c r="D139" s="10">
        <v>260100</v>
      </c>
      <c r="E139" s="11">
        <v>0.05</v>
      </c>
      <c r="F139" s="12">
        <f t="shared" si="14"/>
        <v>13005</v>
      </c>
      <c r="G139" s="12">
        <f t="shared" si="15"/>
        <v>247095</v>
      </c>
      <c r="H139" s="13">
        <v>0.14929999999999999</v>
      </c>
      <c r="I139" s="14">
        <v>36</v>
      </c>
      <c r="J139" s="15">
        <f t="shared" si="16"/>
        <v>1.2441666666666665E-2</v>
      </c>
      <c r="K139" s="12">
        <f t="shared" si="17"/>
        <v>8557.1615294341482</v>
      </c>
      <c r="L139" s="12">
        <f t="shared" si="18"/>
        <v>308057.81505962933</v>
      </c>
      <c r="M139" s="12">
        <f t="shared" si="19"/>
        <v>60962.815059629327</v>
      </c>
      <c r="N139" s="12">
        <v>2470.9500000000003</v>
      </c>
      <c r="O139" s="12">
        <v>48183.525000000001</v>
      </c>
      <c r="P139" s="9" t="s">
        <v>23</v>
      </c>
      <c r="Q139" s="12">
        <v>0</v>
      </c>
      <c r="R139" s="12">
        <f t="shared" si="20"/>
        <v>15250.240059629323</v>
      </c>
      <c r="S139" s="9" t="s">
        <v>30</v>
      </c>
      <c r="T139" s="9" t="s">
        <v>97</v>
      </c>
    </row>
    <row r="140" spans="1:20" x14ac:dyDescent="0.3">
      <c r="A140" s="2" t="s">
        <v>319</v>
      </c>
      <c r="B140" s="2" t="s">
        <v>320</v>
      </c>
      <c r="C140" s="2" t="s">
        <v>28</v>
      </c>
      <c r="D140" s="3">
        <v>54500</v>
      </c>
      <c r="E140" s="4">
        <v>0.1</v>
      </c>
      <c r="F140" s="5">
        <f t="shared" si="14"/>
        <v>5450</v>
      </c>
      <c r="G140" s="5">
        <f t="shared" si="15"/>
        <v>49050</v>
      </c>
      <c r="H140" s="6">
        <v>0.14899999999999999</v>
      </c>
      <c r="I140" s="7">
        <v>36</v>
      </c>
      <c r="J140" s="8">
        <f t="shared" si="16"/>
        <v>1.2416666666666666E-2</v>
      </c>
      <c r="K140" s="5">
        <f t="shared" si="17"/>
        <v>1697.9333464625799</v>
      </c>
      <c r="L140" s="5">
        <f t="shared" si="18"/>
        <v>61125.600472652877</v>
      </c>
      <c r="M140" s="5">
        <f t="shared" si="19"/>
        <v>12075.600472652877</v>
      </c>
      <c r="N140" s="5">
        <v>499</v>
      </c>
      <c r="O140" s="5">
        <v>9564.75</v>
      </c>
      <c r="P140" s="2" t="s">
        <v>23</v>
      </c>
      <c r="Q140" s="5">
        <v>0</v>
      </c>
      <c r="R140" s="5">
        <f t="shared" si="20"/>
        <v>3009.8504726528772</v>
      </c>
      <c r="S140" s="2" t="s">
        <v>58</v>
      </c>
      <c r="T140" s="2" t="s">
        <v>46</v>
      </c>
    </row>
    <row r="141" spans="1:20" x14ac:dyDescent="0.3">
      <c r="A141" s="9" t="s">
        <v>321</v>
      </c>
      <c r="B141" s="9" t="s">
        <v>322</v>
      </c>
      <c r="C141" s="9" t="s">
        <v>28</v>
      </c>
      <c r="D141" s="10">
        <v>48700</v>
      </c>
      <c r="E141" s="11">
        <v>0</v>
      </c>
      <c r="F141" s="12">
        <f t="shared" si="14"/>
        <v>0</v>
      </c>
      <c r="G141" s="12">
        <f t="shared" si="15"/>
        <v>48700</v>
      </c>
      <c r="H141" s="13">
        <v>0.1298</v>
      </c>
      <c r="I141" s="14">
        <v>18</v>
      </c>
      <c r="J141" s="15">
        <f t="shared" si="16"/>
        <v>1.0816666666666667E-2</v>
      </c>
      <c r="K141" s="12">
        <f t="shared" si="17"/>
        <v>2992.043365604904</v>
      </c>
      <c r="L141" s="12">
        <f t="shared" si="18"/>
        <v>53856.780580888269</v>
      </c>
      <c r="M141" s="12">
        <f t="shared" si="19"/>
        <v>5156.7805808882695</v>
      </c>
      <c r="N141" s="12">
        <v>499</v>
      </c>
      <c r="O141" s="12">
        <v>4748.25</v>
      </c>
      <c r="P141" s="9" t="s">
        <v>23</v>
      </c>
      <c r="Q141" s="12">
        <v>0</v>
      </c>
      <c r="R141" s="12">
        <f t="shared" si="20"/>
        <v>907.53058088826947</v>
      </c>
      <c r="S141" s="9" t="s">
        <v>24</v>
      </c>
      <c r="T141" s="9" t="s">
        <v>46</v>
      </c>
    </row>
    <row r="142" spans="1:20" x14ac:dyDescent="0.3">
      <c r="A142" s="2" t="s">
        <v>323</v>
      </c>
      <c r="B142" s="2" t="s">
        <v>324</v>
      </c>
      <c r="C142" s="2" t="s">
        <v>41</v>
      </c>
      <c r="D142" s="3">
        <v>667900</v>
      </c>
      <c r="E142" s="4">
        <v>0.15</v>
      </c>
      <c r="F142" s="5">
        <f t="shared" si="14"/>
        <v>100185</v>
      </c>
      <c r="G142" s="5">
        <f t="shared" si="15"/>
        <v>567715</v>
      </c>
      <c r="H142" s="6">
        <v>8.8800000000000004E-2</v>
      </c>
      <c r="I142" s="7">
        <v>84</v>
      </c>
      <c r="J142" s="8">
        <f t="shared" si="16"/>
        <v>7.4000000000000003E-3</v>
      </c>
      <c r="K142" s="5">
        <f t="shared" si="17"/>
        <v>9099.4750114221661</v>
      </c>
      <c r="L142" s="5">
        <f t="shared" si="18"/>
        <v>764355.90095946193</v>
      </c>
      <c r="M142" s="5">
        <f t="shared" si="19"/>
        <v>196640.90095946193</v>
      </c>
      <c r="N142" s="5">
        <v>5677.1500000000005</v>
      </c>
      <c r="O142" s="5">
        <v>258310.32499999998</v>
      </c>
      <c r="P142" s="2" t="s">
        <v>37</v>
      </c>
      <c r="Q142" s="5">
        <v>0</v>
      </c>
      <c r="R142" s="5">
        <f t="shared" si="20"/>
        <v>-55992.274040538061</v>
      </c>
      <c r="S142" s="2" t="s">
        <v>30</v>
      </c>
      <c r="T142" s="2" t="s">
        <v>25</v>
      </c>
    </row>
    <row r="143" spans="1:20" x14ac:dyDescent="0.3">
      <c r="A143" s="9" t="s">
        <v>325</v>
      </c>
      <c r="B143" s="9" t="s">
        <v>326</v>
      </c>
      <c r="C143" s="9" t="s">
        <v>67</v>
      </c>
      <c r="D143" s="10">
        <v>105400</v>
      </c>
      <c r="E143" s="11">
        <v>0.15</v>
      </c>
      <c r="F143" s="12">
        <f t="shared" si="14"/>
        <v>15810</v>
      </c>
      <c r="G143" s="12">
        <f t="shared" si="15"/>
        <v>89590</v>
      </c>
      <c r="H143" s="13">
        <v>0.1663</v>
      </c>
      <c r="I143" s="14">
        <v>6</v>
      </c>
      <c r="J143" s="15">
        <f t="shared" si="16"/>
        <v>1.3858333333333334E-2</v>
      </c>
      <c r="K143" s="12">
        <f t="shared" si="17"/>
        <v>15664.220378165495</v>
      </c>
      <c r="L143" s="12">
        <f t="shared" si="18"/>
        <v>93985.322268992968</v>
      </c>
      <c r="M143" s="12">
        <f t="shared" si="19"/>
        <v>4395.322268992968</v>
      </c>
      <c r="N143" s="12">
        <v>895.9</v>
      </c>
      <c r="O143" s="12">
        <v>2911.6750000000002</v>
      </c>
      <c r="P143" s="9" t="s">
        <v>29</v>
      </c>
      <c r="Q143" s="12">
        <v>35836</v>
      </c>
      <c r="R143" s="12">
        <f t="shared" si="20"/>
        <v>-33456.452731007033</v>
      </c>
      <c r="S143" s="9" t="s">
        <v>30</v>
      </c>
      <c r="T143" s="9" t="s">
        <v>34</v>
      </c>
    </row>
    <row r="144" spans="1:20" x14ac:dyDescent="0.3">
      <c r="A144" s="2" t="s">
        <v>327</v>
      </c>
      <c r="B144" s="2" t="s">
        <v>328</v>
      </c>
      <c r="C144" s="2" t="s">
        <v>28</v>
      </c>
      <c r="D144" s="3">
        <v>124800</v>
      </c>
      <c r="E144" s="4">
        <v>0.05</v>
      </c>
      <c r="F144" s="5">
        <f t="shared" si="14"/>
        <v>6240</v>
      </c>
      <c r="G144" s="5">
        <f t="shared" si="15"/>
        <v>118560</v>
      </c>
      <c r="H144" s="6">
        <v>0.1288</v>
      </c>
      <c r="I144" s="7">
        <v>6</v>
      </c>
      <c r="J144" s="8">
        <f t="shared" si="16"/>
        <v>1.0733333333333333E-2</v>
      </c>
      <c r="K144" s="5">
        <f t="shared" si="17"/>
        <v>20508.921105660018</v>
      </c>
      <c r="L144" s="5">
        <f t="shared" si="18"/>
        <v>123053.52663396011</v>
      </c>
      <c r="M144" s="5">
        <f t="shared" si="19"/>
        <v>4493.5266339601076</v>
      </c>
      <c r="N144" s="5">
        <v>1185.6000000000001</v>
      </c>
      <c r="O144" s="5">
        <v>3853.2000000000003</v>
      </c>
      <c r="P144" s="2" t="s">
        <v>29</v>
      </c>
      <c r="Q144" s="5">
        <v>47424</v>
      </c>
      <c r="R144" s="5">
        <f t="shared" si="20"/>
        <v>-45598.073366039891</v>
      </c>
      <c r="S144" s="2" t="s">
        <v>30</v>
      </c>
      <c r="T144" s="2" t="s">
        <v>25</v>
      </c>
    </row>
    <row r="145" spans="1:20" x14ac:dyDescent="0.3">
      <c r="A145" s="9" t="s">
        <v>329</v>
      </c>
      <c r="B145" s="9" t="s">
        <v>330</v>
      </c>
      <c r="C145" s="9" t="s">
        <v>28</v>
      </c>
      <c r="D145" s="10">
        <v>46800</v>
      </c>
      <c r="E145" s="11">
        <v>0.15</v>
      </c>
      <c r="F145" s="12">
        <f t="shared" si="14"/>
        <v>7020</v>
      </c>
      <c r="G145" s="12">
        <f t="shared" si="15"/>
        <v>39780</v>
      </c>
      <c r="H145" s="13">
        <v>0.1242</v>
      </c>
      <c r="I145" s="14">
        <v>36</v>
      </c>
      <c r="J145" s="15">
        <f t="shared" si="16"/>
        <v>1.035E-2</v>
      </c>
      <c r="K145" s="12">
        <f t="shared" si="17"/>
        <v>1329.2593249498698</v>
      </c>
      <c r="L145" s="12">
        <f t="shared" si="18"/>
        <v>47853.335698195311</v>
      </c>
      <c r="M145" s="12">
        <f t="shared" si="19"/>
        <v>8073.3356981953111</v>
      </c>
      <c r="N145" s="12">
        <v>499</v>
      </c>
      <c r="O145" s="12">
        <v>7757.1</v>
      </c>
      <c r="P145" s="9" t="s">
        <v>23</v>
      </c>
      <c r="Q145" s="12">
        <v>0</v>
      </c>
      <c r="R145" s="12">
        <f t="shared" si="20"/>
        <v>815.23569819531076</v>
      </c>
      <c r="S145" s="9" t="s">
        <v>24</v>
      </c>
      <c r="T145" s="9" t="s">
        <v>97</v>
      </c>
    </row>
    <row r="146" spans="1:20" x14ac:dyDescent="0.3">
      <c r="A146" s="2" t="s">
        <v>331</v>
      </c>
      <c r="B146" s="2" t="s">
        <v>332</v>
      </c>
      <c r="C146" s="2" t="s">
        <v>28</v>
      </c>
      <c r="D146" s="3">
        <v>70300</v>
      </c>
      <c r="E146" s="4">
        <v>0.2</v>
      </c>
      <c r="F146" s="5">
        <f t="shared" si="14"/>
        <v>14060</v>
      </c>
      <c r="G146" s="5">
        <f t="shared" si="15"/>
        <v>56240</v>
      </c>
      <c r="H146" s="6">
        <v>0.16750000000000001</v>
      </c>
      <c r="I146" s="7">
        <v>18</v>
      </c>
      <c r="J146" s="8">
        <f t="shared" si="16"/>
        <v>1.3958333333333335E-2</v>
      </c>
      <c r="K146" s="5">
        <f t="shared" si="17"/>
        <v>3555.0141377982713</v>
      </c>
      <c r="L146" s="5">
        <f t="shared" si="18"/>
        <v>63990.254480368887</v>
      </c>
      <c r="M146" s="5">
        <f t="shared" si="19"/>
        <v>7750.254480368887</v>
      </c>
      <c r="N146" s="5">
        <v>562.4</v>
      </c>
      <c r="O146" s="5">
        <v>5483.4</v>
      </c>
      <c r="P146" s="2" t="s">
        <v>37</v>
      </c>
      <c r="Q146" s="5">
        <v>0</v>
      </c>
      <c r="R146" s="5">
        <f t="shared" si="20"/>
        <v>2829.254480368887</v>
      </c>
      <c r="S146" s="2" t="s">
        <v>24</v>
      </c>
      <c r="T146" s="2" t="s">
        <v>31</v>
      </c>
    </row>
    <row r="147" spans="1:20" x14ac:dyDescent="0.3">
      <c r="A147" s="9" t="s">
        <v>333</v>
      </c>
      <c r="B147" s="9" t="s">
        <v>334</v>
      </c>
      <c r="C147" s="9" t="s">
        <v>41</v>
      </c>
      <c r="D147" s="10">
        <v>1353700</v>
      </c>
      <c r="E147" s="11">
        <v>0.1</v>
      </c>
      <c r="F147" s="12">
        <f t="shared" si="14"/>
        <v>135370</v>
      </c>
      <c r="G147" s="12">
        <f t="shared" si="15"/>
        <v>1218330</v>
      </c>
      <c r="H147" s="13">
        <v>0.10059999999999999</v>
      </c>
      <c r="I147" s="14">
        <v>72</v>
      </c>
      <c r="J147" s="15">
        <f t="shared" si="16"/>
        <v>8.3833333333333329E-3</v>
      </c>
      <c r="K147" s="12">
        <f t="shared" si="17"/>
        <v>22607.46425533294</v>
      </c>
      <c r="L147" s="12">
        <f t="shared" si="18"/>
        <v>1627737.4263839717</v>
      </c>
      <c r="M147" s="12">
        <f t="shared" si="19"/>
        <v>409407.4263839717</v>
      </c>
      <c r="N147" s="12">
        <v>12183.300000000001</v>
      </c>
      <c r="O147" s="12">
        <v>475148.69999999995</v>
      </c>
      <c r="P147" s="9" t="s">
        <v>37</v>
      </c>
      <c r="Q147" s="12">
        <v>0</v>
      </c>
      <c r="R147" s="12">
        <f t="shared" si="20"/>
        <v>-53557.973616028263</v>
      </c>
      <c r="S147" s="9" t="s">
        <v>42</v>
      </c>
      <c r="T147" s="9" t="s">
        <v>88</v>
      </c>
    </row>
    <row r="148" spans="1:20" x14ac:dyDescent="0.3">
      <c r="A148" s="2" t="s">
        <v>335</v>
      </c>
      <c r="B148" s="2" t="s">
        <v>336</v>
      </c>
      <c r="C148" s="2" t="s">
        <v>28</v>
      </c>
      <c r="D148" s="3">
        <v>38500</v>
      </c>
      <c r="E148" s="4">
        <v>0</v>
      </c>
      <c r="F148" s="5">
        <f t="shared" si="14"/>
        <v>0</v>
      </c>
      <c r="G148" s="5">
        <f t="shared" si="15"/>
        <v>38500</v>
      </c>
      <c r="H148" s="6">
        <v>0.17699999999999999</v>
      </c>
      <c r="I148" s="7">
        <v>18</v>
      </c>
      <c r="J148" s="8">
        <f t="shared" si="16"/>
        <v>1.4749999999999999E-2</v>
      </c>
      <c r="K148" s="5">
        <f t="shared" si="17"/>
        <v>2451.0202576040751</v>
      </c>
      <c r="L148" s="5">
        <f t="shared" si="18"/>
        <v>44118.364636873353</v>
      </c>
      <c r="M148" s="5">
        <f t="shared" si="19"/>
        <v>5618.3646368733534</v>
      </c>
      <c r="N148" s="5">
        <v>499</v>
      </c>
      <c r="O148" s="5">
        <v>3753.75</v>
      </c>
      <c r="P148" s="2" t="s">
        <v>23</v>
      </c>
      <c r="Q148" s="5">
        <v>0</v>
      </c>
      <c r="R148" s="5">
        <f t="shared" si="20"/>
        <v>2363.6146368733534</v>
      </c>
      <c r="S148" s="2" t="s">
        <v>58</v>
      </c>
      <c r="T148" s="2" t="s">
        <v>25</v>
      </c>
    </row>
    <row r="149" spans="1:20" x14ac:dyDescent="0.3">
      <c r="A149" s="9" t="s">
        <v>337</v>
      </c>
      <c r="B149" s="9" t="s">
        <v>338</v>
      </c>
      <c r="C149" s="9" t="s">
        <v>67</v>
      </c>
      <c r="D149" s="10">
        <v>22100</v>
      </c>
      <c r="E149" s="11">
        <v>0.15</v>
      </c>
      <c r="F149" s="12">
        <f t="shared" si="14"/>
        <v>3315</v>
      </c>
      <c r="G149" s="12">
        <f t="shared" si="15"/>
        <v>18785</v>
      </c>
      <c r="H149" s="13">
        <v>0.18990000000000001</v>
      </c>
      <c r="I149" s="14">
        <v>18</v>
      </c>
      <c r="J149" s="15">
        <f t="shared" si="16"/>
        <v>1.5825000000000002E-2</v>
      </c>
      <c r="K149" s="12">
        <f t="shared" si="17"/>
        <v>1207.4753416615511</v>
      </c>
      <c r="L149" s="12">
        <f t="shared" si="18"/>
        <v>21734.556149907919</v>
      </c>
      <c r="M149" s="12">
        <f t="shared" si="19"/>
        <v>2949.5561499079195</v>
      </c>
      <c r="N149" s="12">
        <v>499</v>
      </c>
      <c r="O149" s="12">
        <v>1831.5375000000001</v>
      </c>
      <c r="P149" s="9" t="s">
        <v>23</v>
      </c>
      <c r="Q149" s="12">
        <v>0</v>
      </c>
      <c r="R149" s="12">
        <f t="shared" si="20"/>
        <v>1617.0186499079193</v>
      </c>
      <c r="S149" s="9" t="s">
        <v>42</v>
      </c>
      <c r="T149" s="9" t="s">
        <v>25</v>
      </c>
    </row>
    <row r="150" spans="1:20" x14ac:dyDescent="0.3">
      <c r="A150" s="2" t="s">
        <v>339</v>
      </c>
      <c r="B150" s="2" t="s">
        <v>340</v>
      </c>
      <c r="C150" s="2" t="s">
        <v>28</v>
      </c>
      <c r="D150" s="3">
        <v>81700</v>
      </c>
      <c r="E150" s="4">
        <v>0</v>
      </c>
      <c r="F150" s="5">
        <f t="shared" si="14"/>
        <v>0</v>
      </c>
      <c r="G150" s="5">
        <f t="shared" si="15"/>
        <v>81700</v>
      </c>
      <c r="H150" s="6">
        <v>0.16839999999999999</v>
      </c>
      <c r="I150" s="7">
        <v>6</v>
      </c>
      <c r="J150" s="8">
        <f t="shared" si="16"/>
        <v>1.4033333333333333E-2</v>
      </c>
      <c r="K150" s="5">
        <f t="shared" si="17"/>
        <v>14293.237949180086</v>
      </c>
      <c r="L150" s="5">
        <f t="shared" si="18"/>
        <v>85759.427695080522</v>
      </c>
      <c r="M150" s="5">
        <f t="shared" si="19"/>
        <v>4059.4276950805215</v>
      </c>
      <c r="N150" s="5">
        <v>817</v>
      </c>
      <c r="O150" s="5">
        <v>2655.25</v>
      </c>
      <c r="P150" s="2" t="s">
        <v>23</v>
      </c>
      <c r="Q150" s="5">
        <v>0</v>
      </c>
      <c r="R150" s="5">
        <f t="shared" si="20"/>
        <v>2221.1776950805215</v>
      </c>
      <c r="S150" s="2" t="s">
        <v>30</v>
      </c>
      <c r="T150" s="2" t="s">
        <v>88</v>
      </c>
    </row>
    <row r="151" spans="1:20" x14ac:dyDescent="0.3">
      <c r="A151" s="9" t="s">
        <v>341</v>
      </c>
      <c r="B151" s="9" t="s">
        <v>342</v>
      </c>
      <c r="C151" s="9" t="s">
        <v>28</v>
      </c>
      <c r="D151" s="10">
        <v>53600</v>
      </c>
      <c r="E151" s="11">
        <v>0.15</v>
      </c>
      <c r="F151" s="12">
        <f t="shared" si="14"/>
        <v>8040</v>
      </c>
      <c r="G151" s="12">
        <f t="shared" si="15"/>
        <v>45560</v>
      </c>
      <c r="H151" s="13">
        <v>0.14710000000000001</v>
      </c>
      <c r="I151" s="14">
        <v>18</v>
      </c>
      <c r="J151" s="15">
        <f t="shared" si="16"/>
        <v>1.2258333333333335E-2</v>
      </c>
      <c r="K151" s="12">
        <f t="shared" si="17"/>
        <v>2836.0366680872603</v>
      </c>
      <c r="L151" s="12">
        <f t="shared" si="18"/>
        <v>51048.660025570687</v>
      </c>
      <c r="M151" s="12">
        <f t="shared" si="19"/>
        <v>5488.6600255706871</v>
      </c>
      <c r="N151" s="12">
        <v>499</v>
      </c>
      <c r="O151" s="12">
        <v>4442.1000000000004</v>
      </c>
      <c r="P151" s="9" t="s">
        <v>23</v>
      </c>
      <c r="Q151" s="12">
        <v>0</v>
      </c>
      <c r="R151" s="12">
        <f t="shared" si="20"/>
        <v>1545.5600255706868</v>
      </c>
      <c r="S151" s="9" t="s">
        <v>24</v>
      </c>
      <c r="T151" s="9" t="s">
        <v>38</v>
      </c>
    </row>
    <row r="152" spans="1:20" x14ac:dyDescent="0.3">
      <c r="A152" s="2" t="s">
        <v>343</v>
      </c>
      <c r="B152" s="2" t="s">
        <v>344</v>
      </c>
      <c r="C152" s="2" t="s">
        <v>28</v>
      </c>
      <c r="D152" s="3">
        <v>108100</v>
      </c>
      <c r="E152" s="4">
        <v>0.15</v>
      </c>
      <c r="F152" s="5">
        <f t="shared" si="14"/>
        <v>16215</v>
      </c>
      <c r="G152" s="5">
        <f t="shared" si="15"/>
        <v>91885</v>
      </c>
      <c r="H152" s="6">
        <v>0.14990000000000001</v>
      </c>
      <c r="I152" s="7">
        <v>9</v>
      </c>
      <c r="J152" s="8">
        <f t="shared" si="16"/>
        <v>1.2491666666666667E-2</v>
      </c>
      <c r="K152" s="5">
        <f t="shared" si="17"/>
        <v>10857.661981575167</v>
      </c>
      <c r="L152" s="5">
        <f t="shared" si="18"/>
        <v>97718.957834176501</v>
      </c>
      <c r="M152" s="5">
        <f t="shared" si="19"/>
        <v>5833.9578341765009</v>
      </c>
      <c r="N152" s="5">
        <v>918.85</v>
      </c>
      <c r="O152" s="5">
        <v>4479.3937500000002</v>
      </c>
      <c r="P152" s="2" t="s">
        <v>37</v>
      </c>
      <c r="Q152" s="5">
        <v>0</v>
      </c>
      <c r="R152" s="5">
        <f t="shared" si="20"/>
        <v>2273.4140841765011</v>
      </c>
      <c r="S152" s="2" t="s">
        <v>24</v>
      </c>
      <c r="T152" s="2" t="s">
        <v>43</v>
      </c>
    </row>
    <row r="153" spans="1:20" x14ac:dyDescent="0.3">
      <c r="A153" s="9" t="s">
        <v>345</v>
      </c>
      <c r="B153" s="9" t="s">
        <v>346</v>
      </c>
      <c r="C153" s="9" t="s">
        <v>28</v>
      </c>
      <c r="D153" s="10">
        <v>118100</v>
      </c>
      <c r="E153" s="11">
        <v>0.2</v>
      </c>
      <c r="F153" s="12">
        <f t="shared" si="14"/>
        <v>23620</v>
      </c>
      <c r="G153" s="12">
        <f t="shared" si="15"/>
        <v>94480</v>
      </c>
      <c r="H153" s="13">
        <v>0.14979999999999999</v>
      </c>
      <c r="I153" s="14">
        <v>9</v>
      </c>
      <c r="J153" s="15">
        <f t="shared" si="16"/>
        <v>1.2483333333333332E-2</v>
      </c>
      <c r="K153" s="12">
        <f t="shared" si="17"/>
        <v>11163.85032842683</v>
      </c>
      <c r="L153" s="12">
        <f t="shared" si="18"/>
        <v>100474.65295584148</v>
      </c>
      <c r="M153" s="12">
        <f t="shared" si="19"/>
        <v>5994.6529558414768</v>
      </c>
      <c r="N153" s="12">
        <v>944.80000000000007</v>
      </c>
      <c r="O153" s="12">
        <v>4605.8999999999996</v>
      </c>
      <c r="P153" s="9" t="s">
        <v>29</v>
      </c>
      <c r="Q153" s="12">
        <v>37792</v>
      </c>
      <c r="R153" s="12">
        <f t="shared" si="20"/>
        <v>-35458.447044158522</v>
      </c>
      <c r="S153" s="9" t="s">
        <v>58</v>
      </c>
      <c r="T153" s="9" t="s">
        <v>49</v>
      </c>
    </row>
    <row r="154" spans="1:20" x14ac:dyDescent="0.3">
      <c r="A154" s="2" t="s">
        <v>347</v>
      </c>
      <c r="B154" s="2" t="s">
        <v>348</v>
      </c>
      <c r="C154" s="2" t="s">
        <v>67</v>
      </c>
      <c r="D154" s="3">
        <v>47600</v>
      </c>
      <c r="E154" s="4">
        <v>0.2</v>
      </c>
      <c r="F154" s="5">
        <f t="shared" si="14"/>
        <v>9520</v>
      </c>
      <c r="G154" s="5">
        <f t="shared" si="15"/>
        <v>38080</v>
      </c>
      <c r="H154" s="6">
        <v>0.19320000000000001</v>
      </c>
      <c r="I154" s="7">
        <v>12</v>
      </c>
      <c r="J154" s="8">
        <f t="shared" si="16"/>
        <v>1.61E-2</v>
      </c>
      <c r="K154" s="5">
        <f t="shared" si="17"/>
        <v>3515.1407766686757</v>
      </c>
      <c r="L154" s="5">
        <f t="shared" si="18"/>
        <v>42181.68932002411</v>
      </c>
      <c r="M154" s="5">
        <f t="shared" si="19"/>
        <v>4101.6893200241102</v>
      </c>
      <c r="N154" s="5">
        <v>499</v>
      </c>
      <c r="O154" s="5">
        <v>2475.2000000000003</v>
      </c>
      <c r="P154" s="2" t="s">
        <v>29</v>
      </c>
      <c r="Q154" s="5">
        <v>15232</v>
      </c>
      <c r="R154" s="5">
        <f t="shared" si="20"/>
        <v>-13106.510679975891</v>
      </c>
      <c r="S154" s="2" t="s">
        <v>58</v>
      </c>
      <c r="T154" s="2" t="s">
        <v>25</v>
      </c>
    </row>
    <row r="155" spans="1:20" x14ac:dyDescent="0.3">
      <c r="A155" s="9" t="s">
        <v>349</v>
      </c>
      <c r="B155" s="9" t="s">
        <v>350</v>
      </c>
      <c r="C155" s="9" t="s">
        <v>67</v>
      </c>
      <c r="D155" s="10">
        <v>19600</v>
      </c>
      <c r="E155" s="11">
        <v>0.2</v>
      </c>
      <c r="F155" s="12">
        <f t="shared" si="14"/>
        <v>3920</v>
      </c>
      <c r="G155" s="12">
        <f t="shared" si="15"/>
        <v>15680</v>
      </c>
      <c r="H155" s="13">
        <v>0.18060000000000001</v>
      </c>
      <c r="I155" s="14">
        <v>6</v>
      </c>
      <c r="J155" s="15">
        <f t="shared" si="16"/>
        <v>1.5050000000000001E-2</v>
      </c>
      <c r="K155" s="12">
        <f t="shared" si="17"/>
        <v>2752.7040206461124</v>
      </c>
      <c r="L155" s="12">
        <f t="shared" si="18"/>
        <v>16516.224123876673</v>
      </c>
      <c r="M155" s="12">
        <f t="shared" si="19"/>
        <v>836.22412387667282</v>
      </c>
      <c r="N155" s="12">
        <v>499</v>
      </c>
      <c r="O155" s="12">
        <v>509.6</v>
      </c>
      <c r="P155" s="9" t="s">
        <v>23</v>
      </c>
      <c r="Q155" s="12">
        <v>0</v>
      </c>
      <c r="R155" s="12">
        <f t="shared" si="20"/>
        <v>825.6241238766728</v>
      </c>
      <c r="S155" s="9" t="s">
        <v>24</v>
      </c>
      <c r="T155" s="9" t="s">
        <v>38</v>
      </c>
    </row>
    <row r="156" spans="1:20" x14ac:dyDescent="0.3">
      <c r="A156" s="2" t="s">
        <v>351</v>
      </c>
      <c r="B156" s="2" t="s">
        <v>352</v>
      </c>
      <c r="C156" s="2" t="s">
        <v>41</v>
      </c>
      <c r="D156" s="3">
        <v>804300</v>
      </c>
      <c r="E156" s="4">
        <v>0.15</v>
      </c>
      <c r="F156" s="5">
        <f t="shared" si="14"/>
        <v>120645</v>
      </c>
      <c r="G156" s="5">
        <f t="shared" si="15"/>
        <v>683655</v>
      </c>
      <c r="H156" s="6">
        <v>0.1079</v>
      </c>
      <c r="I156" s="7">
        <v>84</v>
      </c>
      <c r="J156" s="8">
        <f t="shared" si="16"/>
        <v>8.9916666666666669E-3</v>
      </c>
      <c r="K156" s="5">
        <f t="shared" si="17"/>
        <v>11630.489051752873</v>
      </c>
      <c r="L156" s="5">
        <f t="shared" si="18"/>
        <v>976961.08034724137</v>
      </c>
      <c r="M156" s="5">
        <f t="shared" si="19"/>
        <v>293306.08034724137</v>
      </c>
      <c r="N156" s="5">
        <v>6836.55</v>
      </c>
      <c r="O156" s="5">
        <v>311063.02500000002</v>
      </c>
      <c r="P156" s="2" t="s">
        <v>23</v>
      </c>
      <c r="Q156" s="5">
        <v>0</v>
      </c>
      <c r="R156" s="5">
        <f t="shared" si="20"/>
        <v>-10920.394652758667</v>
      </c>
      <c r="S156" s="2" t="s">
        <v>24</v>
      </c>
      <c r="T156" s="2" t="s">
        <v>25</v>
      </c>
    </row>
    <row r="157" spans="1:20" x14ac:dyDescent="0.3">
      <c r="A157" s="9" t="s">
        <v>353</v>
      </c>
      <c r="B157" s="9" t="s">
        <v>354</v>
      </c>
      <c r="C157" s="9" t="s">
        <v>41</v>
      </c>
      <c r="D157" s="10">
        <v>1312400</v>
      </c>
      <c r="E157" s="11">
        <v>0.2</v>
      </c>
      <c r="F157" s="12">
        <f t="shared" si="14"/>
        <v>262480</v>
      </c>
      <c r="G157" s="12">
        <f t="shared" si="15"/>
        <v>1049920</v>
      </c>
      <c r="H157" s="13">
        <v>9.2999999999999999E-2</v>
      </c>
      <c r="I157" s="14">
        <v>48</v>
      </c>
      <c r="J157" s="15">
        <f t="shared" si="16"/>
        <v>7.7499999999999999E-3</v>
      </c>
      <c r="K157" s="12">
        <f t="shared" si="17"/>
        <v>26277.121102153116</v>
      </c>
      <c r="L157" s="12">
        <f t="shared" si="18"/>
        <v>1261301.8129033495</v>
      </c>
      <c r="M157" s="12">
        <f t="shared" si="19"/>
        <v>211381.81290334952</v>
      </c>
      <c r="N157" s="12">
        <v>10499.2</v>
      </c>
      <c r="O157" s="12">
        <v>272979.20000000001</v>
      </c>
      <c r="P157" s="9" t="s">
        <v>23</v>
      </c>
      <c r="Q157" s="12">
        <v>0</v>
      </c>
      <c r="R157" s="12">
        <f t="shared" si="20"/>
        <v>-51098.187096650479</v>
      </c>
      <c r="S157" s="9" t="s">
        <v>58</v>
      </c>
      <c r="T157" s="9" t="s">
        <v>38</v>
      </c>
    </row>
    <row r="158" spans="1:20" x14ac:dyDescent="0.3">
      <c r="A158" s="2" t="s">
        <v>355</v>
      </c>
      <c r="B158" s="2" t="s">
        <v>356</v>
      </c>
      <c r="C158" s="2" t="s">
        <v>28</v>
      </c>
      <c r="D158" s="3">
        <v>47700</v>
      </c>
      <c r="E158" s="4">
        <v>0.15</v>
      </c>
      <c r="F158" s="5">
        <f t="shared" si="14"/>
        <v>7155</v>
      </c>
      <c r="G158" s="5">
        <f t="shared" si="15"/>
        <v>40545</v>
      </c>
      <c r="H158" s="6">
        <v>0.13150000000000001</v>
      </c>
      <c r="I158" s="7">
        <v>36</v>
      </c>
      <c r="J158" s="8">
        <f t="shared" si="16"/>
        <v>1.0958333333333334E-2</v>
      </c>
      <c r="K158" s="5">
        <f t="shared" si="17"/>
        <v>1369.0524744052689</v>
      </c>
      <c r="L158" s="5">
        <f t="shared" si="18"/>
        <v>49285.88907858968</v>
      </c>
      <c r="M158" s="5">
        <f t="shared" si="19"/>
        <v>8740.8890785896801</v>
      </c>
      <c r="N158" s="5">
        <v>499</v>
      </c>
      <c r="O158" s="5">
        <v>7906.2750000000005</v>
      </c>
      <c r="P158" s="2" t="s">
        <v>37</v>
      </c>
      <c r="Q158" s="5">
        <v>0</v>
      </c>
      <c r="R158" s="5">
        <f t="shared" si="20"/>
        <v>1333.6140785896796</v>
      </c>
      <c r="S158" s="2" t="s">
        <v>24</v>
      </c>
      <c r="T158" s="2" t="s">
        <v>43</v>
      </c>
    </row>
    <row r="159" spans="1:20" x14ac:dyDescent="0.3">
      <c r="A159" s="9" t="s">
        <v>357</v>
      </c>
      <c r="B159" s="9" t="s">
        <v>358</v>
      </c>
      <c r="C159" s="9" t="s">
        <v>22</v>
      </c>
      <c r="D159" s="10">
        <v>111600</v>
      </c>
      <c r="E159" s="11">
        <v>0.1</v>
      </c>
      <c r="F159" s="12">
        <f t="shared" si="14"/>
        <v>11160</v>
      </c>
      <c r="G159" s="12">
        <f t="shared" si="15"/>
        <v>100440</v>
      </c>
      <c r="H159" s="13">
        <v>0.1336</v>
      </c>
      <c r="I159" s="14">
        <v>36</v>
      </c>
      <c r="J159" s="15">
        <f t="shared" si="16"/>
        <v>1.1133333333333334E-2</v>
      </c>
      <c r="K159" s="12">
        <f t="shared" si="17"/>
        <v>3401.6629337502973</v>
      </c>
      <c r="L159" s="12">
        <f t="shared" si="18"/>
        <v>122459.8656150107</v>
      </c>
      <c r="M159" s="12">
        <f t="shared" si="19"/>
        <v>22019.865615010698</v>
      </c>
      <c r="N159" s="12">
        <v>1004.4</v>
      </c>
      <c r="O159" s="12">
        <v>19585.800000000003</v>
      </c>
      <c r="P159" s="9" t="s">
        <v>23</v>
      </c>
      <c r="Q159" s="12">
        <v>0</v>
      </c>
      <c r="R159" s="12">
        <f t="shared" si="20"/>
        <v>3438.4656150106966</v>
      </c>
      <c r="S159" s="9" t="s">
        <v>58</v>
      </c>
      <c r="T159" s="9" t="s">
        <v>25</v>
      </c>
    </row>
    <row r="160" spans="1:20" x14ac:dyDescent="0.3">
      <c r="A160" s="2" t="s">
        <v>359</v>
      </c>
      <c r="B160" s="2" t="s">
        <v>360</v>
      </c>
      <c r="C160" s="2" t="s">
        <v>22</v>
      </c>
      <c r="D160" s="3">
        <v>272000</v>
      </c>
      <c r="E160" s="4">
        <v>0.05</v>
      </c>
      <c r="F160" s="5">
        <f t="shared" si="14"/>
        <v>13600</v>
      </c>
      <c r="G160" s="5">
        <f t="shared" si="15"/>
        <v>258400</v>
      </c>
      <c r="H160" s="6">
        <v>0.1124</v>
      </c>
      <c r="I160" s="7">
        <v>60</v>
      </c>
      <c r="J160" s="8">
        <f t="shared" si="16"/>
        <v>9.3666666666666672E-3</v>
      </c>
      <c r="K160" s="5">
        <f t="shared" si="17"/>
        <v>5649.2194852974144</v>
      </c>
      <c r="L160" s="5">
        <f t="shared" si="18"/>
        <v>338953.16911784484</v>
      </c>
      <c r="M160" s="5">
        <f t="shared" si="19"/>
        <v>80553.169117844838</v>
      </c>
      <c r="N160" s="5">
        <v>2584</v>
      </c>
      <c r="O160" s="5">
        <v>83980</v>
      </c>
      <c r="P160" s="2" t="s">
        <v>23</v>
      </c>
      <c r="Q160" s="5">
        <v>0</v>
      </c>
      <c r="R160" s="5">
        <f t="shared" si="20"/>
        <v>-842.83088215516182</v>
      </c>
      <c r="S160" s="2" t="s">
        <v>58</v>
      </c>
      <c r="T160" s="2" t="s">
        <v>97</v>
      </c>
    </row>
    <row r="161" spans="1:20" x14ac:dyDescent="0.3">
      <c r="A161" s="9" t="s">
        <v>361</v>
      </c>
      <c r="B161" s="9" t="s">
        <v>362</v>
      </c>
      <c r="C161" s="9" t="s">
        <v>22</v>
      </c>
      <c r="D161" s="10">
        <v>176600</v>
      </c>
      <c r="E161" s="11">
        <v>0.1</v>
      </c>
      <c r="F161" s="12">
        <f t="shared" si="14"/>
        <v>17660</v>
      </c>
      <c r="G161" s="12">
        <f t="shared" si="15"/>
        <v>158940</v>
      </c>
      <c r="H161" s="13">
        <v>0.13539999999999999</v>
      </c>
      <c r="I161" s="14">
        <v>36</v>
      </c>
      <c r="J161" s="15">
        <f t="shared" si="16"/>
        <v>1.1283333333333333E-2</v>
      </c>
      <c r="K161" s="12">
        <f t="shared" si="17"/>
        <v>5396.750114136019</v>
      </c>
      <c r="L161" s="12">
        <f t="shared" si="18"/>
        <v>194283.00410889668</v>
      </c>
      <c r="M161" s="12">
        <f t="shared" si="19"/>
        <v>35343.004108896683</v>
      </c>
      <c r="N161" s="12">
        <v>1589.4</v>
      </c>
      <c r="O161" s="12">
        <v>30993.300000000003</v>
      </c>
      <c r="P161" s="9" t="s">
        <v>23</v>
      </c>
      <c r="Q161" s="12">
        <v>0</v>
      </c>
      <c r="R161" s="12">
        <f t="shared" si="20"/>
        <v>5939.1041088966813</v>
      </c>
      <c r="S161" s="9" t="s">
        <v>24</v>
      </c>
      <c r="T161" s="9" t="s">
        <v>38</v>
      </c>
    </row>
    <row r="162" spans="1:20" x14ac:dyDescent="0.3">
      <c r="A162" s="2" t="s">
        <v>363</v>
      </c>
      <c r="B162" s="2" t="s">
        <v>364</v>
      </c>
      <c r="C162" s="2" t="s">
        <v>28</v>
      </c>
      <c r="D162" s="3">
        <v>60400</v>
      </c>
      <c r="E162" s="4">
        <v>0.2</v>
      </c>
      <c r="F162" s="5">
        <f t="shared" si="14"/>
        <v>12080</v>
      </c>
      <c r="G162" s="5">
        <f t="shared" si="15"/>
        <v>48320</v>
      </c>
      <c r="H162" s="6">
        <v>0.17430000000000001</v>
      </c>
      <c r="I162" s="7">
        <v>18</v>
      </c>
      <c r="J162" s="8">
        <f t="shared" si="16"/>
        <v>1.4525000000000001E-2</v>
      </c>
      <c r="K162" s="5">
        <f t="shared" si="17"/>
        <v>3069.9818677112053</v>
      </c>
      <c r="L162" s="5">
        <f t="shared" si="18"/>
        <v>55259.673618801695</v>
      </c>
      <c r="M162" s="5">
        <f t="shared" si="19"/>
        <v>6939.6736188016948</v>
      </c>
      <c r="N162" s="5">
        <v>499</v>
      </c>
      <c r="O162" s="5">
        <v>4711.2000000000007</v>
      </c>
      <c r="P162" s="2" t="s">
        <v>23</v>
      </c>
      <c r="Q162" s="5">
        <v>0</v>
      </c>
      <c r="R162" s="5">
        <f t="shared" si="20"/>
        <v>2727.4736188016941</v>
      </c>
      <c r="S162" s="2" t="s">
        <v>24</v>
      </c>
      <c r="T162" s="2" t="s">
        <v>55</v>
      </c>
    </row>
    <row r="163" spans="1:20" x14ac:dyDescent="0.3">
      <c r="A163" s="9" t="s">
        <v>365</v>
      </c>
      <c r="B163" s="9" t="s">
        <v>366</v>
      </c>
      <c r="C163" s="9" t="s">
        <v>28</v>
      </c>
      <c r="D163" s="10">
        <v>99900</v>
      </c>
      <c r="E163" s="11">
        <v>0.05</v>
      </c>
      <c r="F163" s="12">
        <f t="shared" si="14"/>
        <v>4995</v>
      </c>
      <c r="G163" s="12">
        <f t="shared" si="15"/>
        <v>94905</v>
      </c>
      <c r="H163" s="13">
        <v>0.1206</v>
      </c>
      <c r="I163" s="14">
        <v>12</v>
      </c>
      <c r="J163" s="15">
        <f t="shared" si="16"/>
        <v>1.005E-2</v>
      </c>
      <c r="K163" s="12">
        <f t="shared" si="17"/>
        <v>8434.85836568591</v>
      </c>
      <c r="L163" s="12">
        <f t="shared" si="18"/>
        <v>101218.30038823091</v>
      </c>
      <c r="M163" s="12">
        <f t="shared" si="19"/>
        <v>6313.3003882309131</v>
      </c>
      <c r="N163" s="12">
        <v>949.05000000000007</v>
      </c>
      <c r="O163" s="12">
        <v>6168.8249999999998</v>
      </c>
      <c r="P163" s="9" t="s">
        <v>23</v>
      </c>
      <c r="Q163" s="12">
        <v>0</v>
      </c>
      <c r="R163" s="12">
        <f t="shared" si="20"/>
        <v>1093.5253882309134</v>
      </c>
      <c r="S163" s="9" t="s">
        <v>58</v>
      </c>
      <c r="T163" s="9" t="s">
        <v>184</v>
      </c>
    </row>
    <row r="164" spans="1:20" x14ac:dyDescent="0.3">
      <c r="A164" s="2" t="s">
        <v>367</v>
      </c>
      <c r="B164" s="2" t="s">
        <v>368</v>
      </c>
      <c r="C164" s="2" t="s">
        <v>28</v>
      </c>
      <c r="D164" s="3">
        <v>26000</v>
      </c>
      <c r="E164" s="4">
        <v>0.05</v>
      </c>
      <c r="F164" s="5">
        <f t="shared" si="14"/>
        <v>1300</v>
      </c>
      <c r="G164" s="5">
        <f t="shared" si="15"/>
        <v>24700</v>
      </c>
      <c r="H164" s="6">
        <v>0.17979999999999999</v>
      </c>
      <c r="I164" s="7">
        <v>9</v>
      </c>
      <c r="J164" s="8">
        <f t="shared" si="16"/>
        <v>1.4983333333333333E-2</v>
      </c>
      <c r="K164" s="5">
        <f t="shared" si="17"/>
        <v>2954.1248975483281</v>
      </c>
      <c r="L164" s="5">
        <f t="shared" si="18"/>
        <v>26587.124077934954</v>
      </c>
      <c r="M164" s="5">
        <f t="shared" si="19"/>
        <v>1887.1240779349537</v>
      </c>
      <c r="N164" s="5">
        <v>499</v>
      </c>
      <c r="O164" s="5">
        <v>1204.125</v>
      </c>
      <c r="P164" s="2" t="s">
        <v>23</v>
      </c>
      <c r="Q164" s="5">
        <v>0</v>
      </c>
      <c r="R164" s="5">
        <f t="shared" si="20"/>
        <v>1181.9990779349537</v>
      </c>
      <c r="S164" s="2" t="s">
        <v>30</v>
      </c>
      <c r="T164" s="2" t="s">
        <v>52</v>
      </c>
    </row>
    <row r="165" spans="1:20" x14ac:dyDescent="0.3">
      <c r="A165" s="9" t="s">
        <v>369</v>
      </c>
      <c r="B165" s="9" t="s">
        <v>370</v>
      </c>
      <c r="C165" s="9" t="s">
        <v>28</v>
      </c>
      <c r="D165" s="10">
        <v>108500</v>
      </c>
      <c r="E165" s="11">
        <v>0</v>
      </c>
      <c r="F165" s="12">
        <f t="shared" si="14"/>
        <v>0</v>
      </c>
      <c r="G165" s="12">
        <f t="shared" si="15"/>
        <v>108500</v>
      </c>
      <c r="H165" s="13">
        <v>0.14829999999999999</v>
      </c>
      <c r="I165" s="14">
        <v>18</v>
      </c>
      <c r="J165" s="15">
        <f t="shared" si="16"/>
        <v>1.2358333333333332E-2</v>
      </c>
      <c r="K165" s="12">
        <f t="shared" si="17"/>
        <v>6760.0718638658427</v>
      </c>
      <c r="L165" s="12">
        <f t="shared" si="18"/>
        <v>121681.29354958517</v>
      </c>
      <c r="M165" s="12">
        <f t="shared" si="19"/>
        <v>13181.293549585171</v>
      </c>
      <c r="N165" s="12">
        <v>1085</v>
      </c>
      <c r="O165" s="12">
        <v>10578.75</v>
      </c>
      <c r="P165" s="9" t="s">
        <v>23</v>
      </c>
      <c r="Q165" s="12">
        <v>0</v>
      </c>
      <c r="R165" s="12">
        <f t="shared" si="20"/>
        <v>3687.5435495851707</v>
      </c>
      <c r="S165" s="9" t="s">
        <v>42</v>
      </c>
      <c r="T165" s="9" t="s">
        <v>43</v>
      </c>
    </row>
    <row r="166" spans="1:20" x14ac:dyDescent="0.3">
      <c r="A166" s="2" t="s">
        <v>371</v>
      </c>
      <c r="B166" s="2" t="s">
        <v>372</v>
      </c>
      <c r="C166" s="2" t="s">
        <v>41</v>
      </c>
      <c r="D166" s="3">
        <v>1033300</v>
      </c>
      <c r="E166" s="4">
        <v>0.2</v>
      </c>
      <c r="F166" s="5">
        <f t="shared" si="14"/>
        <v>206660</v>
      </c>
      <c r="G166" s="5">
        <f t="shared" si="15"/>
        <v>826640</v>
      </c>
      <c r="H166" s="6">
        <v>0.1022</v>
      </c>
      <c r="I166" s="7">
        <v>72</v>
      </c>
      <c r="J166" s="8">
        <f t="shared" si="16"/>
        <v>8.5166666666666672E-3</v>
      </c>
      <c r="K166" s="5">
        <f t="shared" si="17"/>
        <v>15406.066409903284</v>
      </c>
      <c r="L166" s="5">
        <f t="shared" si="18"/>
        <v>1109236.7815130365</v>
      </c>
      <c r="M166" s="5">
        <f t="shared" si="19"/>
        <v>282596.78151303646</v>
      </c>
      <c r="N166" s="5">
        <v>8266.4</v>
      </c>
      <c r="O166" s="5">
        <v>322389.59999999998</v>
      </c>
      <c r="P166" s="2" t="s">
        <v>37</v>
      </c>
      <c r="Q166" s="5">
        <v>0</v>
      </c>
      <c r="R166" s="5">
        <f t="shared" si="20"/>
        <v>-31526.418486963492</v>
      </c>
      <c r="S166" s="2" t="s">
        <v>24</v>
      </c>
      <c r="T166" s="2" t="s">
        <v>38</v>
      </c>
    </row>
    <row r="167" spans="1:20" x14ac:dyDescent="0.3">
      <c r="A167" s="9" t="s">
        <v>373</v>
      </c>
      <c r="B167" s="9" t="s">
        <v>374</v>
      </c>
      <c r="C167" s="9" t="s">
        <v>67</v>
      </c>
      <c r="D167" s="10">
        <v>114100</v>
      </c>
      <c r="E167" s="11">
        <v>0.05</v>
      </c>
      <c r="F167" s="12">
        <f t="shared" si="14"/>
        <v>5705</v>
      </c>
      <c r="G167" s="12">
        <f t="shared" si="15"/>
        <v>108395</v>
      </c>
      <c r="H167" s="13">
        <v>0.17680000000000001</v>
      </c>
      <c r="I167" s="14">
        <v>24</v>
      </c>
      <c r="J167" s="15">
        <f t="shared" si="16"/>
        <v>1.4733333333333334E-2</v>
      </c>
      <c r="K167" s="12">
        <f t="shared" si="17"/>
        <v>5394.7781998569999</v>
      </c>
      <c r="L167" s="12">
        <f t="shared" si="18"/>
        <v>129474.676796568</v>
      </c>
      <c r="M167" s="12">
        <f t="shared" si="19"/>
        <v>21079.676796568005</v>
      </c>
      <c r="N167" s="12">
        <v>1083.95</v>
      </c>
      <c r="O167" s="12">
        <v>14091.35</v>
      </c>
      <c r="P167" s="9" t="s">
        <v>29</v>
      </c>
      <c r="Q167" s="12">
        <v>43358</v>
      </c>
      <c r="R167" s="12">
        <f t="shared" si="20"/>
        <v>-35285.723203431997</v>
      </c>
      <c r="S167" s="9" t="s">
        <v>24</v>
      </c>
      <c r="T167" s="9" t="s">
        <v>55</v>
      </c>
    </row>
    <row r="168" spans="1:20" x14ac:dyDescent="0.3">
      <c r="A168" s="2" t="s">
        <v>375</v>
      </c>
      <c r="B168" s="2" t="s">
        <v>376</v>
      </c>
      <c r="C168" s="2" t="s">
        <v>28</v>
      </c>
      <c r="D168" s="3">
        <v>75100</v>
      </c>
      <c r="E168" s="4">
        <v>0.1</v>
      </c>
      <c r="F168" s="5">
        <f t="shared" si="14"/>
        <v>7510</v>
      </c>
      <c r="G168" s="5">
        <f t="shared" si="15"/>
        <v>67590</v>
      </c>
      <c r="H168" s="6">
        <v>0.1263</v>
      </c>
      <c r="I168" s="7">
        <v>12</v>
      </c>
      <c r="J168" s="8">
        <f t="shared" si="16"/>
        <v>1.0525E-2</v>
      </c>
      <c r="K168" s="5">
        <f t="shared" si="17"/>
        <v>6025.2279207011052</v>
      </c>
      <c r="L168" s="5">
        <f t="shared" si="18"/>
        <v>72302.735048413262</v>
      </c>
      <c r="M168" s="5">
        <f t="shared" si="19"/>
        <v>4712.7350484132621</v>
      </c>
      <c r="N168" s="5">
        <v>675.9</v>
      </c>
      <c r="O168" s="5">
        <v>4393.3500000000004</v>
      </c>
      <c r="P168" s="2" t="s">
        <v>37</v>
      </c>
      <c r="Q168" s="5">
        <v>0</v>
      </c>
      <c r="R168" s="5">
        <f t="shared" si="20"/>
        <v>995.28504841326139</v>
      </c>
      <c r="S168" s="2" t="s">
        <v>30</v>
      </c>
      <c r="T168" s="2" t="s">
        <v>43</v>
      </c>
    </row>
    <row r="169" spans="1:20" x14ac:dyDescent="0.3">
      <c r="A169" s="9" t="s">
        <v>377</v>
      </c>
      <c r="B169" s="9" t="s">
        <v>378</v>
      </c>
      <c r="C169" s="9" t="s">
        <v>28</v>
      </c>
      <c r="D169" s="10">
        <v>39300</v>
      </c>
      <c r="E169" s="11">
        <v>0.1</v>
      </c>
      <c r="F169" s="12">
        <f t="shared" si="14"/>
        <v>3930</v>
      </c>
      <c r="G169" s="12">
        <f t="shared" si="15"/>
        <v>35370</v>
      </c>
      <c r="H169" s="13">
        <v>0.1608</v>
      </c>
      <c r="I169" s="14">
        <v>12</v>
      </c>
      <c r="J169" s="15">
        <f t="shared" si="16"/>
        <v>1.34E-2</v>
      </c>
      <c r="K169" s="12">
        <f t="shared" si="17"/>
        <v>3210.489619044175</v>
      </c>
      <c r="L169" s="12">
        <f t="shared" si="18"/>
        <v>38525.875428530097</v>
      </c>
      <c r="M169" s="12">
        <f t="shared" si="19"/>
        <v>3155.8754285300965</v>
      </c>
      <c r="N169" s="12">
        <v>499</v>
      </c>
      <c r="O169" s="12">
        <v>2299.0500000000002</v>
      </c>
      <c r="P169" s="9" t="s">
        <v>23</v>
      </c>
      <c r="Q169" s="12">
        <v>0</v>
      </c>
      <c r="R169" s="12">
        <f t="shared" si="20"/>
        <v>1355.8254285300964</v>
      </c>
      <c r="S169" s="9" t="s">
        <v>30</v>
      </c>
      <c r="T169" s="9" t="s">
        <v>55</v>
      </c>
    </row>
    <row r="170" spans="1:20" x14ac:dyDescent="0.3">
      <c r="A170" s="2" t="s">
        <v>379</v>
      </c>
      <c r="B170" s="2" t="s">
        <v>380</v>
      </c>
      <c r="C170" s="2" t="s">
        <v>67</v>
      </c>
      <c r="D170" s="3">
        <v>36700</v>
      </c>
      <c r="E170" s="4">
        <v>0.2</v>
      </c>
      <c r="F170" s="5">
        <f t="shared" si="14"/>
        <v>7340</v>
      </c>
      <c r="G170" s="5">
        <f t="shared" si="15"/>
        <v>29360</v>
      </c>
      <c r="H170" s="6">
        <v>0.15390000000000001</v>
      </c>
      <c r="I170" s="7">
        <v>6</v>
      </c>
      <c r="J170" s="8">
        <f t="shared" si="16"/>
        <v>1.2825000000000001E-2</v>
      </c>
      <c r="K170" s="5">
        <f t="shared" si="17"/>
        <v>5115.3151779146974</v>
      </c>
      <c r="L170" s="5">
        <f t="shared" si="18"/>
        <v>30691.891067488184</v>
      </c>
      <c r="M170" s="5">
        <f t="shared" si="19"/>
        <v>1331.8910674881845</v>
      </c>
      <c r="N170" s="5">
        <v>499</v>
      </c>
      <c r="O170" s="5">
        <v>954.2</v>
      </c>
      <c r="P170" s="2" t="s">
        <v>29</v>
      </c>
      <c r="Q170" s="5">
        <v>11744</v>
      </c>
      <c r="R170" s="5">
        <f t="shared" si="20"/>
        <v>-10867.308932511816</v>
      </c>
      <c r="S170" s="2" t="s">
        <v>42</v>
      </c>
      <c r="T170" s="2" t="s">
        <v>97</v>
      </c>
    </row>
    <row r="171" spans="1:20" x14ac:dyDescent="0.3">
      <c r="A171" s="9" t="s">
        <v>381</v>
      </c>
      <c r="B171" s="9" t="s">
        <v>382</v>
      </c>
      <c r="C171" s="9" t="s">
        <v>22</v>
      </c>
      <c r="D171" s="10">
        <v>242400</v>
      </c>
      <c r="E171" s="11">
        <v>0.25</v>
      </c>
      <c r="F171" s="12">
        <f t="shared" si="14"/>
        <v>60600</v>
      </c>
      <c r="G171" s="12">
        <f t="shared" si="15"/>
        <v>181800</v>
      </c>
      <c r="H171" s="13">
        <v>0.13589999999999999</v>
      </c>
      <c r="I171" s="14">
        <v>60</v>
      </c>
      <c r="J171" s="15">
        <f t="shared" si="16"/>
        <v>1.1325E-2</v>
      </c>
      <c r="K171" s="12">
        <f t="shared" si="17"/>
        <v>4191.6241849045937</v>
      </c>
      <c r="L171" s="12">
        <f t="shared" si="18"/>
        <v>251497.45109427563</v>
      </c>
      <c r="M171" s="12">
        <f t="shared" si="19"/>
        <v>69697.451094275631</v>
      </c>
      <c r="N171" s="12">
        <v>1818</v>
      </c>
      <c r="O171" s="12">
        <v>59085</v>
      </c>
      <c r="P171" s="9" t="s">
        <v>37</v>
      </c>
      <c r="Q171" s="12">
        <v>0</v>
      </c>
      <c r="R171" s="12">
        <f t="shared" si="20"/>
        <v>12430.451094275631</v>
      </c>
      <c r="S171" s="9" t="s">
        <v>58</v>
      </c>
      <c r="T171" s="9" t="s">
        <v>34</v>
      </c>
    </row>
    <row r="172" spans="1:20" x14ac:dyDescent="0.3">
      <c r="A172" s="2" t="s">
        <v>383</v>
      </c>
      <c r="B172" s="2" t="s">
        <v>384</v>
      </c>
      <c r="C172" s="2" t="s">
        <v>28</v>
      </c>
      <c r="D172" s="3">
        <v>83600</v>
      </c>
      <c r="E172" s="4">
        <v>0.2</v>
      </c>
      <c r="F172" s="5">
        <f t="shared" si="14"/>
        <v>16720</v>
      </c>
      <c r="G172" s="5">
        <f t="shared" si="15"/>
        <v>66880</v>
      </c>
      <c r="H172" s="6">
        <v>0.17050000000000001</v>
      </c>
      <c r="I172" s="7">
        <v>12</v>
      </c>
      <c r="J172" s="8">
        <f t="shared" si="16"/>
        <v>1.4208333333333335E-2</v>
      </c>
      <c r="K172" s="5">
        <f t="shared" si="17"/>
        <v>6101.3608865484521</v>
      </c>
      <c r="L172" s="5">
        <f t="shared" si="18"/>
        <v>73216.330638581421</v>
      </c>
      <c r="M172" s="5">
        <f t="shared" si="19"/>
        <v>6336.3306385814212</v>
      </c>
      <c r="N172" s="5">
        <v>668.80000000000007</v>
      </c>
      <c r="O172" s="5">
        <v>4347.2</v>
      </c>
      <c r="P172" s="2" t="s">
        <v>29</v>
      </c>
      <c r="Q172" s="5">
        <v>26752</v>
      </c>
      <c r="R172" s="5">
        <f t="shared" si="20"/>
        <v>-24094.06936141858</v>
      </c>
      <c r="S172" s="2" t="s">
        <v>24</v>
      </c>
      <c r="T172" s="2" t="s">
        <v>184</v>
      </c>
    </row>
    <row r="173" spans="1:20" x14ac:dyDescent="0.3">
      <c r="A173" s="9" t="s">
        <v>385</v>
      </c>
      <c r="B173" s="9" t="s">
        <v>386</v>
      </c>
      <c r="C173" s="9" t="s">
        <v>28</v>
      </c>
      <c r="D173" s="10">
        <v>29700</v>
      </c>
      <c r="E173" s="11">
        <v>0</v>
      </c>
      <c r="F173" s="12">
        <f t="shared" si="14"/>
        <v>0</v>
      </c>
      <c r="G173" s="12">
        <f t="shared" si="15"/>
        <v>29700</v>
      </c>
      <c r="H173" s="13">
        <v>0.14949999999999999</v>
      </c>
      <c r="I173" s="14">
        <v>12</v>
      </c>
      <c r="J173" s="15">
        <f t="shared" si="16"/>
        <v>1.2458333333333333E-2</v>
      </c>
      <c r="K173" s="12">
        <f t="shared" si="17"/>
        <v>2679.971199155269</v>
      </c>
      <c r="L173" s="12">
        <f t="shared" si="18"/>
        <v>32159.65438986323</v>
      </c>
      <c r="M173" s="12">
        <f t="shared" si="19"/>
        <v>2459.6543898632299</v>
      </c>
      <c r="N173" s="12">
        <v>499</v>
      </c>
      <c r="O173" s="12">
        <v>1930.5</v>
      </c>
      <c r="P173" s="9" t="s">
        <v>23</v>
      </c>
      <c r="Q173" s="12">
        <v>0</v>
      </c>
      <c r="R173" s="12">
        <f t="shared" si="20"/>
        <v>1028.1543898632299</v>
      </c>
      <c r="S173" s="9" t="s">
        <v>24</v>
      </c>
      <c r="T173" s="9" t="s">
        <v>25</v>
      </c>
    </row>
    <row r="174" spans="1:20" x14ac:dyDescent="0.3">
      <c r="A174" s="2" t="s">
        <v>387</v>
      </c>
      <c r="B174" s="2" t="s">
        <v>388</v>
      </c>
      <c r="C174" s="2" t="s">
        <v>22</v>
      </c>
      <c r="D174" s="3">
        <v>152300</v>
      </c>
      <c r="E174" s="4">
        <v>0.2</v>
      </c>
      <c r="F174" s="5">
        <f t="shared" si="14"/>
        <v>30460</v>
      </c>
      <c r="G174" s="5">
        <f t="shared" si="15"/>
        <v>121840</v>
      </c>
      <c r="H174" s="6">
        <v>0.1464</v>
      </c>
      <c r="I174" s="7">
        <v>12</v>
      </c>
      <c r="J174" s="8">
        <f t="shared" si="16"/>
        <v>1.2200000000000001E-2</v>
      </c>
      <c r="K174" s="5">
        <f t="shared" si="17"/>
        <v>10976.386071611219</v>
      </c>
      <c r="L174" s="5">
        <f t="shared" si="18"/>
        <v>131716.63285933464</v>
      </c>
      <c r="M174" s="5">
        <f t="shared" si="19"/>
        <v>9876.6328593346407</v>
      </c>
      <c r="N174" s="5">
        <v>1218.4000000000001</v>
      </c>
      <c r="O174" s="5">
        <v>7919.6</v>
      </c>
      <c r="P174" s="2" t="s">
        <v>23</v>
      </c>
      <c r="Q174" s="5">
        <v>0</v>
      </c>
      <c r="R174" s="5">
        <f t="shared" si="20"/>
        <v>3175.4328593346399</v>
      </c>
      <c r="S174" s="2" t="s">
        <v>30</v>
      </c>
      <c r="T174" s="2" t="s">
        <v>38</v>
      </c>
    </row>
    <row r="175" spans="1:20" x14ac:dyDescent="0.3">
      <c r="A175" s="9" t="s">
        <v>389</v>
      </c>
      <c r="B175" s="9" t="s">
        <v>390</v>
      </c>
      <c r="C175" s="9" t="s">
        <v>22</v>
      </c>
      <c r="D175" s="10">
        <v>180300</v>
      </c>
      <c r="E175" s="11">
        <v>0.05</v>
      </c>
      <c r="F175" s="12">
        <f t="shared" si="14"/>
        <v>9015</v>
      </c>
      <c r="G175" s="12">
        <f t="shared" si="15"/>
        <v>171285</v>
      </c>
      <c r="H175" s="13">
        <v>0.17660000000000001</v>
      </c>
      <c r="I175" s="14">
        <v>48</v>
      </c>
      <c r="J175" s="15">
        <f t="shared" si="16"/>
        <v>1.4716666666666668E-2</v>
      </c>
      <c r="K175" s="12">
        <f t="shared" si="17"/>
        <v>5001.1166149306691</v>
      </c>
      <c r="L175" s="12">
        <f t="shared" si="18"/>
        <v>240053.5975166721</v>
      </c>
      <c r="M175" s="12">
        <f t="shared" si="19"/>
        <v>68768.597516672104</v>
      </c>
      <c r="N175" s="12">
        <v>1712.8500000000001</v>
      </c>
      <c r="O175" s="12">
        <v>44534.1</v>
      </c>
      <c r="P175" s="9" t="s">
        <v>23</v>
      </c>
      <c r="Q175" s="12">
        <v>0</v>
      </c>
      <c r="R175" s="12">
        <f t="shared" si="20"/>
        <v>25947.347516672111</v>
      </c>
      <c r="S175" s="9" t="s">
        <v>58</v>
      </c>
      <c r="T175" s="9" t="s">
        <v>31</v>
      </c>
    </row>
    <row r="176" spans="1:20" x14ac:dyDescent="0.3">
      <c r="A176" s="2" t="s">
        <v>391</v>
      </c>
      <c r="B176" s="2" t="s">
        <v>392</v>
      </c>
      <c r="C176" s="2" t="s">
        <v>67</v>
      </c>
      <c r="D176" s="3">
        <v>80400</v>
      </c>
      <c r="E176" s="4">
        <v>0.1</v>
      </c>
      <c r="F176" s="5">
        <f t="shared" si="14"/>
        <v>8040</v>
      </c>
      <c r="G176" s="5">
        <f t="shared" si="15"/>
        <v>72360</v>
      </c>
      <c r="H176" s="6">
        <v>0.1431</v>
      </c>
      <c r="I176" s="7">
        <v>24</v>
      </c>
      <c r="J176" s="8">
        <f t="shared" si="16"/>
        <v>1.1925E-2</v>
      </c>
      <c r="K176" s="5">
        <f t="shared" si="17"/>
        <v>3484.818629932327</v>
      </c>
      <c r="L176" s="5">
        <f t="shared" si="18"/>
        <v>83635.64711837584</v>
      </c>
      <c r="M176" s="5">
        <f t="shared" si="19"/>
        <v>11275.64711837584</v>
      </c>
      <c r="N176" s="5">
        <v>723.6</v>
      </c>
      <c r="O176" s="5">
        <v>9406.8000000000011</v>
      </c>
      <c r="P176" s="2" t="s">
        <v>23</v>
      </c>
      <c r="Q176" s="5">
        <v>0</v>
      </c>
      <c r="R176" s="5">
        <f t="shared" si="20"/>
        <v>2592.4471183758396</v>
      </c>
      <c r="S176" s="2" t="s">
        <v>30</v>
      </c>
      <c r="T176" s="2" t="s">
        <v>38</v>
      </c>
    </row>
    <row r="177" spans="1:20" x14ac:dyDescent="0.3">
      <c r="A177" s="9" t="s">
        <v>393</v>
      </c>
      <c r="B177" s="9" t="s">
        <v>394</v>
      </c>
      <c r="C177" s="9" t="s">
        <v>28</v>
      </c>
      <c r="D177" s="10">
        <v>60400</v>
      </c>
      <c r="E177" s="11">
        <v>0.2</v>
      </c>
      <c r="F177" s="12">
        <f t="shared" si="14"/>
        <v>12080</v>
      </c>
      <c r="G177" s="12">
        <f t="shared" si="15"/>
        <v>48320</v>
      </c>
      <c r="H177" s="13">
        <v>0.1527</v>
      </c>
      <c r="I177" s="14">
        <v>12</v>
      </c>
      <c r="J177" s="15">
        <f t="shared" si="16"/>
        <v>1.2725E-2</v>
      </c>
      <c r="K177" s="12">
        <f t="shared" si="17"/>
        <v>4367.4402421478653</v>
      </c>
      <c r="L177" s="12">
        <f t="shared" si="18"/>
        <v>52409.28290577438</v>
      </c>
      <c r="M177" s="12">
        <f t="shared" si="19"/>
        <v>4089.2829057743802</v>
      </c>
      <c r="N177" s="12">
        <v>499</v>
      </c>
      <c r="O177" s="12">
        <v>3140.8</v>
      </c>
      <c r="P177" s="9" t="s">
        <v>29</v>
      </c>
      <c r="Q177" s="12">
        <v>19328</v>
      </c>
      <c r="R177" s="12">
        <f t="shared" si="20"/>
        <v>-17880.517094225619</v>
      </c>
      <c r="S177" s="9" t="s">
        <v>58</v>
      </c>
      <c r="T177" s="9" t="s">
        <v>43</v>
      </c>
    </row>
    <row r="178" spans="1:20" x14ac:dyDescent="0.3">
      <c r="A178" s="2" t="s">
        <v>395</v>
      </c>
      <c r="B178" s="2" t="s">
        <v>396</v>
      </c>
      <c r="C178" s="2" t="s">
        <v>28</v>
      </c>
      <c r="D178" s="3">
        <v>94700</v>
      </c>
      <c r="E178" s="4">
        <v>0.2</v>
      </c>
      <c r="F178" s="5">
        <f t="shared" si="14"/>
        <v>18940</v>
      </c>
      <c r="G178" s="5">
        <f t="shared" si="15"/>
        <v>75760</v>
      </c>
      <c r="H178" s="6">
        <v>0.15090000000000001</v>
      </c>
      <c r="I178" s="7">
        <v>12</v>
      </c>
      <c r="J178" s="8">
        <f t="shared" si="16"/>
        <v>1.2575000000000001E-2</v>
      </c>
      <c r="K178" s="5">
        <f t="shared" si="17"/>
        <v>6841.1875593067434</v>
      </c>
      <c r="L178" s="5">
        <f t="shared" si="18"/>
        <v>82094.250711680914</v>
      </c>
      <c r="M178" s="5">
        <f t="shared" si="19"/>
        <v>6334.2507116809138</v>
      </c>
      <c r="N178" s="5">
        <v>757.6</v>
      </c>
      <c r="O178" s="5">
        <v>4924.4000000000005</v>
      </c>
      <c r="P178" s="2" t="s">
        <v>23</v>
      </c>
      <c r="Q178" s="5">
        <v>0</v>
      </c>
      <c r="R178" s="5">
        <f t="shared" si="20"/>
        <v>2167.4507116809136</v>
      </c>
      <c r="S178" s="2" t="s">
        <v>58</v>
      </c>
      <c r="T178" s="2" t="s">
        <v>43</v>
      </c>
    </row>
    <row r="179" spans="1:20" x14ac:dyDescent="0.3">
      <c r="A179" s="9" t="s">
        <v>397</v>
      </c>
      <c r="B179" s="9" t="s">
        <v>398</v>
      </c>
      <c r="C179" s="9" t="s">
        <v>22</v>
      </c>
      <c r="D179" s="10">
        <v>93900</v>
      </c>
      <c r="E179" s="11">
        <v>0.1</v>
      </c>
      <c r="F179" s="12">
        <f t="shared" si="14"/>
        <v>9390</v>
      </c>
      <c r="G179" s="12">
        <f t="shared" si="15"/>
        <v>84510</v>
      </c>
      <c r="H179" s="13">
        <v>0.128</v>
      </c>
      <c r="I179" s="14">
        <v>48</v>
      </c>
      <c r="J179" s="15">
        <f t="shared" si="16"/>
        <v>1.0666666666666666E-2</v>
      </c>
      <c r="K179" s="12">
        <f t="shared" si="17"/>
        <v>2258.811784280103</v>
      </c>
      <c r="L179" s="12">
        <f t="shared" si="18"/>
        <v>108422.96564544494</v>
      </c>
      <c r="M179" s="12">
        <f t="shared" si="19"/>
        <v>23912.965645444943</v>
      </c>
      <c r="N179" s="12">
        <v>845.1</v>
      </c>
      <c r="O179" s="12">
        <v>21972.600000000002</v>
      </c>
      <c r="P179" s="9" t="s">
        <v>23</v>
      </c>
      <c r="Q179" s="12">
        <v>0</v>
      </c>
      <c r="R179" s="12">
        <f t="shared" si="20"/>
        <v>2785.4656454449396</v>
      </c>
      <c r="S179" s="9" t="s">
        <v>24</v>
      </c>
      <c r="T179" s="9" t="s">
        <v>184</v>
      </c>
    </row>
    <row r="180" spans="1:20" x14ac:dyDescent="0.3">
      <c r="A180" s="2" t="s">
        <v>399</v>
      </c>
      <c r="B180" s="2" t="s">
        <v>400</v>
      </c>
      <c r="C180" s="2" t="s">
        <v>28</v>
      </c>
      <c r="D180" s="3">
        <v>105400</v>
      </c>
      <c r="E180" s="4">
        <v>0.2</v>
      </c>
      <c r="F180" s="5">
        <f t="shared" si="14"/>
        <v>21080</v>
      </c>
      <c r="G180" s="5">
        <f t="shared" si="15"/>
        <v>84320</v>
      </c>
      <c r="H180" s="6">
        <v>0.14630000000000001</v>
      </c>
      <c r="I180" s="7">
        <v>9</v>
      </c>
      <c r="J180" s="8">
        <f t="shared" si="16"/>
        <v>1.2191666666666668E-2</v>
      </c>
      <c r="K180" s="5">
        <f t="shared" si="17"/>
        <v>9949.2264935036183</v>
      </c>
      <c r="L180" s="5">
        <f t="shared" si="18"/>
        <v>89543.038441532568</v>
      </c>
      <c r="M180" s="5">
        <f t="shared" si="19"/>
        <v>5223.038441532568</v>
      </c>
      <c r="N180" s="5">
        <v>843.2</v>
      </c>
      <c r="O180" s="5">
        <v>4110.6000000000004</v>
      </c>
      <c r="P180" s="2" t="s">
        <v>37</v>
      </c>
      <c r="Q180" s="5">
        <v>0</v>
      </c>
      <c r="R180" s="5">
        <f t="shared" si="20"/>
        <v>1955.6384415325674</v>
      </c>
      <c r="S180" s="2" t="s">
        <v>42</v>
      </c>
      <c r="T180" s="2" t="s">
        <v>52</v>
      </c>
    </row>
    <row r="181" spans="1:20" x14ac:dyDescent="0.3">
      <c r="A181" s="9" t="s">
        <v>401</v>
      </c>
      <c r="B181" s="9" t="s">
        <v>402</v>
      </c>
      <c r="C181" s="9" t="s">
        <v>28</v>
      </c>
      <c r="D181" s="10">
        <v>70300</v>
      </c>
      <c r="E181" s="11">
        <v>0.1</v>
      </c>
      <c r="F181" s="12">
        <f t="shared" si="14"/>
        <v>7030</v>
      </c>
      <c r="G181" s="12">
        <f t="shared" si="15"/>
        <v>63270</v>
      </c>
      <c r="H181" s="13">
        <v>0.13439999999999999</v>
      </c>
      <c r="I181" s="14">
        <v>9</v>
      </c>
      <c r="J181" s="15">
        <f t="shared" si="16"/>
        <v>1.12E-2</v>
      </c>
      <c r="K181" s="12">
        <f t="shared" si="17"/>
        <v>7429.5252853865104</v>
      </c>
      <c r="L181" s="12">
        <f t="shared" si="18"/>
        <v>66865.7275684786</v>
      </c>
      <c r="M181" s="12">
        <f t="shared" si="19"/>
        <v>3595.7275684786</v>
      </c>
      <c r="N181" s="12">
        <v>632.70000000000005</v>
      </c>
      <c r="O181" s="12">
        <v>3084.4125000000004</v>
      </c>
      <c r="P181" s="9" t="s">
        <v>23</v>
      </c>
      <c r="Q181" s="12">
        <v>0</v>
      </c>
      <c r="R181" s="12">
        <f t="shared" si="20"/>
        <v>1144.0150684785995</v>
      </c>
      <c r="S181" s="9" t="s">
        <v>42</v>
      </c>
      <c r="T181" s="9" t="s">
        <v>55</v>
      </c>
    </row>
    <row r="182" spans="1:20" x14ac:dyDescent="0.3">
      <c r="A182" s="2" t="s">
        <v>403</v>
      </c>
      <c r="B182" s="2" t="s">
        <v>404</v>
      </c>
      <c r="C182" s="2" t="s">
        <v>67</v>
      </c>
      <c r="D182" s="3">
        <v>23400</v>
      </c>
      <c r="E182" s="4">
        <v>0.15</v>
      </c>
      <c r="F182" s="5">
        <f t="shared" si="14"/>
        <v>3510</v>
      </c>
      <c r="G182" s="5">
        <f t="shared" si="15"/>
        <v>19890</v>
      </c>
      <c r="H182" s="6">
        <v>0.1462</v>
      </c>
      <c r="I182" s="7">
        <v>3</v>
      </c>
      <c r="J182" s="8">
        <f t="shared" si="16"/>
        <v>1.2183333333333332E-2</v>
      </c>
      <c r="K182" s="5">
        <f t="shared" si="17"/>
        <v>6792.2030961912342</v>
      </c>
      <c r="L182" s="5">
        <f t="shared" si="18"/>
        <v>20376.609288573702</v>
      </c>
      <c r="M182" s="5">
        <f t="shared" si="19"/>
        <v>486.60928857370163</v>
      </c>
      <c r="N182" s="5">
        <v>499</v>
      </c>
      <c r="O182" s="5">
        <v>323.21250000000003</v>
      </c>
      <c r="P182" s="2" t="s">
        <v>23</v>
      </c>
      <c r="Q182" s="5">
        <v>0</v>
      </c>
      <c r="R182" s="5">
        <f t="shared" si="20"/>
        <v>662.39678857370154</v>
      </c>
      <c r="S182" s="2" t="s">
        <v>24</v>
      </c>
      <c r="T182" s="2" t="s">
        <v>49</v>
      </c>
    </row>
    <row r="183" spans="1:20" x14ac:dyDescent="0.3">
      <c r="A183" s="9" t="s">
        <v>405</v>
      </c>
      <c r="B183" s="9" t="s">
        <v>406</v>
      </c>
      <c r="C183" s="9" t="s">
        <v>28</v>
      </c>
      <c r="D183" s="10">
        <v>120800</v>
      </c>
      <c r="E183" s="11">
        <v>0.05</v>
      </c>
      <c r="F183" s="12">
        <f t="shared" si="14"/>
        <v>6040</v>
      </c>
      <c r="G183" s="12">
        <f t="shared" si="15"/>
        <v>114760</v>
      </c>
      <c r="H183" s="13">
        <v>0.1305</v>
      </c>
      <c r="I183" s="14">
        <v>18</v>
      </c>
      <c r="J183" s="15">
        <f t="shared" si="16"/>
        <v>1.0875000000000001E-2</v>
      </c>
      <c r="K183" s="12">
        <f t="shared" si="17"/>
        <v>7054.4032064141784</v>
      </c>
      <c r="L183" s="12">
        <f t="shared" si="18"/>
        <v>126979.25771545521</v>
      </c>
      <c r="M183" s="12">
        <f t="shared" si="19"/>
        <v>12219.257715455213</v>
      </c>
      <c r="N183" s="12">
        <v>1147.6000000000001</v>
      </c>
      <c r="O183" s="12">
        <v>11189.1</v>
      </c>
      <c r="P183" s="9" t="s">
        <v>37</v>
      </c>
      <c r="Q183" s="12">
        <v>0</v>
      </c>
      <c r="R183" s="12">
        <f t="shared" si="20"/>
        <v>2177.7577154552127</v>
      </c>
      <c r="S183" s="9" t="s">
        <v>30</v>
      </c>
      <c r="T183" s="9" t="s">
        <v>31</v>
      </c>
    </row>
    <row r="184" spans="1:20" x14ac:dyDescent="0.3">
      <c r="A184" s="2" t="s">
        <v>407</v>
      </c>
      <c r="B184" s="2" t="s">
        <v>408</v>
      </c>
      <c r="C184" s="2" t="s">
        <v>28</v>
      </c>
      <c r="D184" s="3">
        <v>76400</v>
      </c>
      <c r="E184" s="4">
        <v>0.15</v>
      </c>
      <c r="F184" s="5">
        <f t="shared" si="14"/>
        <v>11460</v>
      </c>
      <c r="G184" s="5">
        <f t="shared" si="15"/>
        <v>64940</v>
      </c>
      <c r="H184" s="6">
        <v>0.1741</v>
      </c>
      <c r="I184" s="7">
        <v>9</v>
      </c>
      <c r="J184" s="8">
        <f t="shared" si="16"/>
        <v>1.4508333333333333E-2</v>
      </c>
      <c r="K184" s="5">
        <f t="shared" si="17"/>
        <v>7749.0338154834117</v>
      </c>
      <c r="L184" s="5">
        <f t="shared" si="18"/>
        <v>69741.304339350711</v>
      </c>
      <c r="M184" s="5">
        <f t="shared" si="19"/>
        <v>4801.3043393507105</v>
      </c>
      <c r="N184" s="5">
        <v>649.4</v>
      </c>
      <c r="O184" s="5">
        <v>3165.8250000000003</v>
      </c>
      <c r="P184" s="2" t="s">
        <v>23</v>
      </c>
      <c r="Q184" s="5">
        <v>0</v>
      </c>
      <c r="R184" s="5">
        <f t="shared" si="20"/>
        <v>2284.8793393507099</v>
      </c>
      <c r="S184" s="2" t="s">
        <v>42</v>
      </c>
      <c r="T184" s="2" t="s">
        <v>55</v>
      </c>
    </row>
    <row r="185" spans="1:20" x14ac:dyDescent="0.3">
      <c r="A185" s="9" t="s">
        <v>409</v>
      </c>
      <c r="B185" s="9" t="s">
        <v>410</v>
      </c>
      <c r="C185" s="9" t="s">
        <v>28</v>
      </c>
      <c r="D185" s="10">
        <v>63700</v>
      </c>
      <c r="E185" s="11">
        <v>0.05</v>
      </c>
      <c r="F185" s="12">
        <f t="shared" si="14"/>
        <v>3185</v>
      </c>
      <c r="G185" s="12">
        <f t="shared" si="15"/>
        <v>60515</v>
      </c>
      <c r="H185" s="13">
        <v>0.1847</v>
      </c>
      <c r="I185" s="14">
        <v>18</v>
      </c>
      <c r="J185" s="15">
        <f t="shared" si="16"/>
        <v>1.5391666666666666E-2</v>
      </c>
      <c r="K185" s="12">
        <f t="shared" si="17"/>
        <v>3874.7785587555077</v>
      </c>
      <c r="L185" s="12">
        <f t="shared" si="18"/>
        <v>69746.014057599139</v>
      </c>
      <c r="M185" s="12">
        <f t="shared" si="19"/>
        <v>9231.0140575991391</v>
      </c>
      <c r="N185" s="12">
        <v>605.15</v>
      </c>
      <c r="O185" s="12">
        <v>5900.2124999999996</v>
      </c>
      <c r="P185" s="9" t="s">
        <v>23</v>
      </c>
      <c r="Q185" s="12">
        <v>0</v>
      </c>
      <c r="R185" s="12">
        <f t="shared" si="20"/>
        <v>3935.9515575991391</v>
      </c>
      <c r="S185" s="9" t="s">
        <v>42</v>
      </c>
      <c r="T185" s="9" t="s">
        <v>97</v>
      </c>
    </row>
    <row r="186" spans="1:20" x14ac:dyDescent="0.3">
      <c r="A186" s="2" t="s">
        <v>411</v>
      </c>
      <c r="B186" s="2" t="s">
        <v>412</v>
      </c>
      <c r="C186" s="2" t="s">
        <v>22</v>
      </c>
      <c r="D186" s="3">
        <v>246700</v>
      </c>
      <c r="E186" s="4">
        <v>0.1</v>
      </c>
      <c r="F186" s="5">
        <f t="shared" si="14"/>
        <v>24670</v>
      </c>
      <c r="G186" s="5">
        <f t="shared" si="15"/>
        <v>222030</v>
      </c>
      <c r="H186" s="6">
        <v>0.14019999999999999</v>
      </c>
      <c r="I186" s="7">
        <v>48</v>
      </c>
      <c r="J186" s="8">
        <f t="shared" si="16"/>
        <v>1.1683333333333332E-2</v>
      </c>
      <c r="K186" s="5">
        <f t="shared" si="17"/>
        <v>6069.5253543704675</v>
      </c>
      <c r="L186" s="5">
        <f t="shared" si="18"/>
        <v>291337.21700978244</v>
      </c>
      <c r="M186" s="5">
        <f t="shared" si="19"/>
        <v>69307.217009782442</v>
      </c>
      <c r="N186" s="5">
        <v>2220.3000000000002</v>
      </c>
      <c r="O186" s="5">
        <v>57727.8</v>
      </c>
      <c r="P186" s="2" t="s">
        <v>23</v>
      </c>
      <c r="Q186" s="5">
        <v>0</v>
      </c>
      <c r="R186" s="5">
        <f t="shared" si="20"/>
        <v>13799.717009782442</v>
      </c>
      <c r="S186" s="2" t="s">
        <v>30</v>
      </c>
      <c r="T186" s="2" t="s">
        <v>184</v>
      </c>
    </row>
    <row r="187" spans="1:20" x14ac:dyDescent="0.3">
      <c r="A187" s="9" t="s">
        <v>413</v>
      </c>
      <c r="B187" s="9" t="s">
        <v>414</v>
      </c>
      <c r="C187" s="9" t="s">
        <v>67</v>
      </c>
      <c r="D187" s="10">
        <v>61800</v>
      </c>
      <c r="E187" s="11">
        <v>0.2</v>
      </c>
      <c r="F187" s="12">
        <f t="shared" si="14"/>
        <v>12360</v>
      </c>
      <c r="G187" s="12">
        <f t="shared" si="15"/>
        <v>49440</v>
      </c>
      <c r="H187" s="13">
        <v>0.16969999999999999</v>
      </c>
      <c r="I187" s="14">
        <v>3</v>
      </c>
      <c r="J187" s="15">
        <f t="shared" si="16"/>
        <v>1.4141666666666665E-2</v>
      </c>
      <c r="K187" s="12">
        <f t="shared" si="17"/>
        <v>16948.291058223283</v>
      </c>
      <c r="L187" s="12">
        <f t="shared" si="18"/>
        <v>50844.873174669847</v>
      </c>
      <c r="M187" s="12">
        <f t="shared" si="19"/>
        <v>1404.8731746698468</v>
      </c>
      <c r="N187" s="12">
        <v>499</v>
      </c>
      <c r="O187" s="12">
        <v>803.4</v>
      </c>
      <c r="P187" s="9" t="s">
        <v>23</v>
      </c>
      <c r="Q187" s="12">
        <v>0</v>
      </c>
      <c r="R187" s="12">
        <f t="shared" si="20"/>
        <v>1100.4731746698467</v>
      </c>
      <c r="S187" s="9" t="s">
        <v>24</v>
      </c>
      <c r="T187" s="9" t="s">
        <v>184</v>
      </c>
    </row>
    <row r="188" spans="1:20" x14ac:dyDescent="0.3">
      <c r="A188" s="2" t="s">
        <v>415</v>
      </c>
      <c r="B188" s="2" t="s">
        <v>416</v>
      </c>
      <c r="C188" s="2" t="s">
        <v>67</v>
      </c>
      <c r="D188" s="3">
        <v>26000</v>
      </c>
      <c r="E188" s="4">
        <v>0</v>
      </c>
      <c r="F188" s="5">
        <f t="shared" si="14"/>
        <v>0</v>
      </c>
      <c r="G188" s="5">
        <f t="shared" si="15"/>
        <v>26000</v>
      </c>
      <c r="H188" s="6">
        <v>0.1759</v>
      </c>
      <c r="I188" s="7">
        <v>18</v>
      </c>
      <c r="J188" s="8">
        <f t="shared" si="16"/>
        <v>1.4658333333333334E-2</v>
      </c>
      <c r="K188" s="5">
        <f t="shared" si="17"/>
        <v>1653.8731582520541</v>
      </c>
      <c r="L188" s="5">
        <f t="shared" si="18"/>
        <v>29769.716848536973</v>
      </c>
      <c r="M188" s="5">
        <f t="shared" si="19"/>
        <v>3769.716848536973</v>
      </c>
      <c r="N188" s="5">
        <v>499</v>
      </c>
      <c r="O188" s="5">
        <v>2535</v>
      </c>
      <c r="P188" s="2" t="s">
        <v>23</v>
      </c>
      <c r="Q188" s="5">
        <v>0</v>
      </c>
      <c r="R188" s="5">
        <f t="shared" si="20"/>
        <v>1733.716848536973</v>
      </c>
      <c r="S188" s="2" t="s">
        <v>24</v>
      </c>
      <c r="T188" s="2" t="s">
        <v>55</v>
      </c>
    </row>
    <row r="189" spans="1:20" x14ac:dyDescent="0.3">
      <c r="A189" s="9" t="s">
        <v>417</v>
      </c>
      <c r="B189" s="9" t="s">
        <v>418</v>
      </c>
      <c r="C189" s="9" t="s">
        <v>41</v>
      </c>
      <c r="D189" s="10">
        <v>1373100</v>
      </c>
      <c r="E189" s="11">
        <v>0.1</v>
      </c>
      <c r="F189" s="12">
        <f t="shared" si="14"/>
        <v>137310</v>
      </c>
      <c r="G189" s="12">
        <f t="shared" si="15"/>
        <v>1235790</v>
      </c>
      <c r="H189" s="13">
        <v>0.1129</v>
      </c>
      <c r="I189" s="14">
        <v>72</v>
      </c>
      <c r="J189" s="15">
        <f t="shared" si="16"/>
        <v>9.4083333333333328E-3</v>
      </c>
      <c r="K189" s="12">
        <f t="shared" si="17"/>
        <v>23706.091122335089</v>
      </c>
      <c r="L189" s="12">
        <f t="shared" si="18"/>
        <v>1706838.5608081263</v>
      </c>
      <c r="M189" s="12">
        <f t="shared" si="19"/>
        <v>471048.56080812635</v>
      </c>
      <c r="N189" s="12">
        <v>12357.9</v>
      </c>
      <c r="O189" s="12">
        <v>481958.10000000003</v>
      </c>
      <c r="P189" s="9" t="s">
        <v>23</v>
      </c>
      <c r="Q189" s="12">
        <v>0</v>
      </c>
      <c r="R189" s="12">
        <f t="shared" si="20"/>
        <v>1448.3608081263374</v>
      </c>
      <c r="S189" s="9" t="s">
        <v>58</v>
      </c>
      <c r="T189" s="9" t="s">
        <v>55</v>
      </c>
    </row>
    <row r="190" spans="1:20" x14ac:dyDescent="0.3">
      <c r="A190" s="2" t="s">
        <v>419</v>
      </c>
      <c r="B190" s="2" t="s">
        <v>420</v>
      </c>
      <c r="C190" s="2" t="s">
        <v>28</v>
      </c>
      <c r="D190" s="3">
        <v>35200</v>
      </c>
      <c r="E190" s="4">
        <v>0</v>
      </c>
      <c r="F190" s="5">
        <f t="shared" si="14"/>
        <v>0</v>
      </c>
      <c r="G190" s="5">
        <f t="shared" si="15"/>
        <v>35200</v>
      </c>
      <c r="H190" s="6">
        <v>0.13800000000000001</v>
      </c>
      <c r="I190" s="7">
        <v>12</v>
      </c>
      <c r="J190" s="8">
        <f t="shared" si="16"/>
        <v>1.1500000000000002E-2</v>
      </c>
      <c r="K190" s="5">
        <f t="shared" si="17"/>
        <v>3157.1950410673217</v>
      </c>
      <c r="L190" s="5">
        <f t="shared" si="18"/>
        <v>37886.34049280786</v>
      </c>
      <c r="M190" s="5">
        <f t="shared" si="19"/>
        <v>2686.3404928078598</v>
      </c>
      <c r="N190" s="5">
        <v>499</v>
      </c>
      <c r="O190" s="5">
        <v>2288</v>
      </c>
      <c r="P190" s="2" t="s">
        <v>23</v>
      </c>
      <c r="Q190" s="5">
        <v>0</v>
      </c>
      <c r="R190" s="5">
        <f t="shared" si="20"/>
        <v>897.34049280785985</v>
      </c>
      <c r="S190" s="2" t="s">
        <v>58</v>
      </c>
      <c r="T190" s="2" t="s">
        <v>34</v>
      </c>
    </row>
    <row r="191" spans="1:20" x14ac:dyDescent="0.3">
      <c r="A191" s="9" t="s">
        <v>421</v>
      </c>
      <c r="B191" s="9" t="s">
        <v>422</v>
      </c>
      <c r="C191" s="9" t="s">
        <v>67</v>
      </c>
      <c r="D191" s="10">
        <v>40100</v>
      </c>
      <c r="E191" s="11">
        <v>0</v>
      </c>
      <c r="F191" s="12">
        <f t="shared" si="14"/>
        <v>0</v>
      </c>
      <c r="G191" s="12">
        <f t="shared" si="15"/>
        <v>40100</v>
      </c>
      <c r="H191" s="13">
        <v>0.2064</v>
      </c>
      <c r="I191" s="14">
        <v>24</v>
      </c>
      <c r="J191" s="15">
        <f t="shared" si="16"/>
        <v>1.72E-2</v>
      </c>
      <c r="K191" s="12">
        <f t="shared" si="17"/>
        <v>2053.4808707570223</v>
      </c>
      <c r="L191" s="12">
        <f t="shared" si="18"/>
        <v>49283.540898168532</v>
      </c>
      <c r="M191" s="12">
        <f t="shared" si="19"/>
        <v>9183.5408981685323</v>
      </c>
      <c r="N191" s="12">
        <v>499</v>
      </c>
      <c r="O191" s="12">
        <v>5213</v>
      </c>
      <c r="P191" s="9" t="s">
        <v>23</v>
      </c>
      <c r="Q191" s="12">
        <v>0</v>
      </c>
      <c r="R191" s="12">
        <f t="shared" si="20"/>
        <v>4469.5408981685323</v>
      </c>
      <c r="S191" s="9" t="s">
        <v>42</v>
      </c>
      <c r="T191" s="9" t="s">
        <v>97</v>
      </c>
    </row>
    <row r="192" spans="1:20" x14ac:dyDescent="0.3">
      <c r="A192" s="2" t="s">
        <v>423</v>
      </c>
      <c r="B192" s="2" t="s">
        <v>424</v>
      </c>
      <c r="C192" s="2" t="s">
        <v>22</v>
      </c>
      <c r="D192" s="3">
        <v>277400</v>
      </c>
      <c r="E192" s="4">
        <v>0.1</v>
      </c>
      <c r="F192" s="5">
        <f t="shared" si="14"/>
        <v>27740</v>
      </c>
      <c r="G192" s="5">
        <f t="shared" si="15"/>
        <v>249660</v>
      </c>
      <c r="H192" s="6">
        <v>0.10150000000000001</v>
      </c>
      <c r="I192" s="7">
        <v>24</v>
      </c>
      <c r="J192" s="8">
        <f t="shared" si="16"/>
        <v>8.4583333333333333E-3</v>
      </c>
      <c r="K192" s="5">
        <f t="shared" si="17"/>
        <v>11537.834514244143</v>
      </c>
      <c r="L192" s="5">
        <f t="shared" si="18"/>
        <v>276908.02834185946</v>
      </c>
      <c r="M192" s="5">
        <f t="shared" si="19"/>
        <v>27248.028341859463</v>
      </c>
      <c r="N192" s="5">
        <v>2496.6</v>
      </c>
      <c r="O192" s="5">
        <v>32455.800000000003</v>
      </c>
      <c r="P192" s="2" t="s">
        <v>23</v>
      </c>
      <c r="Q192" s="5">
        <v>0</v>
      </c>
      <c r="R192" s="5">
        <f t="shared" si="20"/>
        <v>-2711.1716581405417</v>
      </c>
      <c r="S192" s="2" t="s">
        <v>42</v>
      </c>
      <c r="T192" s="2" t="s">
        <v>43</v>
      </c>
    </row>
    <row r="193" spans="1:20" x14ac:dyDescent="0.3">
      <c r="A193" s="9" t="s">
        <v>425</v>
      </c>
      <c r="B193" s="9" t="s">
        <v>426</v>
      </c>
      <c r="C193" s="9" t="s">
        <v>22</v>
      </c>
      <c r="D193" s="10">
        <v>117000</v>
      </c>
      <c r="E193" s="11">
        <v>0.2</v>
      </c>
      <c r="F193" s="12">
        <f t="shared" si="14"/>
        <v>23400</v>
      </c>
      <c r="G193" s="12">
        <f t="shared" si="15"/>
        <v>93600</v>
      </c>
      <c r="H193" s="13">
        <v>0.10970000000000001</v>
      </c>
      <c r="I193" s="14">
        <v>24</v>
      </c>
      <c r="J193" s="15">
        <f t="shared" si="16"/>
        <v>9.1416666666666677E-3</v>
      </c>
      <c r="K193" s="12">
        <f t="shared" si="17"/>
        <v>4361.1900887496249</v>
      </c>
      <c r="L193" s="12">
        <f t="shared" si="18"/>
        <v>104668.562129991</v>
      </c>
      <c r="M193" s="12">
        <f t="shared" si="19"/>
        <v>11068.562129990998</v>
      </c>
      <c r="N193" s="12">
        <v>936</v>
      </c>
      <c r="O193" s="12">
        <v>12168</v>
      </c>
      <c r="P193" s="9" t="s">
        <v>23</v>
      </c>
      <c r="Q193" s="12">
        <v>0</v>
      </c>
      <c r="R193" s="12">
        <f t="shared" si="20"/>
        <v>-163.43787000900193</v>
      </c>
      <c r="S193" s="9" t="s">
        <v>42</v>
      </c>
      <c r="T193" s="9" t="s">
        <v>43</v>
      </c>
    </row>
    <row r="194" spans="1:20" x14ac:dyDescent="0.3">
      <c r="A194" s="2" t="s">
        <v>427</v>
      </c>
      <c r="B194" s="2" t="s">
        <v>428</v>
      </c>
      <c r="C194" s="2" t="s">
        <v>67</v>
      </c>
      <c r="D194" s="3">
        <v>109400</v>
      </c>
      <c r="E194" s="4">
        <v>0.2</v>
      </c>
      <c r="F194" s="5">
        <f t="shared" ref="F194:F257" si="21">D194*E194</f>
        <v>21880</v>
      </c>
      <c r="G194" s="5">
        <f t="shared" ref="G194:G257" si="22">D194-F194</f>
        <v>87520</v>
      </c>
      <c r="H194" s="6">
        <v>0.18770000000000001</v>
      </c>
      <c r="I194" s="7">
        <v>3</v>
      </c>
      <c r="J194" s="8">
        <f t="shared" ref="J194:J257" si="23">H194/12</f>
        <v>1.5641666666666668E-2</v>
      </c>
      <c r="K194" s="5">
        <f t="shared" ref="K194:K257" si="24">-PMT(J194,I194,G194)</f>
        <v>30090.693822737987</v>
      </c>
      <c r="L194" s="5">
        <f t="shared" ref="L194:L257" si="25">K194*I194</f>
        <v>90272.081468213961</v>
      </c>
      <c r="M194" s="5">
        <f t="shared" ref="M194:M257" si="26">L194-G194</f>
        <v>2752.0814682139608</v>
      </c>
      <c r="N194" s="5">
        <v>875.2</v>
      </c>
      <c r="O194" s="5">
        <v>1422.2</v>
      </c>
      <c r="P194" s="2" t="s">
        <v>23</v>
      </c>
      <c r="Q194" s="5">
        <v>0</v>
      </c>
      <c r="R194" s="5">
        <f t="shared" ref="R194:R257" si="27">M194+N194-O194-Q194</f>
        <v>2205.0814682139608</v>
      </c>
      <c r="S194" s="2" t="s">
        <v>30</v>
      </c>
      <c r="T194" s="2" t="s">
        <v>31</v>
      </c>
    </row>
    <row r="195" spans="1:20" x14ac:dyDescent="0.3">
      <c r="A195" s="9" t="s">
        <v>429</v>
      </c>
      <c r="B195" s="9" t="s">
        <v>430</v>
      </c>
      <c r="C195" s="9" t="s">
        <v>67</v>
      </c>
      <c r="D195" s="10">
        <v>56100</v>
      </c>
      <c r="E195" s="11">
        <v>0.15</v>
      </c>
      <c r="F195" s="12">
        <f t="shared" si="21"/>
        <v>8415</v>
      </c>
      <c r="G195" s="12">
        <f t="shared" si="22"/>
        <v>47685</v>
      </c>
      <c r="H195" s="13">
        <v>0.18920000000000001</v>
      </c>
      <c r="I195" s="14">
        <v>6</v>
      </c>
      <c r="J195" s="15">
        <f t="shared" si="23"/>
        <v>1.5766666666666668E-2</v>
      </c>
      <c r="K195" s="12">
        <f t="shared" si="24"/>
        <v>8391.7860411429447</v>
      </c>
      <c r="L195" s="12">
        <f t="shared" si="25"/>
        <v>50350.716246857672</v>
      </c>
      <c r="M195" s="12">
        <f t="shared" si="26"/>
        <v>2665.7162468576716</v>
      </c>
      <c r="N195" s="12">
        <v>499</v>
      </c>
      <c r="O195" s="12">
        <v>1549.7625</v>
      </c>
      <c r="P195" s="9" t="s">
        <v>23</v>
      </c>
      <c r="Q195" s="12">
        <v>0</v>
      </c>
      <c r="R195" s="12">
        <f t="shared" si="27"/>
        <v>1614.9537468576716</v>
      </c>
      <c r="S195" s="9" t="s">
        <v>24</v>
      </c>
      <c r="T195" s="9" t="s">
        <v>52</v>
      </c>
    </row>
    <row r="196" spans="1:20" x14ac:dyDescent="0.3">
      <c r="A196" s="2" t="s">
        <v>431</v>
      </c>
      <c r="B196" s="2" t="s">
        <v>432</v>
      </c>
      <c r="C196" s="2" t="s">
        <v>41</v>
      </c>
      <c r="D196" s="3">
        <v>474400</v>
      </c>
      <c r="E196" s="4">
        <v>0.3</v>
      </c>
      <c r="F196" s="5">
        <f t="shared" si="21"/>
        <v>142320</v>
      </c>
      <c r="G196" s="5">
        <f t="shared" si="22"/>
        <v>332080</v>
      </c>
      <c r="H196" s="6">
        <v>0.1008</v>
      </c>
      <c r="I196" s="7">
        <v>84</v>
      </c>
      <c r="J196" s="8">
        <f t="shared" si="23"/>
        <v>8.3999999999999995E-3</v>
      </c>
      <c r="K196" s="5">
        <f t="shared" si="24"/>
        <v>5526.6576510762861</v>
      </c>
      <c r="L196" s="5">
        <f t="shared" si="25"/>
        <v>464239.24269040802</v>
      </c>
      <c r="M196" s="5">
        <f t="shared" si="26"/>
        <v>132159.24269040802</v>
      </c>
      <c r="N196" s="5">
        <v>3320.8</v>
      </c>
      <c r="O196" s="5">
        <v>151096.4</v>
      </c>
      <c r="P196" s="2" t="s">
        <v>23</v>
      </c>
      <c r="Q196" s="5">
        <v>0</v>
      </c>
      <c r="R196" s="5">
        <f t="shared" si="27"/>
        <v>-15616.357309591986</v>
      </c>
      <c r="S196" s="2" t="s">
        <v>42</v>
      </c>
      <c r="T196" s="2" t="s">
        <v>97</v>
      </c>
    </row>
    <row r="197" spans="1:20" x14ac:dyDescent="0.3">
      <c r="A197" s="9" t="s">
        <v>433</v>
      </c>
      <c r="B197" s="9" t="s">
        <v>434</v>
      </c>
      <c r="C197" s="9" t="s">
        <v>67</v>
      </c>
      <c r="D197" s="10">
        <v>51300</v>
      </c>
      <c r="E197" s="11">
        <v>0</v>
      </c>
      <c r="F197" s="12">
        <f t="shared" si="21"/>
        <v>0</v>
      </c>
      <c r="G197" s="12">
        <f t="shared" si="22"/>
        <v>51300</v>
      </c>
      <c r="H197" s="13">
        <v>0.1699</v>
      </c>
      <c r="I197" s="14">
        <v>24</v>
      </c>
      <c r="J197" s="15">
        <f t="shared" si="23"/>
        <v>1.4158333333333334E-2</v>
      </c>
      <c r="K197" s="12">
        <f t="shared" si="24"/>
        <v>2536.1416595762425</v>
      </c>
      <c r="L197" s="12">
        <f t="shared" si="25"/>
        <v>60867.399829829825</v>
      </c>
      <c r="M197" s="12">
        <f t="shared" si="26"/>
        <v>9567.3998298298247</v>
      </c>
      <c r="N197" s="12">
        <v>513</v>
      </c>
      <c r="O197" s="12">
        <v>6669</v>
      </c>
      <c r="P197" s="9" t="s">
        <v>23</v>
      </c>
      <c r="Q197" s="12">
        <v>0</v>
      </c>
      <c r="R197" s="12">
        <f t="shared" si="27"/>
        <v>3411.3998298298247</v>
      </c>
      <c r="S197" s="9" t="s">
        <v>24</v>
      </c>
      <c r="T197" s="9" t="s">
        <v>38</v>
      </c>
    </row>
    <row r="198" spans="1:20" x14ac:dyDescent="0.3">
      <c r="A198" s="2" t="s">
        <v>435</v>
      </c>
      <c r="B198" s="2" t="s">
        <v>436</v>
      </c>
      <c r="C198" s="2" t="s">
        <v>67</v>
      </c>
      <c r="D198" s="3">
        <v>81600</v>
      </c>
      <c r="E198" s="4">
        <v>0.2</v>
      </c>
      <c r="F198" s="5">
        <f t="shared" si="21"/>
        <v>16320</v>
      </c>
      <c r="G198" s="5">
        <f t="shared" si="22"/>
        <v>65280</v>
      </c>
      <c r="H198" s="6">
        <v>0.14829999999999999</v>
      </c>
      <c r="I198" s="7">
        <v>18</v>
      </c>
      <c r="J198" s="8">
        <f t="shared" si="23"/>
        <v>1.2358333333333332E-2</v>
      </c>
      <c r="K198" s="5">
        <f t="shared" si="24"/>
        <v>4067.2579840844442</v>
      </c>
      <c r="L198" s="5">
        <f t="shared" si="25"/>
        <v>73210.643713519996</v>
      </c>
      <c r="M198" s="5">
        <f t="shared" si="26"/>
        <v>7930.6437135199958</v>
      </c>
      <c r="N198" s="5">
        <v>652.80000000000007</v>
      </c>
      <c r="O198" s="5">
        <v>6364.7999999999993</v>
      </c>
      <c r="P198" s="2" t="s">
        <v>23</v>
      </c>
      <c r="Q198" s="5">
        <v>0</v>
      </c>
      <c r="R198" s="5">
        <f t="shared" si="27"/>
        <v>2218.6437135199958</v>
      </c>
      <c r="S198" s="2" t="s">
        <v>30</v>
      </c>
      <c r="T198" s="2" t="s">
        <v>46</v>
      </c>
    </row>
    <row r="199" spans="1:20" x14ac:dyDescent="0.3">
      <c r="A199" s="9" t="s">
        <v>437</v>
      </c>
      <c r="B199" s="9" t="s">
        <v>438</v>
      </c>
      <c r="C199" s="9" t="s">
        <v>28</v>
      </c>
      <c r="D199" s="10">
        <v>67300</v>
      </c>
      <c r="E199" s="11">
        <v>0.15</v>
      </c>
      <c r="F199" s="12">
        <f t="shared" si="21"/>
        <v>10095</v>
      </c>
      <c r="G199" s="12">
        <f t="shared" si="22"/>
        <v>57205</v>
      </c>
      <c r="H199" s="13">
        <v>0.1714</v>
      </c>
      <c r="I199" s="14">
        <v>36</v>
      </c>
      <c r="J199" s="15">
        <f t="shared" si="23"/>
        <v>1.4283333333333334E-2</v>
      </c>
      <c r="K199" s="12">
        <f t="shared" si="24"/>
        <v>2043.502307519514</v>
      </c>
      <c r="L199" s="12">
        <f t="shared" si="25"/>
        <v>73566.083070702502</v>
      </c>
      <c r="M199" s="12">
        <f t="shared" si="26"/>
        <v>16361.083070702502</v>
      </c>
      <c r="N199" s="12">
        <v>572.05000000000007</v>
      </c>
      <c r="O199" s="12">
        <v>11154.975</v>
      </c>
      <c r="P199" s="9" t="s">
        <v>23</v>
      </c>
      <c r="Q199" s="12">
        <v>0</v>
      </c>
      <c r="R199" s="12">
        <f t="shared" si="27"/>
        <v>5778.1580707025005</v>
      </c>
      <c r="S199" s="9" t="s">
        <v>42</v>
      </c>
      <c r="T199" s="9" t="s">
        <v>49</v>
      </c>
    </row>
    <row r="200" spans="1:20" x14ac:dyDescent="0.3">
      <c r="A200" s="2" t="s">
        <v>439</v>
      </c>
      <c r="B200" s="2" t="s">
        <v>440</v>
      </c>
      <c r="C200" s="2" t="s">
        <v>67</v>
      </c>
      <c r="D200" s="3">
        <v>23100</v>
      </c>
      <c r="E200" s="4">
        <v>0</v>
      </c>
      <c r="F200" s="5">
        <f t="shared" si="21"/>
        <v>0</v>
      </c>
      <c r="G200" s="5">
        <f t="shared" si="22"/>
        <v>23100</v>
      </c>
      <c r="H200" s="6">
        <v>0.1973</v>
      </c>
      <c r="I200" s="7">
        <v>12</v>
      </c>
      <c r="J200" s="8">
        <f t="shared" si="23"/>
        <v>1.6441666666666667E-2</v>
      </c>
      <c r="K200" s="5">
        <f t="shared" si="24"/>
        <v>2136.8731982864456</v>
      </c>
      <c r="L200" s="5">
        <f t="shared" si="25"/>
        <v>25642.478379437347</v>
      </c>
      <c r="M200" s="5">
        <f t="shared" si="26"/>
        <v>2542.478379437347</v>
      </c>
      <c r="N200" s="5">
        <v>499</v>
      </c>
      <c r="O200" s="5">
        <v>1501.5</v>
      </c>
      <c r="P200" s="2" t="s">
        <v>37</v>
      </c>
      <c r="Q200" s="5">
        <v>0</v>
      </c>
      <c r="R200" s="5">
        <f t="shared" si="27"/>
        <v>1539.978379437347</v>
      </c>
      <c r="S200" s="2" t="s">
        <v>24</v>
      </c>
      <c r="T200" s="2" t="s">
        <v>55</v>
      </c>
    </row>
    <row r="201" spans="1:20" x14ac:dyDescent="0.3">
      <c r="A201" s="9" t="s">
        <v>441</v>
      </c>
      <c r="B201" s="9" t="s">
        <v>442</v>
      </c>
      <c r="C201" s="9" t="s">
        <v>41</v>
      </c>
      <c r="D201" s="10">
        <v>747200</v>
      </c>
      <c r="E201" s="11">
        <v>0.3</v>
      </c>
      <c r="F201" s="12">
        <f t="shared" si="21"/>
        <v>224160</v>
      </c>
      <c r="G201" s="12">
        <f t="shared" si="22"/>
        <v>523040</v>
      </c>
      <c r="H201" s="13">
        <v>9.4299999999999995E-2</v>
      </c>
      <c r="I201" s="14">
        <v>72</v>
      </c>
      <c r="J201" s="15">
        <f t="shared" si="23"/>
        <v>7.8583333333333335E-3</v>
      </c>
      <c r="K201" s="12">
        <f t="shared" si="24"/>
        <v>9540.0869994594086</v>
      </c>
      <c r="L201" s="12">
        <f t="shared" si="25"/>
        <v>686886.26396107743</v>
      </c>
      <c r="M201" s="12">
        <f t="shared" si="26"/>
        <v>163846.26396107743</v>
      </c>
      <c r="N201" s="12">
        <v>5230.4000000000005</v>
      </c>
      <c r="O201" s="12">
        <v>203985.59999999998</v>
      </c>
      <c r="P201" s="9" t="s">
        <v>23</v>
      </c>
      <c r="Q201" s="12">
        <v>0</v>
      </c>
      <c r="R201" s="12">
        <f t="shared" si="27"/>
        <v>-34908.936038922548</v>
      </c>
      <c r="S201" s="9" t="s">
        <v>24</v>
      </c>
      <c r="T201" s="9" t="s">
        <v>49</v>
      </c>
    </row>
    <row r="202" spans="1:20" x14ac:dyDescent="0.3">
      <c r="A202" s="2" t="s">
        <v>443</v>
      </c>
      <c r="B202" s="2" t="s">
        <v>444</v>
      </c>
      <c r="C202" s="2" t="s">
        <v>67</v>
      </c>
      <c r="D202" s="3">
        <v>48000</v>
      </c>
      <c r="E202" s="4">
        <v>0.05</v>
      </c>
      <c r="F202" s="5">
        <f t="shared" si="21"/>
        <v>2400</v>
      </c>
      <c r="G202" s="5">
        <f t="shared" si="22"/>
        <v>45600</v>
      </c>
      <c r="H202" s="6">
        <v>0.20250000000000001</v>
      </c>
      <c r="I202" s="7">
        <v>24</v>
      </c>
      <c r="J202" s="8">
        <f t="shared" si="23"/>
        <v>1.6875000000000001E-2</v>
      </c>
      <c r="K202" s="5">
        <f t="shared" si="24"/>
        <v>2326.4215007622261</v>
      </c>
      <c r="L202" s="5">
        <f t="shared" si="25"/>
        <v>55834.116018293425</v>
      </c>
      <c r="M202" s="5">
        <f t="shared" si="26"/>
        <v>10234.116018293425</v>
      </c>
      <c r="N202" s="5">
        <v>499</v>
      </c>
      <c r="O202" s="5">
        <v>5928</v>
      </c>
      <c r="P202" s="2" t="s">
        <v>37</v>
      </c>
      <c r="Q202" s="5">
        <v>0</v>
      </c>
      <c r="R202" s="5">
        <f t="shared" si="27"/>
        <v>4805.1160182934254</v>
      </c>
      <c r="S202" s="2" t="s">
        <v>58</v>
      </c>
      <c r="T202" s="2" t="s">
        <v>88</v>
      </c>
    </row>
    <row r="203" spans="1:20" x14ac:dyDescent="0.3">
      <c r="A203" s="9" t="s">
        <v>445</v>
      </c>
      <c r="B203" s="9" t="s">
        <v>446</v>
      </c>
      <c r="C203" s="9" t="s">
        <v>41</v>
      </c>
      <c r="D203" s="10">
        <v>1217600</v>
      </c>
      <c r="E203" s="11">
        <v>0.2</v>
      </c>
      <c r="F203" s="12">
        <f t="shared" si="21"/>
        <v>243520</v>
      </c>
      <c r="G203" s="12">
        <f t="shared" si="22"/>
        <v>974080</v>
      </c>
      <c r="H203" s="13">
        <v>0.1118</v>
      </c>
      <c r="I203" s="14">
        <v>72</v>
      </c>
      <c r="J203" s="15">
        <f t="shared" si="23"/>
        <v>9.3166666666666658E-3</v>
      </c>
      <c r="K203" s="12">
        <f t="shared" si="24"/>
        <v>18630.644215333563</v>
      </c>
      <c r="L203" s="12">
        <f t="shared" si="25"/>
        <v>1341406.3835040166</v>
      </c>
      <c r="M203" s="12">
        <f t="shared" si="26"/>
        <v>367326.38350401656</v>
      </c>
      <c r="N203" s="12">
        <v>9740.8000000000011</v>
      </c>
      <c r="O203" s="12">
        <v>379891.20000000001</v>
      </c>
      <c r="P203" s="9" t="s">
        <v>23</v>
      </c>
      <c r="Q203" s="12">
        <v>0</v>
      </c>
      <c r="R203" s="12">
        <f t="shared" si="27"/>
        <v>-2824.0164959834656</v>
      </c>
      <c r="S203" s="9" t="s">
        <v>42</v>
      </c>
      <c r="T203" s="9" t="s">
        <v>31</v>
      </c>
    </row>
    <row r="204" spans="1:20" x14ac:dyDescent="0.3">
      <c r="A204" s="2" t="s">
        <v>447</v>
      </c>
      <c r="B204" s="2" t="s">
        <v>448</v>
      </c>
      <c r="C204" s="2" t="s">
        <v>28</v>
      </c>
      <c r="D204" s="3">
        <v>140500</v>
      </c>
      <c r="E204" s="4">
        <v>0.15</v>
      </c>
      <c r="F204" s="5">
        <f t="shared" si="21"/>
        <v>21075</v>
      </c>
      <c r="G204" s="5">
        <f t="shared" si="22"/>
        <v>119425</v>
      </c>
      <c r="H204" s="6">
        <v>0.1615</v>
      </c>
      <c r="I204" s="7">
        <v>6</v>
      </c>
      <c r="J204" s="8">
        <f t="shared" si="23"/>
        <v>1.3458333333333334E-2</v>
      </c>
      <c r="K204" s="5">
        <f t="shared" si="24"/>
        <v>20852.179669229205</v>
      </c>
      <c r="L204" s="5">
        <f t="shared" si="25"/>
        <v>125113.07801537523</v>
      </c>
      <c r="M204" s="5">
        <f t="shared" si="26"/>
        <v>5688.0780153752276</v>
      </c>
      <c r="N204" s="5">
        <v>1194.25</v>
      </c>
      <c r="O204" s="5">
        <v>3881.3125</v>
      </c>
      <c r="P204" s="2" t="s">
        <v>37</v>
      </c>
      <c r="Q204" s="5">
        <v>0</v>
      </c>
      <c r="R204" s="5">
        <f t="shared" si="27"/>
        <v>3001.0155153752276</v>
      </c>
      <c r="S204" s="2" t="s">
        <v>30</v>
      </c>
      <c r="T204" s="2" t="s">
        <v>52</v>
      </c>
    </row>
    <row r="205" spans="1:20" x14ac:dyDescent="0.3">
      <c r="A205" s="9" t="s">
        <v>449</v>
      </c>
      <c r="B205" s="9" t="s">
        <v>450</v>
      </c>
      <c r="C205" s="9" t="s">
        <v>67</v>
      </c>
      <c r="D205" s="10">
        <v>19500</v>
      </c>
      <c r="E205" s="11">
        <v>0.05</v>
      </c>
      <c r="F205" s="12">
        <f t="shared" si="21"/>
        <v>975</v>
      </c>
      <c r="G205" s="12">
        <f t="shared" si="22"/>
        <v>18525</v>
      </c>
      <c r="H205" s="13">
        <v>0.16619999999999999</v>
      </c>
      <c r="I205" s="14">
        <v>9</v>
      </c>
      <c r="J205" s="15">
        <f t="shared" si="23"/>
        <v>1.3849999999999999E-2</v>
      </c>
      <c r="K205" s="12">
        <f t="shared" si="24"/>
        <v>2203.4864103127406</v>
      </c>
      <c r="L205" s="12">
        <f t="shared" si="25"/>
        <v>19831.377692814665</v>
      </c>
      <c r="M205" s="12">
        <f t="shared" si="26"/>
        <v>1306.3776928146654</v>
      </c>
      <c r="N205" s="12">
        <v>499</v>
      </c>
      <c r="O205" s="12">
        <v>903.09375</v>
      </c>
      <c r="P205" s="9" t="s">
        <v>23</v>
      </c>
      <c r="Q205" s="12">
        <v>0</v>
      </c>
      <c r="R205" s="12">
        <f t="shared" si="27"/>
        <v>902.28394281466535</v>
      </c>
      <c r="S205" s="9" t="s">
        <v>42</v>
      </c>
      <c r="T205" s="9" t="s">
        <v>34</v>
      </c>
    </row>
    <row r="206" spans="1:20" x14ac:dyDescent="0.3">
      <c r="A206" s="2" t="s">
        <v>451</v>
      </c>
      <c r="B206" s="2" t="s">
        <v>452</v>
      </c>
      <c r="C206" s="2" t="s">
        <v>22</v>
      </c>
      <c r="D206" s="3">
        <v>144400</v>
      </c>
      <c r="E206" s="4">
        <v>0.25</v>
      </c>
      <c r="F206" s="5">
        <f t="shared" si="21"/>
        <v>36100</v>
      </c>
      <c r="G206" s="5">
        <f t="shared" si="22"/>
        <v>108300</v>
      </c>
      <c r="H206" s="6">
        <v>0.10340000000000001</v>
      </c>
      <c r="I206" s="7">
        <v>36</v>
      </c>
      <c r="J206" s="8">
        <f t="shared" si="23"/>
        <v>8.6166666666666666E-3</v>
      </c>
      <c r="K206" s="5">
        <f t="shared" si="24"/>
        <v>3511.8495937851621</v>
      </c>
      <c r="L206" s="5">
        <f t="shared" si="25"/>
        <v>126426.58537626584</v>
      </c>
      <c r="M206" s="5">
        <f t="shared" si="26"/>
        <v>18126.585376265837</v>
      </c>
      <c r="N206" s="5">
        <v>1083</v>
      </c>
      <c r="O206" s="5">
        <v>21118.5</v>
      </c>
      <c r="P206" s="2" t="s">
        <v>23</v>
      </c>
      <c r="Q206" s="5">
        <v>0</v>
      </c>
      <c r="R206" s="5">
        <f t="shared" si="27"/>
        <v>-1908.9146237341629</v>
      </c>
      <c r="S206" s="2" t="s">
        <v>58</v>
      </c>
      <c r="T206" s="2" t="s">
        <v>49</v>
      </c>
    </row>
    <row r="207" spans="1:20" x14ac:dyDescent="0.3">
      <c r="A207" s="9" t="s">
        <v>453</v>
      </c>
      <c r="B207" s="9" t="s">
        <v>454</v>
      </c>
      <c r="C207" s="9" t="s">
        <v>41</v>
      </c>
      <c r="D207" s="10">
        <v>1442700</v>
      </c>
      <c r="E207" s="11">
        <v>0.2</v>
      </c>
      <c r="F207" s="12">
        <f t="shared" si="21"/>
        <v>288540</v>
      </c>
      <c r="G207" s="12">
        <f t="shared" si="22"/>
        <v>1154160</v>
      </c>
      <c r="H207" s="13">
        <v>8.7300000000000003E-2</v>
      </c>
      <c r="I207" s="14">
        <v>72</v>
      </c>
      <c r="J207" s="15">
        <f t="shared" si="23"/>
        <v>7.2750000000000002E-3</v>
      </c>
      <c r="K207" s="12">
        <f t="shared" si="24"/>
        <v>20650.029631995698</v>
      </c>
      <c r="L207" s="12">
        <f t="shared" si="25"/>
        <v>1486802.1335036904</v>
      </c>
      <c r="M207" s="12">
        <f t="shared" si="26"/>
        <v>332642.13350369036</v>
      </c>
      <c r="N207" s="12">
        <v>11541.6</v>
      </c>
      <c r="O207" s="12">
        <v>450122.4</v>
      </c>
      <c r="P207" s="9" t="s">
        <v>23</v>
      </c>
      <c r="Q207" s="12">
        <v>0</v>
      </c>
      <c r="R207" s="12">
        <f t="shared" si="27"/>
        <v>-105938.66649630968</v>
      </c>
      <c r="S207" s="9" t="s">
        <v>30</v>
      </c>
      <c r="T207" s="9" t="s">
        <v>46</v>
      </c>
    </row>
    <row r="208" spans="1:20" x14ac:dyDescent="0.3">
      <c r="A208" s="2" t="s">
        <v>455</v>
      </c>
      <c r="B208" s="2" t="s">
        <v>456</v>
      </c>
      <c r="C208" s="2" t="s">
        <v>67</v>
      </c>
      <c r="D208" s="3">
        <v>76000</v>
      </c>
      <c r="E208" s="4">
        <v>0</v>
      </c>
      <c r="F208" s="5">
        <f t="shared" si="21"/>
        <v>0</v>
      </c>
      <c r="G208" s="5">
        <f t="shared" si="22"/>
        <v>76000</v>
      </c>
      <c r="H208" s="6">
        <v>0.20250000000000001</v>
      </c>
      <c r="I208" s="7">
        <v>3</v>
      </c>
      <c r="J208" s="8">
        <f t="shared" si="23"/>
        <v>1.6875000000000001E-2</v>
      </c>
      <c r="K208" s="5">
        <f t="shared" si="24"/>
        <v>26193.102357467917</v>
      </c>
      <c r="L208" s="5">
        <f t="shared" si="25"/>
        <v>78579.307072403753</v>
      </c>
      <c r="M208" s="5">
        <f t="shared" si="26"/>
        <v>2579.3070724037534</v>
      </c>
      <c r="N208" s="5">
        <v>760</v>
      </c>
      <c r="O208" s="5">
        <v>1235</v>
      </c>
      <c r="P208" s="2" t="s">
        <v>29</v>
      </c>
      <c r="Q208" s="5">
        <v>30400</v>
      </c>
      <c r="R208" s="5">
        <f t="shared" si="27"/>
        <v>-28295.692927596247</v>
      </c>
      <c r="S208" s="2" t="s">
        <v>58</v>
      </c>
      <c r="T208" s="2" t="s">
        <v>38</v>
      </c>
    </row>
    <row r="209" spans="1:20" x14ac:dyDescent="0.3">
      <c r="A209" s="9" t="s">
        <v>457</v>
      </c>
      <c r="B209" s="9" t="s">
        <v>458</v>
      </c>
      <c r="C209" s="9" t="s">
        <v>28</v>
      </c>
      <c r="D209" s="10">
        <v>95900</v>
      </c>
      <c r="E209" s="11">
        <v>0.15</v>
      </c>
      <c r="F209" s="12">
        <f t="shared" si="21"/>
        <v>14385</v>
      </c>
      <c r="G209" s="12">
        <f t="shared" si="22"/>
        <v>81515</v>
      </c>
      <c r="H209" s="13">
        <v>0.16839999999999999</v>
      </c>
      <c r="I209" s="14">
        <v>36</v>
      </c>
      <c r="J209" s="15">
        <f t="shared" si="23"/>
        <v>1.4033333333333333E-2</v>
      </c>
      <c r="K209" s="12">
        <f t="shared" si="24"/>
        <v>2899.7452369378952</v>
      </c>
      <c r="L209" s="12">
        <f t="shared" si="25"/>
        <v>104390.82852976423</v>
      </c>
      <c r="M209" s="12">
        <f t="shared" si="26"/>
        <v>22875.828529764229</v>
      </c>
      <c r="N209" s="12">
        <v>815.15</v>
      </c>
      <c r="O209" s="12">
        <v>15895.425000000001</v>
      </c>
      <c r="P209" s="9" t="s">
        <v>23</v>
      </c>
      <c r="Q209" s="12">
        <v>0</v>
      </c>
      <c r="R209" s="12">
        <f t="shared" si="27"/>
        <v>7795.5535297642291</v>
      </c>
      <c r="S209" s="9" t="s">
        <v>58</v>
      </c>
      <c r="T209" s="9" t="s">
        <v>97</v>
      </c>
    </row>
    <row r="210" spans="1:20" x14ac:dyDescent="0.3">
      <c r="A210" s="2" t="s">
        <v>459</v>
      </c>
      <c r="B210" s="2" t="s">
        <v>460</v>
      </c>
      <c r="C210" s="2" t="s">
        <v>22</v>
      </c>
      <c r="D210" s="3">
        <v>197700</v>
      </c>
      <c r="E210" s="4">
        <v>0.15</v>
      </c>
      <c r="F210" s="5">
        <f t="shared" si="21"/>
        <v>29655</v>
      </c>
      <c r="G210" s="5">
        <f t="shared" si="22"/>
        <v>168045</v>
      </c>
      <c r="H210" s="6">
        <v>0.1424</v>
      </c>
      <c r="I210" s="7">
        <v>48</v>
      </c>
      <c r="J210" s="8">
        <f t="shared" si="23"/>
        <v>1.1866666666666666E-2</v>
      </c>
      <c r="K210" s="5">
        <f t="shared" si="24"/>
        <v>4612.3345243008389</v>
      </c>
      <c r="L210" s="5">
        <f t="shared" si="25"/>
        <v>221392.05716644027</v>
      </c>
      <c r="M210" s="5">
        <f t="shared" si="26"/>
        <v>53347.057166440267</v>
      </c>
      <c r="N210" s="5">
        <v>1680.45</v>
      </c>
      <c r="O210" s="5">
        <v>43691.700000000004</v>
      </c>
      <c r="P210" s="2" t="s">
        <v>23</v>
      </c>
      <c r="Q210" s="5">
        <v>0</v>
      </c>
      <c r="R210" s="5">
        <f t="shared" si="27"/>
        <v>11335.80716644026</v>
      </c>
      <c r="S210" s="2" t="s">
        <v>30</v>
      </c>
      <c r="T210" s="2" t="s">
        <v>43</v>
      </c>
    </row>
    <row r="211" spans="1:20" x14ac:dyDescent="0.3">
      <c r="A211" s="9" t="s">
        <v>461</v>
      </c>
      <c r="B211" s="9" t="s">
        <v>462</v>
      </c>
      <c r="C211" s="9" t="s">
        <v>67</v>
      </c>
      <c r="D211" s="10">
        <v>28800</v>
      </c>
      <c r="E211" s="11">
        <v>0</v>
      </c>
      <c r="F211" s="12">
        <f t="shared" si="21"/>
        <v>0</v>
      </c>
      <c r="G211" s="12">
        <f t="shared" si="22"/>
        <v>28800</v>
      </c>
      <c r="H211" s="13">
        <v>0.18140000000000001</v>
      </c>
      <c r="I211" s="14">
        <v>18</v>
      </c>
      <c r="J211" s="15">
        <f t="shared" si="23"/>
        <v>1.5116666666666667E-2</v>
      </c>
      <c r="K211" s="12">
        <f t="shared" si="24"/>
        <v>1839.5291207619957</v>
      </c>
      <c r="L211" s="12">
        <f t="shared" si="25"/>
        <v>33111.524173715923</v>
      </c>
      <c r="M211" s="12">
        <f t="shared" si="26"/>
        <v>4311.5241737159231</v>
      </c>
      <c r="N211" s="12">
        <v>499</v>
      </c>
      <c r="O211" s="12">
        <v>2808</v>
      </c>
      <c r="P211" s="9" t="s">
        <v>37</v>
      </c>
      <c r="Q211" s="12">
        <v>0</v>
      </c>
      <c r="R211" s="12">
        <f t="shared" si="27"/>
        <v>2002.5241737159231</v>
      </c>
      <c r="S211" s="9" t="s">
        <v>58</v>
      </c>
      <c r="T211" s="9" t="s">
        <v>31</v>
      </c>
    </row>
    <row r="212" spans="1:20" x14ac:dyDescent="0.3">
      <c r="A212" s="2" t="s">
        <v>463</v>
      </c>
      <c r="B212" s="2" t="s">
        <v>464</v>
      </c>
      <c r="C212" s="2" t="s">
        <v>28</v>
      </c>
      <c r="D212" s="3">
        <v>149500</v>
      </c>
      <c r="E212" s="4">
        <v>0.05</v>
      </c>
      <c r="F212" s="5">
        <f t="shared" si="21"/>
        <v>7475</v>
      </c>
      <c r="G212" s="5">
        <f t="shared" si="22"/>
        <v>142025</v>
      </c>
      <c r="H212" s="6">
        <v>0.14280000000000001</v>
      </c>
      <c r="I212" s="7">
        <v>18</v>
      </c>
      <c r="J212" s="8">
        <f t="shared" si="23"/>
        <v>1.1900000000000001E-2</v>
      </c>
      <c r="K212" s="5">
        <f t="shared" si="24"/>
        <v>8812.1486304855371</v>
      </c>
      <c r="L212" s="5">
        <f t="shared" si="25"/>
        <v>158618.67534873966</v>
      </c>
      <c r="M212" s="5">
        <f t="shared" si="26"/>
        <v>16593.675348739664</v>
      </c>
      <c r="N212" s="5">
        <v>1420.25</v>
      </c>
      <c r="O212" s="5">
        <v>13847.4375</v>
      </c>
      <c r="P212" s="2" t="s">
        <v>37</v>
      </c>
      <c r="Q212" s="5">
        <v>0</v>
      </c>
      <c r="R212" s="5">
        <f t="shared" si="27"/>
        <v>4166.4878487396636</v>
      </c>
      <c r="S212" s="2" t="s">
        <v>24</v>
      </c>
      <c r="T212" s="2" t="s">
        <v>97</v>
      </c>
    </row>
    <row r="213" spans="1:20" x14ac:dyDescent="0.3">
      <c r="A213" s="9" t="s">
        <v>465</v>
      </c>
      <c r="B213" s="9" t="s">
        <v>466</v>
      </c>
      <c r="C213" s="9" t="s">
        <v>67</v>
      </c>
      <c r="D213" s="10">
        <v>87900</v>
      </c>
      <c r="E213" s="11">
        <v>0.05</v>
      </c>
      <c r="F213" s="12">
        <f t="shared" si="21"/>
        <v>4395</v>
      </c>
      <c r="G213" s="12">
        <f t="shared" si="22"/>
        <v>83505</v>
      </c>
      <c r="H213" s="13">
        <v>0.2198</v>
      </c>
      <c r="I213" s="14">
        <v>24</v>
      </c>
      <c r="J213" s="15">
        <f t="shared" si="23"/>
        <v>1.8316666666666665E-2</v>
      </c>
      <c r="K213" s="12">
        <f t="shared" si="24"/>
        <v>4331.260604550811</v>
      </c>
      <c r="L213" s="12">
        <f t="shared" si="25"/>
        <v>103950.25450921946</v>
      </c>
      <c r="M213" s="12">
        <f t="shared" si="26"/>
        <v>20445.254509219463</v>
      </c>
      <c r="N213" s="12">
        <v>835.05000000000007</v>
      </c>
      <c r="O213" s="12">
        <v>10855.65</v>
      </c>
      <c r="P213" s="9" t="s">
        <v>23</v>
      </c>
      <c r="Q213" s="12">
        <v>0</v>
      </c>
      <c r="R213" s="12">
        <f t="shared" si="27"/>
        <v>10424.654509219463</v>
      </c>
      <c r="S213" s="9" t="s">
        <v>24</v>
      </c>
      <c r="T213" s="9" t="s">
        <v>52</v>
      </c>
    </row>
    <row r="214" spans="1:20" x14ac:dyDescent="0.3">
      <c r="A214" s="2" t="s">
        <v>467</v>
      </c>
      <c r="B214" s="2" t="s">
        <v>468</v>
      </c>
      <c r="C214" s="2" t="s">
        <v>28</v>
      </c>
      <c r="D214" s="3">
        <v>136400</v>
      </c>
      <c r="E214" s="4">
        <v>0.05</v>
      </c>
      <c r="F214" s="5">
        <f t="shared" si="21"/>
        <v>6820</v>
      </c>
      <c r="G214" s="5">
        <f t="shared" si="22"/>
        <v>129580</v>
      </c>
      <c r="H214" s="6">
        <v>0.18809999999999999</v>
      </c>
      <c r="I214" s="7">
        <v>36</v>
      </c>
      <c r="J214" s="8">
        <f t="shared" si="23"/>
        <v>1.5674999999999998E-2</v>
      </c>
      <c r="K214" s="5">
        <f t="shared" si="24"/>
        <v>4737.4483932974363</v>
      </c>
      <c r="L214" s="5">
        <f t="shared" si="25"/>
        <v>170548.14215870772</v>
      </c>
      <c r="M214" s="5">
        <f t="shared" si="26"/>
        <v>40968.14215870772</v>
      </c>
      <c r="N214" s="5">
        <v>1295.8</v>
      </c>
      <c r="O214" s="5">
        <v>25268.100000000002</v>
      </c>
      <c r="P214" s="2" t="s">
        <v>23</v>
      </c>
      <c r="Q214" s="5">
        <v>0</v>
      </c>
      <c r="R214" s="5">
        <f t="shared" si="27"/>
        <v>16995.842158707721</v>
      </c>
      <c r="S214" s="2" t="s">
        <v>30</v>
      </c>
      <c r="T214" s="2" t="s">
        <v>43</v>
      </c>
    </row>
    <row r="215" spans="1:20" x14ac:dyDescent="0.3">
      <c r="A215" s="9" t="s">
        <v>469</v>
      </c>
      <c r="B215" s="9" t="s">
        <v>470</v>
      </c>
      <c r="C215" s="9" t="s">
        <v>41</v>
      </c>
      <c r="D215" s="10">
        <v>1271300</v>
      </c>
      <c r="E215" s="11">
        <v>0.1</v>
      </c>
      <c r="F215" s="12">
        <f t="shared" si="21"/>
        <v>127130</v>
      </c>
      <c r="G215" s="12">
        <f t="shared" si="22"/>
        <v>1144170</v>
      </c>
      <c r="H215" s="13">
        <v>9.2100000000000001E-2</v>
      </c>
      <c r="I215" s="14">
        <v>72</v>
      </c>
      <c r="J215" s="15">
        <f t="shared" si="23"/>
        <v>7.6750000000000004E-3</v>
      </c>
      <c r="K215" s="12">
        <f t="shared" si="24"/>
        <v>20743.731627396701</v>
      </c>
      <c r="L215" s="12">
        <f t="shared" si="25"/>
        <v>1493548.6771725626</v>
      </c>
      <c r="M215" s="12">
        <f t="shared" si="26"/>
        <v>349378.67717256257</v>
      </c>
      <c r="N215" s="12">
        <v>11441.7</v>
      </c>
      <c r="O215" s="12">
        <v>446226.30000000005</v>
      </c>
      <c r="P215" s="9" t="s">
        <v>23</v>
      </c>
      <c r="Q215" s="12">
        <v>0</v>
      </c>
      <c r="R215" s="12">
        <f t="shared" si="27"/>
        <v>-85405.922827437462</v>
      </c>
      <c r="S215" s="9" t="s">
        <v>58</v>
      </c>
      <c r="T215" s="9" t="s">
        <v>97</v>
      </c>
    </row>
    <row r="216" spans="1:20" x14ac:dyDescent="0.3">
      <c r="A216" s="2" t="s">
        <v>471</v>
      </c>
      <c r="B216" s="2" t="s">
        <v>472</v>
      </c>
      <c r="C216" s="2" t="s">
        <v>41</v>
      </c>
      <c r="D216" s="3">
        <v>1006800</v>
      </c>
      <c r="E216" s="4">
        <v>0.1</v>
      </c>
      <c r="F216" s="5">
        <f t="shared" si="21"/>
        <v>100680</v>
      </c>
      <c r="G216" s="5">
        <f t="shared" si="22"/>
        <v>906120</v>
      </c>
      <c r="H216" s="6">
        <v>0.10340000000000001</v>
      </c>
      <c r="I216" s="7">
        <v>36</v>
      </c>
      <c r="J216" s="8">
        <f t="shared" si="23"/>
        <v>8.6166666666666666E-3</v>
      </c>
      <c r="K216" s="5">
        <f t="shared" si="24"/>
        <v>29382.799205176463</v>
      </c>
      <c r="L216" s="5">
        <f t="shared" si="25"/>
        <v>1057780.7713863526</v>
      </c>
      <c r="M216" s="5">
        <f t="shared" si="26"/>
        <v>151660.7713863526</v>
      </c>
      <c r="N216" s="5">
        <v>9061.2000000000007</v>
      </c>
      <c r="O216" s="5">
        <v>176693.40000000002</v>
      </c>
      <c r="P216" s="2" t="s">
        <v>23</v>
      </c>
      <c r="Q216" s="5">
        <v>0</v>
      </c>
      <c r="R216" s="5">
        <f t="shared" si="27"/>
        <v>-15971.428613647411</v>
      </c>
      <c r="S216" s="2" t="s">
        <v>42</v>
      </c>
      <c r="T216" s="2" t="s">
        <v>52</v>
      </c>
    </row>
    <row r="217" spans="1:20" x14ac:dyDescent="0.3">
      <c r="A217" s="9" t="s">
        <v>473</v>
      </c>
      <c r="B217" s="9" t="s">
        <v>474</v>
      </c>
      <c r="C217" s="9" t="s">
        <v>28</v>
      </c>
      <c r="D217" s="10">
        <v>76200</v>
      </c>
      <c r="E217" s="11">
        <v>0.1</v>
      </c>
      <c r="F217" s="12">
        <f t="shared" si="21"/>
        <v>7620</v>
      </c>
      <c r="G217" s="12">
        <f t="shared" si="22"/>
        <v>68580</v>
      </c>
      <c r="H217" s="13">
        <v>0.16600000000000001</v>
      </c>
      <c r="I217" s="14">
        <v>9</v>
      </c>
      <c r="J217" s="15">
        <f t="shared" si="23"/>
        <v>1.3833333333333335E-2</v>
      </c>
      <c r="K217" s="12">
        <f t="shared" si="24"/>
        <v>8156.7020307293797</v>
      </c>
      <c r="L217" s="12">
        <f t="shared" si="25"/>
        <v>73410.318276564416</v>
      </c>
      <c r="M217" s="12">
        <f t="shared" si="26"/>
        <v>4830.318276564416</v>
      </c>
      <c r="N217" s="12">
        <v>685.80000000000007</v>
      </c>
      <c r="O217" s="12">
        <v>3343.2749999999996</v>
      </c>
      <c r="P217" s="9" t="s">
        <v>23</v>
      </c>
      <c r="Q217" s="12">
        <v>0</v>
      </c>
      <c r="R217" s="12">
        <f t="shared" si="27"/>
        <v>2172.8432765644166</v>
      </c>
      <c r="S217" s="9" t="s">
        <v>42</v>
      </c>
      <c r="T217" s="9" t="s">
        <v>97</v>
      </c>
    </row>
    <row r="218" spans="1:20" x14ac:dyDescent="0.3">
      <c r="A218" s="2" t="s">
        <v>475</v>
      </c>
      <c r="B218" s="2" t="s">
        <v>476</v>
      </c>
      <c r="C218" s="2" t="s">
        <v>22</v>
      </c>
      <c r="D218" s="3">
        <v>142700</v>
      </c>
      <c r="E218" s="4">
        <v>0.25</v>
      </c>
      <c r="F218" s="5">
        <f t="shared" si="21"/>
        <v>35675</v>
      </c>
      <c r="G218" s="5">
        <f t="shared" si="22"/>
        <v>107025</v>
      </c>
      <c r="H218" s="6">
        <v>0.17019999999999999</v>
      </c>
      <c r="I218" s="7">
        <v>60</v>
      </c>
      <c r="J218" s="8">
        <f t="shared" si="23"/>
        <v>1.4183333333333333E-2</v>
      </c>
      <c r="K218" s="5">
        <f t="shared" si="24"/>
        <v>2660.997993440471</v>
      </c>
      <c r="L218" s="5">
        <f t="shared" si="25"/>
        <v>159659.87960642827</v>
      </c>
      <c r="M218" s="5">
        <f t="shared" si="26"/>
        <v>52634.879606428265</v>
      </c>
      <c r="N218" s="5">
        <v>1070.25</v>
      </c>
      <c r="O218" s="5">
        <v>34783.125</v>
      </c>
      <c r="P218" s="2" t="s">
        <v>37</v>
      </c>
      <c r="Q218" s="5">
        <v>0</v>
      </c>
      <c r="R218" s="5">
        <f t="shared" si="27"/>
        <v>18922.004606428265</v>
      </c>
      <c r="S218" s="2" t="s">
        <v>30</v>
      </c>
      <c r="T218" s="2" t="s">
        <v>88</v>
      </c>
    </row>
    <row r="219" spans="1:20" x14ac:dyDescent="0.3">
      <c r="A219" s="9" t="s">
        <v>477</v>
      </c>
      <c r="B219" s="9" t="s">
        <v>478</v>
      </c>
      <c r="C219" s="9" t="s">
        <v>28</v>
      </c>
      <c r="D219" s="10">
        <v>133500</v>
      </c>
      <c r="E219" s="11">
        <v>0.05</v>
      </c>
      <c r="F219" s="12">
        <f t="shared" si="21"/>
        <v>6675</v>
      </c>
      <c r="G219" s="12">
        <f t="shared" si="22"/>
        <v>126825</v>
      </c>
      <c r="H219" s="13">
        <v>0.1865</v>
      </c>
      <c r="I219" s="14">
        <v>24</v>
      </c>
      <c r="J219" s="15">
        <f t="shared" si="23"/>
        <v>1.5541666666666667E-2</v>
      </c>
      <c r="K219" s="12">
        <f t="shared" si="24"/>
        <v>6371.5272831594702</v>
      </c>
      <c r="L219" s="12">
        <f t="shared" si="25"/>
        <v>152916.65479582729</v>
      </c>
      <c r="M219" s="12">
        <f t="shared" si="26"/>
        <v>26091.654795827286</v>
      </c>
      <c r="N219" s="12">
        <v>1268.25</v>
      </c>
      <c r="O219" s="12">
        <v>16487.25</v>
      </c>
      <c r="P219" s="9" t="s">
        <v>37</v>
      </c>
      <c r="Q219" s="12">
        <v>0</v>
      </c>
      <c r="R219" s="12">
        <f t="shared" si="27"/>
        <v>10872.654795827286</v>
      </c>
      <c r="S219" s="9" t="s">
        <v>30</v>
      </c>
      <c r="T219" s="9" t="s">
        <v>38</v>
      </c>
    </row>
    <row r="220" spans="1:20" x14ac:dyDescent="0.3">
      <c r="A220" s="2" t="s">
        <v>479</v>
      </c>
      <c r="B220" s="2" t="s">
        <v>480</v>
      </c>
      <c r="C220" s="2" t="s">
        <v>41</v>
      </c>
      <c r="D220" s="3">
        <v>648000</v>
      </c>
      <c r="E220" s="4">
        <v>0.2</v>
      </c>
      <c r="F220" s="5">
        <f t="shared" si="21"/>
        <v>129600</v>
      </c>
      <c r="G220" s="5">
        <f t="shared" si="22"/>
        <v>518400</v>
      </c>
      <c r="H220" s="6">
        <v>0.1134</v>
      </c>
      <c r="I220" s="7">
        <v>84</v>
      </c>
      <c r="J220" s="8">
        <f t="shared" si="23"/>
        <v>9.4500000000000001E-3</v>
      </c>
      <c r="K220" s="5">
        <f t="shared" si="24"/>
        <v>8969.2157037329616</v>
      </c>
      <c r="L220" s="5">
        <f t="shared" si="25"/>
        <v>753414.1191135688</v>
      </c>
      <c r="M220" s="5">
        <f t="shared" si="26"/>
        <v>235014.1191135688</v>
      </c>
      <c r="N220" s="5">
        <v>5184</v>
      </c>
      <c r="O220" s="5">
        <v>235872</v>
      </c>
      <c r="P220" s="2" t="s">
        <v>23</v>
      </c>
      <c r="Q220" s="5">
        <v>0</v>
      </c>
      <c r="R220" s="5">
        <f t="shared" si="27"/>
        <v>4326.1191135687986</v>
      </c>
      <c r="S220" s="2" t="s">
        <v>58</v>
      </c>
      <c r="T220" s="2" t="s">
        <v>55</v>
      </c>
    </row>
    <row r="221" spans="1:20" x14ac:dyDescent="0.3">
      <c r="A221" s="9" t="s">
        <v>481</v>
      </c>
      <c r="B221" s="9" t="s">
        <v>482</v>
      </c>
      <c r="C221" s="9" t="s">
        <v>22</v>
      </c>
      <c r="D221" s="10">
        <v>192200</v>
      </c>
      <c r="E221" s="11">
        <v>0.25</v>
      </c>
      <c r="F221" s="12">
        <f t="shared" si="21"/>
        <v>48050</v>
      </c>
      <c r="G221" s="12">
        <f t="shared" si="22"/>
        <v>144150</v>
      </c>
      <c r="H221" s="13">
        <v>0.11</v>
      </c>
      <c r="I221" s="14">
        <v>36</v>
      </c>
      <c r="J221" s="15">
        <f t="shared" si="23"/>
        <v>9.1666666666666667E-3</v>
      </c>
      <c r="K221" s="12">
        <f t="shared" si="24"/>
        <v>4719.2860724158445</v>
      </c>
      <c r="L221" s="12">
        <f t="shared" si="25"/>
        <v>169894.29860697041</v>
      </c>
      <c r="M221" s="12">
        <f t="shared" si="26"/>
        <v>25744.298606970406</v>
      </c>
      <c r="N221" s="12">
        <v>1441.5</v>
      </c>
      <c r="O221" s="12">
        <v>28109.25</v>
      </c>
      <c r="P221" s="9" t="s">
        <v>23</v>
      </c>
      <c r="Q221" s="12">
        <v>0</v>
      </c>
      <c r="R221" s="12">
        <f t="shared" si="27"/>
        <v>-923.45139302959433</v>
      </c>
      <c r="S221" s="9" t="s">
        <v>30</v>
      </c>
      <c r="T221" s="9" t="s">
        <v>25</v>
      </c>
    </row>
    <row r="222" spans="1:20" x14ac:dyDescent="0.3">
      <c r="A222" s="2" t="s">
        <v>483</v>
      </c>
      <c r="B222" s="2" t="s">
        <v>484</v>
      </c>
      <c r="C222" s="2" t="s">
        <v>41</v>
      </c>
      <c r="D222" s="3">
        <v>569600</v>
      </c>
      <c r="E222" s="4">
        <v>0.2</v>
      </c>
      <c r="F222" s="5">
        <f t="shared" si="21"/>
        <v>113920</v>
      </c>
      <c r="G222" s="5">
        <f t="shared" si="22"/>
        <v>455680</v>
      </c>
      <c r="H222" s="6">
        <v>0.1048</v>
      </c>
      <c r="I222" s="7">
        <v>84</v>
      </c>
      <c r="J222" s="8">
        <f t="shared" si="23"/>
        <v>8.7333333333333343E-3</v>
      </c>
      <c r="K222" s="5">
        <f t="shared" si="24"/>
        <v>7678.3218445633138</v>
      </c>
      <c r="L222" s="5">
        <f t="shared" si="25"/>
        <v>644979.03494331834</v>
      </c>
      <c r="M222" s="5">
        <f t="shared" si="26"/>
        <v>189299.03494331834</v>
      </c>
      <c r="N222" s="5">
        <v>4556.8</v>
      </c>
      <c r="O222" s="5">
        <v>207334.39999999999</v>
      </c>
      <c r="P222" s="2" t="s">
        <v>23</v>
      </c>
      <c r="Q222" s="5">
        <v>0</v>
      </c>
      <c r="R222" s="5">
        <f t="shared" si="27"/>
        <v>-13478.565056681662</v>
      </c>
      <c r="S222" s="2" t="s">
        <v>24</v>
      </c>
      <c r="T222" s="2" t="s">
        <v>46</v>
      </c>
    </row>
    <row r="223" spans="1:20" x14ac:dyDescent="0.3">
      <c r="A223" s="9" t="s">
        <v>485</v>
      </c>
      <c r="B223" s="9" t="s">
        <v>486</v>
      </c>
      <c r="C223" s="9" t="s">
        <v>67</v>
      </c>
      <c r="D223" s="10">
        <v>114200</v>
      </c>
      <c r="E223" s="11">
        <v>0.2</v>
      </c>
      <c r="F223" s="12">
        <f t="shared" si="21"/>
        <v>22840</v>
      </c>
      <c r="G223" s="12">
        <f t="shared" si="22"/>
        <v>91360</v>
      </c>
      <c r="H223" s="13">
        <v>0.20169999999999999</v>
      </c>
      <c r="I223" s="14">
        <v>9</v>
      </c>
      <c r="J223" s="15">
        <f t="shared" si="23"/>
        <v>1.6808333333333331E-2</v>
      </c>
      <c r="K223" s="12">
        <f t="shared" si="24"/>
        <v>11023.180592226932</v>
      </c>
      <c r="L223" s="12">
        <f t="shared" si="25"/>
        <v>99208.625330042385</v>
      </c>
      <c r="M223" s="12">
        <f t="shared" si="26"/>
        <v>7848.625330042385</v>
      </c>
      <c r="N223" s="12">
        <v>913.6</v>
      </c>
      <c r="O223" s="12">
        <v>4453.8</v>
      </c>
      <c r="P223" s="9" t="s">
        <v>37</v>
      </c>
      <c r="Q223" s="12">
        <v>0</v>
      </c>
      <c r="R223" s="12">
        <f t="shared" si="27"/>
        <v>4308.4253300423852</v>
      </c>
      <c r="S223" s="9" t="s">
        <v>42</v>
      </c>
      <c r="T223" s="9" t="s">
        <v>25</v>
      </c>
    </row>
    <row r="224" spans="1:20" x14ac:dyDescent="0.3">
      <c r="A224" s="2" t="s">
        <v>487</v>
      </c>
      <c r="B224" s="2" t="s">
        <v>488</v>
      </c>
      <c r="C224" s="2" t="s">
        <v>22</v>
      </c>
      <c r="D224" s="3">
        <v>179500</v>
      </c>
      <c r="E224" s="4">
        <v>0.15</v>
      </c>
      <c r="F224" s="5">
        <f t="shared" si="21"/>
        <v>26925</v>
      </c>
      <c r="G224" s="5">
        <f t="shared" si="22"/>
        <v>152575</v>
      </c>
      <c r="H224" s="6">
        <v>0.1502</v>
      </c>
      <c r="I224" s="7">
        <v>36</v>
      </c>
      <c r="J224" s="8">
        <f t="shared" si="23"/>
        <v>1.2516666666666667E-2</v>
      </c>
      <c r="K224" s="5">
        <f t="shared" si="24"/>
        <v>5290.5569512068523</v>
      </c>
      <c r="L224" s="5">
        <f t="shared" si="25"/>
        <v>190460.05024344669</v>
      </c>
      <c r="M224" s="5">
        <f t="shared" si="26"/>
        <v>37885.050243446691</v>
      </c>
      <c r="N224" s="5">
        <v>1525.75</v>
      </c>
      <c r="O224" s="5">
        <v>29752.125</v>
      </c>
      <c r="P224" s="2" t="s">
        <v>23</v>
      </c>
      <c r="Q224" s="5">
        <v>0</v>
      </c>
      <c r="R224" s="5">
        <f t="shared" si="27"/>
        <v>9658.6752434466907</v>
      </c>
      <c r="S224" s="2" t="s">
        <v>42</v>
      </c>
      <c r="T224" s="2" t="s">
        <v>184</v>
      </c>
    </row>
    <row r="225" spans="1:20" x14ac:dyDescent="0.3">
      <c r="A225" s="9" t="s">
        <v>489</v>
      </c>
      <c r="B225" s="9" t="s">
        <v>490</v>
      </c>
      <c r="C225" s="9" t="s">
        <v>28</v>
      </c>
      <c r="D225" s="10">
        <v>111100</v>
      </c>
      <c r="E225" s="11">
        <v>0.15</v>
      </c>
      <c r="F225" s="12">
        <f t="shared" si="21"/>
        <v>16665</v>
      </c>
      <c r="G225" s="12">
        <f t="shared" si="22"/>
        <v>94435</v>
      </c>
      <c r="H225" s="13">
        <v>0.1326</v>
      </c>
      <c r="I225" s="14">
        <v>18</v>
      </c>
      <c r="J225" s="15">
        <f t="shared" si="23"/>
        <v>1.1049999999999999E-2</v>
      </c>
      <c r="K225" s="12">
        <f t="shared" si="24"/>
        <v>5814.2655265689646</v>
      </c>
      <c r="L225" s="12">
        <f t="shared" si="25"/>
        <v>104656.77947824137</v>
      </c>
      <c r="M225" s="12">
        <f t="shared" si="26"/>
        <v>10221.779478241369</v>
      </c>
      <c r="N225" s="12">
        <v>944.35</v>
      </c>
      <c r="O225" s="12">
        <v>9207.4125000000004</v>
      </c>
      <c r="P225" s="9" t="s">
        <v>23</v>
      </c>
      <c r="Q225" s="12">
        <v>0</v>
      </c>
      <c r="R225" s="12">
        <f t="shared" si="27"/>
        <v>1958.7169782413694</v>
      </c>
      <c r="S225" s="9" t="s">
        <v>58</v>
      </c>
      <c r="T225" s="9" t="s">
        <v>25</v>
      </c>
    </row>
    <row r="226" spans="1:20" x14ac:dyDescent="0.3">
      <c r="A226" s="2" t="s">
        <v>491</v>
      </c>
      <c r="B226" s="2" t="s">
        <v>492</v>
      </c>
      <c r="C226" s="2" t="s">
        <v>67</v>
      </c>
      <c r="D226" s="3">
        <v>104500</v>
      </c>
      <c r="E226" s="4">
        <v>0.1</v>
      </c>
      <c r="F226" s="5">
        <f t="shared" si="21"/>
        <v>10450</v>
      </c>
      <c r="G226" s="5">
        <f t="shared" si="22"/>
        <v>94050</v>
      </c>
      <c r="H226" s="6">
        <v>0.16550000000000001</v>
      </c>
      <c r="I226" s="7">
        <v>9</v>
      </c>
      <c r="J226" s="8">
        <f t="shared" si="23"/>
        <v>1.3791666666666667E-2</v>
      </c>
      <c r="K226" s="5">
        <f t="shared" si="24"/>
        <v>11183.771964280479</v>
      </c>
      <c r="L226" s="5">
        <f t="shared" si="25"/>
        <v>100653.9476785243</v>
      </c>
      <c r="M226" s="5">
        <f t="shared" si="26"/>
        <v>6603.9476785243023</v>
      </c>
      <c r="N226" s="5">
        <v>940.5</v>
      </c>
      <c r="O226" s="5">
        <v>4584.9375</v>
      </c>
      <c r="P226" s="2" t="s">
        <v>37</v>
      </c>
      <c r="Q226" s="5">
        <v>0</v>
      </c>
      <c r="R226" s="5">
        <f t="shared" si="27"/>
        <v>2959.5101785243023</v>
      </c>
      <c r="S226" s="2" t="s">
        <v>58</v>
      </c>
      <c r="T226" s="2" t="s">
        <v>52</v>
      </c>
    </row>
    <row r="227" spans="1:20" x14ac:dyDescent="0.3">
      <c r="A227" s="9" t="s">
        <v>493</v>
      </c>
      <c r="B227" s="9" t="s">
        <v>494</v>
      </c>
      <c r="C227" s="9" t="s">
        <v>22</v>
      </c>
      <c r="D227" s="10">
        <v>136600</v>
      </c>
      <c r="E227" s="11">
        <v>0.2</v>
      </c>
      <c r="F227" s="12">
        <f t="shared" si="21"/>
        <v>27320</v>
      </c>
      <c r="G227" s="12">
        <f t="shared" si="22"/>
        <v>109280</v>
      </c>
      <c r="H227" s="13">
        <v>0.13730000000000001</v>
      </c>
      <c r="I227" s="14">
        <v>36</v>
      </c>
      <c r="J227" s="15">
        <f t="shared" si="23"/>
        <v>1.1441666666666668E-2</v>
      </c>
      <c r="K227" s="12">
        <f t="shared" si="24"/>
        <v>3720.6168056571596</v>
      </c>
      <c r="L227" s="12">
        <f t="shared" si="25"/>
        <v>133942.20500365776</v>
      </c>
      <c r="M227" s="12">
        <f t="shared" si="26"/>
        <v>24662.205003657757</v>
      </c>
      <c r="N227" s="12">
        <v>1092.8</v>
      </c>
      <c r="O227" s="12">
        <v>21309.599999999999</v>
      </c>
      <c r="P227" s="9" t="s">
        <v>37</v>
      </c>
      <c r="Q227" s="12">
        <v>0</v>
      </c>
      <c r="R227" s="12">
        <f t="shared" si="27"/>
        <v>4445.4050036577573</v>
      </c>
      <c r="S227" s="9" t="s">
        <v>24</v>
      </c>
      <c r="T227" s="9" t="s">
        <v>46</v>
      </c>
    </row>
    <row r="228" spans="1:20" x14ac:dyDescent="0.3">
      <c r="A228" s="2" t="s">
        <v>495</v>
      </c>
      <c r="B228" s="2" t="s">
        <v>496</v>
      </c>
      <c r="C228" s="2" t="s">
        <v>67</v>
      </c>
      <c r="D228" s="3">
        <v>51000</v>
      </c>
      <c r="E228" s="4">
        <v>0</v>
      </c>
      <c r="F228" s="5">
        <f t="shared" si="21"/>
        <v>0</v>
      </c>
      <c r="G228" s="5">
        <f t="shared" si="22"/>
        <v>51000</v>
      </c>
      <c r="H228" s="6">
        <v>0.18920000000000001</v>
      </c>
      <c r="I228" s="7">
        <v>6</v>
      </c>
      <c r="J228" s="8">
        <f t="shared" si="23"/>
        <v>1.5766666666666668E-2</v>
      </c>
      <c r="K228" s="5">
        <f t="shared" si="24"/>
        <v>8975.1722365165169</v>
      </c>
      <c r="L228" s="5">
        <f t="shared" si="25"/>
        <v>53851.033419099098</v>
      </c>
      <c r="M228" s="5">
        <f t="shared" si="26"/>
        <v>2851.033419099098</v>
      </c>
      <c r="N228" s="5">
        <v>510</v>
      </c>
      <c r="O228" s="5">
        <v>1657.5</v>
      </c>
      <c r="P228" s="2" t="s">
        <v>23</v>
      </c>
      <c r="Q228" s="5">
        <v>0</v>
      </c>
      <c r="R228" s="5">
        <f t="shared" si="27"/>
        <v>1703.533419099098</v>
      </c>
      <c r="S228" s="2" t="s">
        <v>58</v>
      </c>
      <c r="T228" s="2" t="s">
        <v>55</v>
      </c>
    </row>
    <row r="229" spans="1:20" x14ac:dyDescent="0.3">
      <c r="A229" s="9" t="s">
        <v>497</v>
      </c>
      <c r="B229" s="9" t="s">
        <v>498</v>
      </c>
      <c r="C229" s="9" t="s">
        <v>22</v>
      </c>
      <c r="D229" s="10">
        <v>179600</v>
      </c>
      <c r="E229" s="11">
        <v>0.15</v>
      </c>
      <c r="F229" s="12">
        <f t="shared" si="21"/>
        <v>26940</v>
      </c>
      <c r="G229" s="12">
        <f t="shared" si="22"/>
        <v>152660</v>
      </c>
      <c r="H229" s="13">
        <v>0.14119999999999999</v>
      </c>
      <c r="I229" s="14">
        <v>48</v>
      </c>
      <c r="J229" s="15">
        <f t="shared" si="23"/>
        <v>1.1766666666666667E-2</v>
      </c>
      <c r="K229" s="12">
        <f t="shared" si="24"/>
        <v>4180.8551974500369</v>
      </c>
      <c r="L229" s="12">
        <f t="shared" si="25"/>
        <v>200681.04947760177</v>
      </c>
      <c r="M229" s="12">
        <f t="shared" si="26"/>
        <v>48021.049477601773</v>
      </c>
      <c r="N229" s="12">
        <v>1526.6000000000001</v>
      </c>
      <c r="O229" s="12">
        <v>39691.599999999999</v>
      </c>
      <c r="P229" s="9" t="s">
        <v>23</v>
      </c>
      <c r="Q229" s="12">
        <v>0</v>
      </c>
      <c r="R229" s="12">
        <f t="shared" si="27"/>
        <v>9856.0494776017731</v>
      </c>
      <c r="S229" s="9" t="s">
        <v>24</v>
      </c>
      <c r="T229" s="9" t="s">
        <v>88</v>
      </c>
    </row>
    <row r="230" spans="1:20" x14ac:dyDescent="0.3">
      <c r="A230" s="2" t="s">
        <v>499</v>
      </c>
      <c r="B230" s="2" t="s">
        <v>500</v>
      </c>
      <c r="C230" s="2" t="s">
        <v>28</v>
      </c>
      <c r="D230" s="3">
        <v>145800</v>
      </c>
      <c r="E230" s="4">
        <v>0</v>
      </c>
      <c r="F230" s="5">
        <f t="shared" si="21"/>
        <v>0</v>
      </c>
      <c r="G230" s="5">
        <f t="shared" si="22"/>
        <v>145800</v>
      </c>
      <c r="H230" s="6">
        <v>0.13719999999999999</v>
      </c>
      <c r="I230" s="7">
        <v>12</v>
      </c>
      <c r="J230" s="8">
        <f t="shared" si="23"/>
        <v>1.1433333333333332E-2</v>
      </c>
      <c r="K230" s="5">
        <f t="shared" si="24"/>
        <v>13071.761027115404</v>
      </c>
      <c r="L230" s="5">
        <f t="shared" si="25"/>
        <v>156861.13232538485</v>
      </c>
      <c r="M230" s="5">
        <f t="shared" si="26"/>
        <v>11061.132325384853</v>
      </c>
      <c r="N230" s="5">
        <v>1458</v>
      </c>
      <c r="O230" s="5">
        <v>9477</v>
      </c>
      <c r="P230" s="2" t="s">
        <v>29</v>
      </c>
      <c r="Q230" s="5">
        <v>58320</v>
      </c>
      <c r="R230" s="5">
        <f t="shared" si="27"/>
        <v>-55277.867674615147</v>
      </c>
      <c r="S230" s="2" t="s">
        <v>42</v>
      </c>
      <c r="T230" s="2" t="s">
        <v>25</v>
      </c>
    </row>
    <row r="231" spans="1:20" x14ac:dyDescent="0.3">
      <c r="A231" s="9" t="s">
        <v>501</v>
      </c>
      <c r="B231" s="9" t="s">
        <v>502</v>
      </c>
      <c r="C231" s="9" t="s">
        <v>41</v>
      </c>
      <c r="D231" s="10">
        <v>1119700</v>
      </c>
      <c r="E231" s="11">
        <v>0.1</v>
      </c>
      <c r="F231" s="12">
        <f t="shared" si="21"/>
        <v>111970</v>
      </c>
      <c r="G231" s="12">
        <f t="shared" si="22"/>
        <v>1007730</v>
      </c>
      <c r="H231" s="13">
        <v>9.9099999999999994E-2</v>
      </c>
      <c r="I231" s="14">
        <v>84</v>
      </c>
      <c r="J231" s="15">
        <f t="shared" si="23"/>
        <v>8.2583333333333328E-3</v>
      </c>
      <c r="K231" s="12">
        <f t="shared" si="24"/>
        <v>16682.686455637137</v>
      </c>
      <c r="L231" s="12">
        <f t="shared" si="25"/>
        <v>1401345.6622735194</v>
      </c>
      <c r="M231" s="12">
        <f t="shared" si="26"/>
        <v>393615.66227351944</v>
      </c>
      <c r="N231" s="12">
        <v>10077.300000000001</v>
      </c>
      <c r="O231" s="12">
        <v>458517.15</v>
      </c>
      <c r="P231" s="9" t="s">
        <v>23</v>
      </c>
      <c r="Q231" s="12">
        <v>0</v>
      </c>
      <c r="R231" s="12">
        <f t="shared" si="27"/>
        <v>-54824.187726480595</v>
      </c>
      <c r="S231" s="9" t="s">
        <v>42</v>
      </c>
      <c r="T231" s="9" t="s">
        <v>34</v>
      </c>
    </row>
    <row r="232" spans="1:20" x14ac:dyDescent="0.3">
      <c r="A232" s="2" t="s">
        <v>503</v>
      </c>
      <c r="B232" s="2" t="s">
        <v>504</v>
      </c>
      <c r="C232" s="2" t="s">
        <v>41</v>
      </c>
      <c r="D232" s="3">
        <v>1200300</v>
      </c>
      <c r="E232" s="4">
        <v>0.1</v>
      </c>
      <c r="F232" s="5">
        <f t="shared" si="21"/>
        <v>120030</v>
      </c>
      <c r="G232" s="5">
        <f t="shared" si="22"/>
        <v>1080270</v>
      </c>
      <c r="H232" s="6">
        <v>0.1079</v>
      </c>
      <c r="I232" s="7">
        <v>60</v>
      </c>
      <c r="J232" s="8">
        <f t="shared" si="23"/>
        <v>8.9916666666666669E-3</v>
      </c>
      <c r="K232" s="5">
        <f t="shared" si="24"/>
        <v>23374.710324796768</v>
      </c>
      <c r="L232" s="5">
        <f t="shared" si="25"/>
        <v>1402482.619487806</v>
      </c>
      <c r="M232" s="5">
        <f t="shared" si="26"/>
        <v>322212.61948780599</v>
      </c>
      <c r="N232" s="5">
        <v>10802.7</v>
      </c>
      <c r="O232" s="5">
        <v>351087.75</v>
      </c>
      <c r="P232" s="2" t="s">
        <v>23</v>
      </c>
      <c r="Q232" s="5">
        <v>0</v>
      </c>
      <c r="R232" s="5">
        <f t="shared" si="27"/>
        <v>-18072.430512193998</v>
      </c>
      <c r="S232" s="2" t="s">
        <v>30</v>
      </c>
      <c r="T232" s="2" t="s">
        <v>38</v>
      </c>
    </row>
    <row r="233" spans="1:20" x14ac:dyDescent="0.3">
      <c r="A233" s="9" t="s">
        <v>505</v>
      </c>
      <c r="B233" s="9" t="s">
        <v>506</v>
      </c>
      <c r="C233" s="9" t="s">
        <v>28</v>
      </c>
      <c r="D233" s="10">
        <v>34200</v>
      </c>
      <c r="E233" s="11">
        <v>0.1</v>
      </c>
      <c r="F233" s="12">
        <f t="shared" si="21"/>
        <v>3420</v>
      </c>
      <c r="G233" s="12">
        <f t="shared" si="22"/>
        <v>30780</v>
      </c>
      <c r="H233" s="13">
        <v>0.1603</v>
      </c>
      <c r="I233" s="14">
        <v>24</v>
      </c>
      <c r="J233" s="15">
        <f t="shared" si="23"/>
        <v>1.3358333333333333E-2</v>
      </c>
      <c r="K233" s="12">
        <f t="shared" si="24"/>
        <v>1507.525787960056</v>
      </c>
      <c r="L233" s="12">
        <f t="shared" si="25"/>
        <v>36180.618911041347</v>
      </c>
      <c r="M233" s="12">
        <f t="shared" si="26"/>
        <v>5400.618911041347</v>
      </c>
      <c r="N233" s="12">
        <v>499</v>
      </c>
      <c r="O233" s="12">
        <v>4001.4</v>
      </c>
      <c r="P233" s="9" t="s">
        <v>23</v>
      </c>
      <c r="Q233" s="12">
        <v>0</v>
      </c>
      <c r="R233" s="12">
        <f t="shared" si="27"/>
        <v>1898.2189110413469</v>
      </c>
      <c r="S233" s="9" t="s">
        <v>24</v>
      </c>
      <c r="T233" s="9" t="s">
        <v>34</v>
      </c>
    </row>
    <row r="234" spans="1:20" x14ac:dyDescent="0.3">
      <c r="A234" s="2" t="s">
        <v>507</v>
      </c>
      <c r="B234" s="2" t="s">
        <v>508</v>
      </c>
      <c r="C234" s="2" t="s">
        <v>41</v>
      </c>
      <c r="D234" s="3">
        <v>833300</v>
      </c>
      <c r="E234" s="4">
        <v>0.3</v>
      </c>
      <c r="F234" s="5">
        <f t="shared" si="21"/>
        <v>249990</v>
      </c>
      <c r="G234" s="5">
        <f t="shared" si="22"/>
        <v>583310</v>
      </c>
      <c r="H234" s="6">
        <v>0.10879999999999999</v>
      </c>
      <c r="I234" s="7">
        <v>60</v>
      </c>
      <c r="J234" s="8">
        <f t="shared" si="23"/>
        <v>9.0666666666666656E-3</v>
      </c>
      <c r="K234" s="5">
        <f t="shared" si="24"/>
        <v>12647.692502074951</v>
      </c>
      <c r="L234" s="5">
        <f t="shared" si="25"/>
        <v>758861.55012449704</v>
      </c>
      <c r="M234" s="5">
        <f t="shared" si="26"/>
        <v>175551.55012449704</v>
      </c>
      <c r="N234" s="5">
        <v>5833.1</v>
      </c>
      <c r="O234" s="5">
        <v>189575.75</v>
      </c>
      <c r="P234" s="2" t="s">
        <v>23</v>
      </c>
      <c r="Q234" s="5">
        <v>0</v>
      </c>
      <c r="R234" s="5">
        <f t="shared" si="27"/>
        <v>-8191.0998755029577</v>
      </c>
      <c r="S234" s="2" t="s">
        <v>30</v>
      </c>
      <c r="T234" s="2" t="s">
        <v>55</v>
      </c>
    </row>
    <row r="235" spans="1:20" x14ac:dyDescent="0.3">
      <c r="A235" s="9" t="s">
        <v>509</v>
      </c>
      <c r="B235" s="9" t="s">
        <v>510</v>
      </c>
      <c r="C235" s="9" t="s">
        <v>22</v>
      </c>
      <c r="D235" s="10">
        <v>156300</v>
      </c>
      <c r="E235" s="11">
        <v>0.1</v>
      </c>
      <c r="F235" s="12">
        <f t="shared" si="21"/>
        <v>15630</v>
      </c>
      <c r="G235" s="12">
        <f t="shared" si="22"/>
        <v>140670</v>
      </c>
      <c r="H235" s="13">
        <v>0.1032</v>
      </c>
      <c r="I235" s="14">
        <v>12</v>
      </c>
      <c r="J235" s="15">
        <f t="shared" si="23"/>
        <v>8.6E-3</v>
      </c>
      <c r="K235" s="12">
        <f t="shared" si="24"/>
        <v>12388.073457668115</v>
      </c>
      <c r="L235" s="12">
        <f t="shared" si="25"/>
        <v>148656.88149201739</v>
      </c>
      <c r="M235" s="12">
        <f t="shared" si="26"/>
        <v>7986.88149201739</v>
      </c>
      <c r="N235" s="12">
        <v>1406.7</v>
      </c>
      <c r="O235" s="12">
        <v>9143.5500000000011</v>
      </c>
      <c r="P235" s="9" t="s">
        <v>23</v>
      </c>
      <c r="Q235" s="12">
        <v>0</v>
      </c>
      <c r="R235" s="12">
        <f t="shared" si="27"/>
        <v>250.03149201738961</v>
      </c>
      <c r="S235" s="9" t="s">
        <v>42</v>
      </c>
      <c r="T235" s="9" t="s">
        <v>52</v>
      </c>
    </row>
    <row r="236" spans="1:20" x14ac:dyDescent="0.3">
      <c r="A236" s="2" t="s">
        <v>511</v>
      </c>
      <c r="B236" s="2" t="s">
        <v>512</v>
      </c>
      <c r="C236" s="2" t="s">
        <v>28</v>
      </c>
      <c r="D236" s="3">
        <v>100800</v>
      </c>
      <c r="E236" s="4">
        <v>0.2</v>
      </c>
      <c r="F236" s="5">
        <f t="shared" si="21"/>
        <v>20160</v>
      </c>
      <c r="G236" s="5">
        <f t="shared" si="22"/>
        <v>80640</v>
      </c>
      <c r="H236" s="6">
        <v>0.16120000000000001</v>
      </c>
      <c r="I236" s="7">
        <v>12</v>
      </c>
      <c r="J236" s="8">
        <f t="shared" si="23"/>
        <v>1.3433333333333334E-2</v>
      </c>
      <c r="K236" s="5">
        <f t="shared" si="24"/>
        <v>7321.1164181573477</v>
      </c>
      <c r="L236" s="5">
        <f t="shared" si="25"/>
        <v>87853.397017888172</v>
      </c>
      <c r="M236" s="5">
        <f t="shared" si="26"/>
        <v>7213.3970178881718</v>
      </c>
      <c r="N236" s="5">
        <v>806.4</v>
      </c>
      <c r="O236" s="5">
        <v>5241.6000000000004</v>
      </c>
      <c r="P236" s="2" t="s">
        <v>23</v>
      </c>
      <c r="Q236" s="5">
        <v>0</v>
      </c>
      <c r="R236" s="5">
        <f t="shared" si="27"/>
        <v>2778.1970178881711</v>
      </c>
      <c r="S236" s="2" t="s">
        <v>42</v>
      </c>
      <c r="T236" s="2" t="s">
        <v>25</v>
      </c>
    </row>
    <row r="237" spans="1:20" x14ac:dyDescent="0.3">
      <c r="A237" s="9" t="s">
        <v>513</v>
      </c>
      <c r="B237" s="9" t="s">
        <v>514</v>
      </c>
      <c r="C237" s="9" t="s">
        <v>22</v>
      </c>
      <c r="D237" s="10">
        <v>131800</v>
      </c>
      <c r="E237" s="11">
        <v>0.25</v>
      </c>
      <c r="F237" s="12">
        <f t="shared" si="21"/>
        <v>32950</v>
      </c>
      <c r="G237" s="12">
        <f t="shared" si="22"/>
        <v>98850</v>
      </c>
      <c r="H237" s="13">
        <v>0.12690000000000001</v>
      </c>
      <c r="I237" s="14">
        <v>60</v>
      </c>
      <c r="J237" s="15">
        <f t="shared" si="23"/>
        <v>1.0575000000000001E-2</v>
      </c>
      <c r="K237" s="12">
        <f t="shared" si="24"/>
        <v>2233.4857083678421</v>
      </c>
      <c r="L237" s="12">
        <f t="shared" si="25"/>
        <v>134009.14250207052</v>
      </c>
      <c r="M237" s="12">
        <f t="shared" si="26"/>
        <v>35159.142502070521</v>
      </c>
      <c r="N237" s="12">
        <v>988.5</v>
      </c>
      <c r="O237" s="12">
        <v>32126.25</v>
      </c>
      <c r="P237" s="9" t="s">
        <v>23</v>
      </c>
      <c r="Q237" s="12">
        <v>0</v>
      </c>
      <c r="R237" s="12">
        <f t="shared" si="27"/>
        <v>4021.392502070521</v>
      </c>
      <c r="S237" s="9" t="s">
        <v>58</v>
      </c>
      <c r="T237" s="9" t="s">
        <v>97</v>
      </c>
    </row>
    <row r="238" spans="1:20" x14ac:dyDescent="0.3">
      <c r="A238" s="2" t="s">
        <v>515</v>
      </c>
      <c r="B238" s="2" t="s">
        <v>516</v>
      </c>
      <c r="C238" s="2" t="s">
        <v>41</v>
      </c>
      <c r="D238" s="3">
        <v>805200</v>
      </c>
      <c r="E238" s="4">
        <v>0.3</v>
      </c>
      <c r="F238" s="5">
        <f t="shared" si="21"/>
        <v>241560</v>
      </c>
      <c r="G238" s="5">
        <f t="shared" si="22"/>
        <v>563640</v>
      </c>
      <c r="H238" s="6">
        <v>0.1052</v>
      </c>
      <c r="I238" s="7">
        <v>72</v>
      </c>
      <c r="J238" s="8">
        <f t="shared" si="23"/>
        <v>8.7666666666666674E-3</v>
      </c>
      <c r="K238" s="5">
        <f t="shared" si="24"/>
        <v>10590.308858624805</v>
      </c>
      <c r="L238" s="5">
        <f t="shared" si="25"/>
        <v>762502.23782098596</v>
      </c>
      <c r="M238" s="5">
        <f t="shared" si="26"/>
        <v>198862.23782098596</v>
      </c>
      <c r="N238" s="5">
        <v>5636.4000000000005</v>
      </c>
      <c r="O238" s="5">
        <v>219819.59999999998</v>
      </c>
      <c r="P238" s="2" t="s">
        <v>23</v>
      </c>
      <c r="Q238" s="5">
        <v>0</v>
      </c>
      <c r="R238" s="5">
        <f t="shared" si="27"/>
        <v>-15320.962179014023</v>
      </c>
      <c r="S238" s="2" t="s">
        <v>24</v>
      </c>
      <c r="T238" s="2" t="s">
        <v>25</v>
      </c>
    </row>
    <row r="239" spans="1:20" x14ac:dyDescent="0.3">
      <c r="A239" s="9" t="s">
        <v>517</v>
      </c>
      <c r="B239" s="9" t="s">
        <v>518</v>
      </c>
      <c r="C239" s="9" t="s">
        <v>28</v>
      </c>
      <c r="D239" s="10">
        <v>145900</v>
      </c>
      <c r="E239" s="11">
        <v>0.2</v>
      </c>
      <c r="F239" s="12">
        <f t="shared" si="21"/>
        <v>29180</v>
      </c>
      <c r="G239" s="12">
        <f t="shared" si="22"/>
        <v>116720</v>
      </c>
      <c r="H239" s="13">
        <v>0.18260000000000001</v>
      </c>
      <c r="I239" s="14">
        <v>24</v>
      </c>
      <c r="J239" s="15">
        <f t="shared" si="23"/>
        <v>1.5216666666666668E-2</v>
      </c>
      <c r="K239" s="12">
        <f t="shared" si="24"/>
        <v>5841.8148334147108</v>
      </c>
      <c r="L239" s="12">
        <f t="shared" si="25"/>
        <v>140203.55600195305</v>
      </c>
      <c r="M239" s="12">
        <f t="shared" si="26"/>
        <v>23483.556001953053</v>
      </c>
      <c r="N239" s="12">
        <v>1167.2</v>
      </c>
      <c r="O239" s="12">
        <v>15173.6</v>
      </c>
      <c r="P239" s="9" t="s">
        <v>37</v>
      </c>
      <c r="Q239" s="12">
        <v>0</v>
      </c>
      <c r="R239" s="12">
        <f t="shared" si="27"/>
        <v>9477.1560019530534</v>
      </c>
      <c r="S239" s="9" t="s">
        <v>24</v>
      </c>
      <c r="T239" s="9" t="s">
        <v>25</v>
      </c>
    </row>
    <row r="240" spans="1:20" x14ac:dyDescent="0.3">
      <c r="A240" s="2" t="s">
        <v>519</v>
      </c>
      <c r="B240" s="2" t="s">
        <v>520</v>
      </c>
      <c r="C240" s="2" t="s">
        <v>28</v>
      </c>
      <c r="D240" s="3">
        <v>90500</v>
      </c>
      <c r="E240" s="4">
        <v>0.05</v>
      </c>
      <c r="F240" s="5">
        <f t="shared" si="21"/>
        <v>4525</v>
      </c>
      <c r="G240" s="5">
        <f t="shared" si="22"/>
        <v>85975</v>
      </c>
      <c r="H240" s="6">
        <v>0.1777</v>
      </c>
      <c r="I240" s="7">
        <v>18</v>
      </c>
      <c r="J240" s="8">
        <f t="shared" si="23"/>
        <v>1.4808333333333333E-2</v>
      </c>
      <c r="K240" s="5">
        <f t="shared" si="24"/>
        <v>5476.2803747893777</v>
      </c>
      <c r="L240" s="5">
        <f t="shared" si="25"/>
        <v>98573.046746208798</v>
      </c>
      <c r="M240" s="5">
        <f t="shared" si="26"/>
        <v>12598.046746208798</v>
      </c>
      <c r="N240" s="5">
        <v>859.75</v>
      </c>
      <c r="O240" s="5">
        <v>8382.5625</v>
      </c>
      <c r="P240" s="2" t="s">
        <v>23</v>
      </c>
      <c r="Q240" s="5">
        <v>0</v>
      </c>
      <c r="R240" s="5">
        <f t="shared" si="27"/>
        <v>5075.2342462087981</v>
      </c>
      <c r="S240" s="2" t="s">
        <v>30</v>
      </c>
      <c r="T240" s="2" t="s">
        <v>46</v>
      </c>
    </row>
    <row r="241" spans="1:20" x14ac:dyDescent="0.3">
      <c r="A241" s="9" t="s">
        <v>521</v>
      </c>
      <c r="B241" s="9" t="s">
        <v>522</v>
      </c>
      <c r="C241" s="9" t="s">
        <v>22</v>
      </c>
      <c r="D241" s="10">
        <v>228100</v>
      </c>
      <c r="E241" s="11">
        <v>0.15</v>
      </c>
      <c r="F241" s="12">
        <f t="shared" si="21"/>
        <v>34215</v>
      </c>
      <c r="G241" s="12">
        <f t="shared" si="22"/>
        <v>193885</v>
      </c>
      <c r="H241" s="13">
        <v>0.1153</v>
      </c>
      <c r="I241" s="14">
        <v>48</v>
      </c>
      <c r="J241" s="15">
        <f t="shared" si="23"/>
        <v>9.6083333333333333E-3</v>
      </c>
      <c r="K241" s="12">
        <f t="shared" si="24"/>
        <v>5061.1082616623016</v>
      </c>
      <c r="L241" s="12">
        <f t="shared" si="25"/>
        <v>242933.19655979046</v>
      </c>
      <c r="M241" s="12">
        <f t="shared" si="26"/>
        <v>49048.196559790464</v>
      </c>
      <c r="N241" s="12">
        <v>1938.8500000000001</v>
      </c>
      <c r="O241" s="12">
        <v>50410.1</v>
      </c>
      <c r="P241" s="9" t="s">
        <v>23</v>
      </c>
      <c r="Q241" s="12">
        <v>0</v>
      </c>
      <c r="R241" s="12">
        <f t="shared" si="27"/>
        <v>576.94655979046365</v>
      </c>
      <c r="S241" s="9" t="s">
        <v>42</v>
      </c>
      <c r="T241" s="9" t="s">
        <v>31</v>
      </c>
    </row>
    <row r="242" spans="1:20" x14ac:dyDescent="0.3">
      <c r="A242" s="2" t="s">
        <v>523</v>
      </c>
      <c r="B242" s="2" t="s">
        <v>524</v>
      </c>
      <c r="C242" s="2" t="s">
        <v>67</v>
      </c>
      <c r="D242" s="3">
        <v>64200</v>
      </c>
      <c r="E242" s="4">
        <v>0.2</v>
      </c>
      <c r="F242" s="5">
        <f t="shared" si="21"/>
        <v>12840</v>
      </c>
      <c r="G242" s="5">
        <f t="shared" si="22"/>
        <v>51360</v>
      </c>
      <c r="H242" s="6">
        <v>0.18890000000000001</v>
      </c>
      <c r="I242" s="7">
        <v>12</v>
      </c>
      <c r="J242" s="8">
        <f t="shared" si="23"/>
        <v>1.5741666666666668E-2</v>
      </c>
      <c r="K242" s="5">
        <f t="shared" si="24"/>
        <v>4730.4659644612038</v>
      </c>
      <c r="L242" s="5">
        <f t="shared" si="25"/>
        <v>56765.591573534446</v>
      </c>
      <c r="M242" s="5">
        <f t="shared" si="26"/>
        <v>5405.5915735344461</v>
      </c>
      <c r="N242" s="5">
        <v>513.6</v>
      </c>
      <c r="O242" s="5">
        <v>3338.4</v>
      </c>
      <c r="P242" s="2" t="s">
        <v>23</v>
      </c>
      <c r="Q242" s="5">
        <v>0</v>
      </c>
      <c r="R242" s="5">
        <f t="shared" si="27"/>
        <v>2580.7915735344463</v>
      </c>
      <c r="S242" s="2" t="s">
        <v>30</v>
      </c>
      <c r="T242" s="2" t="s">
        <v>52</v>
      </c>
    </row>
    <row r="243" spans="1:20" x14ac:dyDescent="0.3">
      <c r="A243" s="9" t="s">
        <v>525</v>
      </c>
      <c r="B243" s="9" t="s">
        <v>526</v>
      </c>
      <c r="C243" s="9" t="s">
        <v>67</v>
      </c>
      <c r="D243" s="10">
        <v>44400</v>
      </c>
      <c r="E243" s="11">
        <v>0.1</v>
      </c>
      <c r="F243" s="12">
        <f t="shared" si="21"/>
        <v>4440</v>
      </c>
      <c r="G243" s="12">
        <f t="shared" si="22"/>
        <v>39960</v>
      </c>
      <c r="H243" s="13">
        <v>0.193</v>
      </c>
      <c r="I243" s="14">
        <v>18</v>
      </c>
      <c r="J243" s="15">
        <f t="shared" si="23"/>
        <v>1.6083333333333335E-2</v>
      </c>
      <c r="K243" s="12">
        <f t="shared" si="24"/>
        <v>2574.5104548374129</v>
      </c>
      <c r="L243" s="12">
        <f t="shared" si="25"/>
        <v>46341.188187073436</v>
      </c>
      <c r="M243" s="12">
        <f t="shared" si="26"/>
        <v>6381.188187073436</v>
      </c>
      <c r="N243" s="12">
        <v>499</v>
      </c>
      <c r="O243" s="12">
        <v>3896.1000000000004</v>
      </c>
      <c r="P243" s="9" t="s">
        <v>37</v>
      </c>
      <c r="Q243" s="12">
        <v>0</v>
      </c>
      <c r="R243" s="12">
        <f t="shared" si="27"/>
        <v>2984.0881870734356</v>
      </c>
      <c r="S243" s="9" t="s">
        <v>30</v>
      </c>
      <c r="T243" s="9" t="s">
        <v>97</v>
      </c>
    </row>
    <row r="244" spans="1:20" x14ac:dyDescent="0.3">
      <c r="A244" s="2" t="s">
        <v>527</v>
      </c>
      <c r="B244" s="2" t="s">
        <v>528</v>
      </c>
      <c r="C244" s="2" t="s">
        <v>41</v>
      </c>
      <c r="D244" s="3">
        <v>776600</v>
      </c>
      <c r="E244" s="4">
        <v>0.3</v>
      </c>
      <c r="F244" s="5">
        <f t="shared" si="21"/>
        <v>232980</v>
      </c>
      <c r="G244" s="5">
        <f t="shared" si="22"/>
        <v>543620</v>
      </c>
      <c r="H244" s="6">
        <v>9.5600000000000004E-2</v>
      </c>
      <c r="I244" s="7">
        <v>60</v>
      </c>
      <c r="J244" s="8">
        <f t="shared" si="23"/>
        <v>7.966666666666667E-3</v>
      </c>
      <c r="K244" s="5">
        <f t="shared" si="24"/>
        <v>11432.978146194531</v>
      </c>
      <c r="L244" s="5">
        <f t="shared" si="25"/>
        <v>685978.68877167185</v>
      </c>
      <c r="M244" s="5">
        <f t="shared" si="26"/>
        <v>142358.68877167185</v>
      </c>
      <c r="N244" s="5">
        <v>5436.2</v>
      </c>
      <c r="O244" s="5">
        <v>176676.5</v>
      </c>
      <c r="P244" s="2" t="s">
        <v>23</v>
      </c>
      <c r="Q244" s="5">
        <v>0</v>
      </c>
      <c r="R244" s="5">
        <f t="shared" si="27"/>
        <v>-28881.61122832814</v>
      </c>
      <c r="S244" s="2" t="s">
        <v>30</v>
      </c>
      <c r="T244" s="2" t="s">
        <v>184</v>
      </c>
    </row>
    <row r="245" spans="1:20" x14ac:dyDescent="0.3">
      <c r="A245" s="9" t="s">
        <v>529</v>
      </c>
      <c r="B245" s="9" t="s">
        <v>530</v>
      </c>
      <c r="C245" s="9" t="s">
        <v>28</v>
      </c>
      <c r="D245" s="10">
        <v>53100</v>
      </c>
      <c r="E245" s="11">
        <v>0.1</v>
      </c>
      <c r="F245" s="12">
        <f t="shared" si="21"/>
        <v>5310</v>
      </c>
      <c r="G245" s="12">
        <f t="shared" si="22"/>
        <v>47790</v>
      </c>
      <c r="H245" s="13">
        <v>0.1978</v>
      </c>
      <c r="I245" s="14">
        <v>12</v>
      </c>
      <c r="J245" s="15">
        <f t="shared" si="23"/>
        <v>1.6483333333333332E-2</v>
      </c>
      <c r="K245" s="12">
        <f t="shared" si="24"/>
        <v>4421.972701943886</v>
      </c>
      <c r="L245" s="12">
        <f t="shared" si="25"/>
        <v>53063.672423326629</v>
      </c>
      <c r="M245" s="12">
        <f t="shared" si="26"/>
        <v>5273.6724233266286</v>
      </c>
      <c r="N245" s="12">
        <v>499</v>
      </c>
      <c r="O245" s="12">
        <v>3106.35</v>
      </c>
      <c r="P245" s="9" t="s">
        <v>23</v>
      </c>
      <c r="Q245" s="12">
        <v>0</v>
      </c>
      <c r="R245" s="12">
        <f t="shared" si="27"/>
        <v>2666.3224233266287</v>
      </c>
      <c r="S245" s="9" t="s">
        <v>42</v>
      </c>
      <c r="T245" s="9" t="s">
        <v>38</v>
      </c>
    </row>
    <row r="246" spans="1:20" x14ac:dyDescent="0.3">
      <c r="A246" s="2" t="s">
        <v>531</v>
      </c>
      <c r="B246" s="2" t="s">
        <v>532</v>
      </c>
      <c r="C246" s="2" t="s">
        <v>28</v>
      </c>
      <c r="D246" s="3">
        <v>95100</v>
      </c>
      <c r="E246" s="4">
        <v>0.1</v>
      </c>
      <c r="F246" s="5">
        <f t="shared" si="21"/>
        <v>9510</v>
      </c>
      <c r="G246" s="5">
        <f t="shared" si="22"/>
        <v>85590</v>
      </c>
      <c r="H246" s="6">
        <v>0.1948</v>
      </c>
      <c r="I246" s="7">
        <v>36</v>
      </c>
      <c r="J246" s="8">
        <f t="shared" si="23"/>
        <v>1.6233333333333332E-2</v>
      </c>
      <c r="K246" s="5">
        <f t="shared" si="24"/>
        <v>3158.1991013434467</v>
      </c>
      <c r="L246" s="5">
        <f t="shared" si="25"/>
        <v>113695.16764836408</v>
      </c>
      <c r="M246" s="5">
        <f t="shared" si="26"/>
        <v>28105.167648364077</v>
      </c>
      <c r="N246" s="5">
        <v>855.9</v>
      </c>
      <c r="O246" s="5">
        <v>16690.050000000003</v>
      </c>
      <c r="P246" s="2" t="s">
        <v>37</v>
      </c>
      <c r="Q246" s="5">
        <v>0</v>
      </c>
      <c r="R246" s="5">
        <f t="shared" si="27"/>
        <v>12271.017648364075</v>
      </c>
      <c r="S246" s="2" t="s">
        <v>42</v>
      </c>
      <c r="T246" s="2" t="s">
        <v>88</v>
      </c>
    </row>
    <row r="247" spans="1:20" x14ac:dyDescent="0.3">
      <c r="A247" s="9" t="s">
        <v>533</v>
      </c>
      <c r="B247" s="9" t="s">
        <v>534</v>
      </c>
      <c r="C247" s="9" t="s">
        <v>41</v>
      </c>
      <c r="D247" s="10">
        <v>1450100</v>
      </c>
      <c r="E247" s="11">
        <v>0.1</v>
      </c>
      <c r="F247" s="12">
        <f t="shared" si="21"/>
        <v>145010</v>
      </c>
      <c r="G247" s="12">
        <f t="shared" si="22"/>
        <v>1305090</v>
      </c>
      <c r="H247" s="13">
        <v>0.1091</v>
      </c>
      <c r="I247" s="14">
        <v>60</v>
      </c>
      <c r="J247" s="15">
        <f t="shared" si="23"/>
        <v>9.0916666666666663E-3</v>
      </c>
      <c r="K247" s="12">
        <f t="shared" si="24"/>
        <v>28317.276673600732</v>
      </c>
      <c r="L247" s="12">
        <f t="shared" si="25"/>
        <v>1699036.600416044</v>
      </c>
      <c r="M247" s="12">
        <f t="shared" si="26"/>
        <v>393946.60041604401</v>
      </c>
      <c r="N247" s="12">
        <v>13050.9</v>
      </c>
      <c r="O247" s="12">
        <v>424154.25</v>
      </c>
      <c r="P247" s="9" t="s">
        <v>23</v>
      </c>
      <c r="Q247" s="12">
        <v>0</v>
      </c>
      <c r="R247" s="12">
        <f t="shared" si="27"/>
        <v>-17156.749583955971</v>
      </c>
      <c r="S247" s="9" t="s">
        <v>24</v>
      </c>
      <c r="T247" s="9" t="s">
        <v>38</v>
      </c>
    </row>
    <row r="248" spans="1:20" x14ac:dyDescent="0.3">
      <c r="A248" s="2" t="s">
        <v>535</v>
      </c>
      <c r="B248" s="2" t="s">
        <v>536</v>
      </c>
      <c r="C248" s="2" t="s">
        <v>41</v>
      </c>
      <c r="D248" s="3">
        <v>1121600</v>
      </c>
      <c r="E248" s="4">
        <v>0.15</v>
      </c>
      <c r="F248" s="5">
        <f t="shared" si="21"/>
        <v>168240</v>
      </c>
      <c r="G248" s="5">
        <f t="shared" si="22"/>
        <v>953360</v>
      </c>
      <c r="H248" s="6">
        <v>0.1074</v>
      </c>
      <c r="I248" s="7">
        <v>48</v>
      </c>
      <c r="J248" s="8">
        <f t="shared" si="23"/>
        <v>8.9499999999999996E-3</v>
      </c>
      <c r="K248" s="5">
        <f t="shared" si="24"/>
        <v>24519.885761781759</v>
      </c>
      <c r="L248" s="5">
        <f t="shared" si="25"/>
        <v>1176954.5165655245</v>
      </c>
      <c r="M248" s="5">
        <f t="shared" si="26"/>
        <v>223594.51656552451</v>
      </c>
      <c r="N248" s="5">
        <v>9533.6</v>
      </c>
      <c r="O248" s="5">
        <v>247873.6</v>
      </c>
      <c r="P248" s="2" t="s">
        <v>23</v>
      </c>
      <c r="Q248" s="5">
        <v>0</v>
      </c>
      <c r="R248" s="5">
        <f t="shared" si="27"/>
        <v>-14745.483434475493</v>
      </c>
      <c r="S248" s="2" t="s">
        <v>58</v>
      </c>
      <c r="T248" s="2" t="s">
        <v>52</v>
      </c>
    </row>
    <row r="249" spans="1:20" x14ac:dyDescent="0.3">
      <c r="A249" s="9" t="s">
        <v>537</v>
      </c>
      <c r="B249" s="9" t="s">
        <v>538</v>
      </c>
      <c r="C249" s="9" t="s">
        <v>22</v>
      </c>
      <c r="D249" s="10">
        <v>92900</v>
      </c>
      <c r="E249" s="11">
        <v>0.1</v>
      </c>
      <c r="F249" s="12">
        <f t="shared" si="21"/>
        <v>9290</v>
      </c>
      <c r="G249" s="12">
        <f t="shared" si="22"/>
        <v>83610</v>
      </c>
      <c r="H249" s="13">
        <v>0.14929999999999999</v>
      </c>
      <c r="I249" s="14">
        <v>60</v>
      </c>
      <c r="J249" s="15">
        <f t="shared" si="23"/>
        <v>1.2441666666666665E-2</v>
      </c>
      <c r="K249" s="12">
        <f t="shared" si="24"/>
        <v>1986.0052214759378</v>
      </c>
      <c r="L249" s="12">
        <f t="shared" si="25"/>
        <v>119160.31328855627</v>
      </c>
      <c r="M249" s="12">
        <f t="shared" si="26"/>
        <v>35550.313288556266</v>
      </c>
      <c r="N249" s="12">
        <v>836.1</v>
      </c>
      <c r="O249" s="12">
        <v>27173.250000000004</v>
      </c>
      <c r="P249" s="9" t="s">
        <v>37</v>
      </c>
      <c r="Q249" s="12">
        <v>0</v>
      </c>
      <c r="R249" s="12">
        <f t="shared" si="27"/>
        <v>9213.1632885562613</v>
      </c>
      <c r="S249" s="9" t="s">
        <v>30</v>
      </c>
      <c r="T249" s="9" t="s">
        <v>49</v>
      </c>
    </row>
    <row r="250" spans="1:20" x14ac:dyDescent="0.3">
      <c r="A250" s="2" t="s">
        <v>539</v>
      </c>
      <c r="B250" s="2" t="s">
        <v>540</v>
      </c>
      <c r="C250" s="2" t="s">
        <v>67</v>
      </c>
      <c r="D250" s="3">
        <v>19200</v>
      </c>
      <c r="E250" s="4">
        <v>0</v>
      </c>
      <c r="F250" s="5">
        <f t="shared" si="21"/>
        <v>0</v>
      </c>
      <c r="G250" s="5">
        <f t="shared" si="22"/>
        <v>19200</v>
      </c>
      <c r="H250" s="6">
        <v>0.16639999999999999</v>
      </c>
      <c r="I250" s="7">
        <v>12</v>
      </c>
      <c r="J250" s="8">
        <f t="shared" si="23"/>
        <v>1.3866666666666666E-2</v>
      </c>
      <c r="K250" s="5">
        <f t="shared" si="24"/>
        <v>1747.8527024681957</v>
      </c>
      <c r="L250" s="5">
        <f t="shared" si="25"/>
        <v>20974.232429618351</v>
      </c>
      <c r="M250" s="5">
        <f t="shared" si="26"/>
        <v>1774.2324296183506</v>
      </c>
      <c r="N250" s="5">
        <v>499</v>
      </c>
      <c r="O250" s="5">
        <v>1248</v>
      </c>
      <c r="P250" s="2" t="s">
        <v>23</v>
      </c>
      <c r="Q250" s="5">
        <v>0</v>
      </c>
      <c r="R250" s="5">
        <f t="shared" si="27"/>
        <v>1025.2324296183506</v>
      </c>
      <c r="S250" s="2" t="s">
        <v>30</v>
      </c>
      <c r="T250" s="2" t="s">
        <v>46</v>
      </c>
    </row>
    <row r="251" spans="1:20" x14ac:dyDescent="0.3">
      <c r="A251" s="9" t="s">
        <v>541</v>
      </c>
      <c r="B251" s="9" t="s">
        <v>542</v>
      </c>
      <c r="C251" s="9" t="s">
        <v>41</v>
      </c>
      <c r="D251" s="10">
        <v>1475700</v>
      </c>
      <c r="E251" s="11">
        <v>0.25</v>
      </c>
      <c r="F251" s="12">
        <f t="shared" si="21"/>
        <v>368925</v>
      </c>
      <c r="G251" s="12">
        <f t="shared" si="22"/>
        <v>1106775</v>
      </c>
      <c r="H251" s="13">
        <v>8.9700000000000002E-2</v>
      </c>
      <c r="I251" s="14">
        <v>72</v>
      </c>
      <c r="J251" s="15">
        <f t="shared" si="23"/>
        <v>7.4749999999999999E-3</v>
      </c>
      <c r="K251" s="12">
        <f t="shared" si="24"/>
        <v>19933.738823262182</v>
      </c>
      <c r="L251" s="12">
        <f t="shared" si="25"/>
        <v>1435229.1952748771</v>
      </c>
      <c r="M251" s="12">
        <f t="shared" si="26"/>
        <v>328454.19527487713</v>
      </c>
      <c r="N251" s="12">
        <v>11067.75</v>
      </c>
      <c r="O251" s="12">
        <v>431642.25</v>
      </c>
      <c r="P251" s="9" t="s">
        <v>23</v>
      </c>
      <c r="Q251" s="12">
        <v>0</v>
      </c>
      <c r="R251" s="12">
        <f t="shared" si="27"/>
        <v>-92120.304725122871</v>
      </c>
      <c r="S251" s="9" t="s">
        <v>58</v>
      </c>
      <c r="T251" s="9" t="s">
        <v>38</v>
      </c>
    </row>
    <row r="252" spans="1:20" x14ac:dyDescent="0.3">
      <c r="A252" s="2" t="s">
        <v>543</v>
      </c>
      <c r="B252" s="2" t="s">
        <v>544</v>
      </c>
      <c r="C252" s="2" t="s">
        <v>67</v>
      </c>
      <c r="D252" s="3">
        <v>14600</v>
      </c>
      <c r="E252" s="4">
        <v>0.15</v>
      </c>
      <c r="F252" s="5">
        <f t="shared" si="21"/>
        <v>2190</v>
      </c>
      <c r="G252" s="5">
        <f t="shared" si="22"/>
        <v>12410</v>
      </c>
      <c r="H252" s="6">
        <v>0.20150000000000001</v>
      </c>
      <c r="I252" s="7">
        <v>24</v>
      </c>
      <c r="J252" s="8">
        <f t="shared" si="23"/>
        <v>1.6791666666666667E-2</v>
      </c>
      <c r="K252" s="5">
        <f t="shared" si="24"/>
        <v>632.52665899167721</v>
      </c>
      <c r="L252" s="5">
        <f t="shared" si="25"/>
        <v>15180.639815800252</v>
      </c>
      <c r="M252" s="5">
        <f t="shared" si="26"/>
        <v>2770.6398158002521</v>
      </c>
      <c r="N252" s="5">
        <v>499</v>
      </c>
      <c r="O252" s="5">
        <v>1613.3</v>
      </c>
      <c r="P252" s="2" t="s">
        <v>37</v>
      </c>
      <c r="Q252" s="5">
        <v>0</v>
      </c>
      <c r="R252" s="5">
        <f t="shared" si="27"/>
        <v>1656.3398158002522</v>
      </c>
      <c r="S252" s="2" t="s">
        <v>24</v>
      </c>
      <c r="T252" s="2" t="s">
        <v>34</v>
      </c>
    </row>
    <row r="253" spans="1:20" x14ac:dyDescent="0.3">
      <c r="A253" s="9" t="s">
        <v>545</v>
      </c>
      <c r="B253" s="9" t="s">
        <v>546</v>
      </c>
      <c r="C253" s="9" t="s">
        <v>28</v>
      </c>
      <c r="D253" s="10">
        <v>129700</v>
      </c>
      <c r="E253" s="11">
        <v>0.15</v>
      </c>
      <c r="F253" s="12">
        <f t="shared" si="21"/>
        <v>19455</v>
      </c>
      <c r="G253" s="12">
        <f t="shared" si="22"/>
        <v>110245</v>
      </c>
      <c r="H253" s="13">
        <v>0.19470000000000001</v>
      </c>
      <c r="I253" s="14">
        <v>6</v>
      </c>
      <c r="J253" s="15">
        <f t="shared" si="23"/>
        <v>1.6225E-2</v>
      </c>
      <c r="K253" s="12">
        <f t="shared" si="24"/>
        <v>19431.582141905295</v>
      </c>
      <c r="L253" s="12">
        <f t="shared" si="25"/>
        <v>116589.49285143177</v>
      </c>
      <c r="M253" s="12">
        <f t="shared" si="26"/>
        <v>6344.4928514317726</v>
      </c>
      <c r="N253" s="12">
        <v>1102.45</v>
      </c>
      <c r="O253" s="12">
        <v>3582.9625000000001</v>
      </c>
      <c r="P253" s="9" t="s">
        <v>23</v>
      </c>
      <c r="Q253" s="12">
        <v>0</v>
      </c>
      <c r="R253" s="12">
        <f t="shared" si="27"/>
        <v>3863.9803514317723</v>
      </c>
      <c r="S253" s="9" t="s">
        <v>30</v>
      </c>
      <c r="T253" s="9" t="s">
        <v>31</v>
      </c>
    </row>
    <row r="254" spans="1:20" x14ac:dyDescent="0.3">
      <c r="A254" s="2" t="s">
        <v>547</v>
      </c>
      <c r="B254" s="2" t="s">
        <v>548</v>
      </c>
      <c r="C254" s="2" t="s">
        <v>41</v>
      </c>
      <c r="D254" s="3">
        <v>1418600</v>
      </c>
      <c r="E254" s="4">
        <v>0.2</v>
      </c>
      <c r="F254" s="5">
        <f t="shared" si="21"/>
        <v>283720</v>
      </c>
      <c r="G254" s="5">
        <f t="shared" si="22"/>
        <v>1134880</v>
      </c>
      <c r="H254" s="6">
        <v>0.1113</v>
      </c>
      <c r="I254" s="7">
        <v>36</v>
      </c>
      <c r="J254" s="8">
        <f t="shared" si="23"/>
        <v>9.2750000000000003E-3</v>
      </c>
      <c r="K254" s="5">
        <f t="shared" si="24"/>
        <v>37224.421139868391</v>
      </c>
      <c r="L254" s="5">
        <f t="shared" si="25"/>
        <v>1340079.161035262</v>
      </c>
      <c r="M254" s="5">
        <f t="shared" si="26"/>
        <v>205199.16103526205</v>
      </c>
      <c r="N254" s="5">
        <v>11348.800000000001</v>
      </c>
      <c r="O254" s="5">
        <v>221301.59999999998</v>
      </c>
      <c r="P254" s="2" t="s">
        <v>23</v>
      </c>
      <c r="Q254" s="5">
        <v>0</v>
      </c>
      <c r="R254" s="5">
        <f t="shared" si="27"/>
        <v>-4753.6389647379401</v>
      </c>
      <c r="S254" s="2" t="s">
        <v>24</v>
      </c>
      <c r="T254" s="2" t="s">
        <v>38</v>
      </c>
    </row>
    <row r="255" spans="1:20" x14ac:dyDescent="0.3">
      <c r="A255" s="9" t="s">
        <v>549</v>
      </c>
      <c r="B255" s="9" t="s">
        <v>550</v>
      </c>
      <c r="C255" s="9" t="s">
        <v>67</v>
      </c>
      <c r="D255" s="10">
        <v>118800</v>
      </c>
      <c r="E255" s="11">
        <v>0</v>
      </c>
      <c r="F255" s="12">
        <f t="shared" si="21"/>
        <v>0</v>
      </c>
      <c r="G255" s="12">
        <f t="shared" si="22"/>
        <v>118800</v>
      </c>
      <c r="H255" s="13">
        <v>0.1835</v>
      </c>
      <c r="I255" s="14">
        <v>12</v>
      </c>
      <c r="J255" s="15">
        <f t="shared" si="23"/>
        <v>1.5291666666666667E-2</v>
      </c>
      <c r="K255" s="12">
        <f t="shared" si="24"/>
        <v>10911.381418995363</v>
      </c>
      <c r="L255" s="12">
        <f t="shared" si="25"/>
        <v>130936.57702794435</v>
      </c>
      <c r="M255" s="12">
        <f t="shared" si="26"/>
        <v>12136.577027944353</v>
      </c>
      <c r="N255" s="12">
        <v>1188</v>
      </c>
      <c r="O255" s="12">
        <v>7722</v>
      </c>
      <c r="P255" s="9" t="s">
        <v>23</v>
      </c>
      <c r="Q255" s="12">
        <v>0</v>
      </c>
      <c r="R255" s="12">
        <f t="shared" si="27"/>
        <v>5602.5770279443532</v>
      </c>
      <c r="S255" s="9" t="s">
        <v>42</v>
      </c>
      <c r="T255" s="9" t="s">
        <v>184</v>
      </c>
    </row>
    <row r="256" spans="1:20" x14ac:dyDescent="0.3">
      <c r="A256" s="2" t="s">
        <v>551</v>
      </c>
      <c r="B256" s="2" t="s">
        <v>552</v>
      </c>
      <c r="C256" s="2" t="s">
        <v>67</v>
      </c>
      <c r="D256" s="3">
        <v>20600</v>
      </c>
      <c r="E256" s="4">
        <v>0.2</v>
      </c>
      <c r="F256" s="5">
        <f t="shared" si="21"/>
        <v>4120</v>
      </c>
      <c r="G256" s="5">
        <f t="shared" si="22"/>
        <v>16480</v>
      </c>
      <c r="H256" s="6">
        <v>0.153</v>
      </c>
      <c r="I256" s="7">
        <v>12</v>
      </c>
      <c r="J256" s="8">
        <f t="shared" si="23"/>
        <v>1.2749999999999999E-2</v>
      </c>
      <c r="K256" s="5">
        <f t="shared" si="24"/>
        <v>1489.7909166286704</v>
      </c>
      <c r="L256" s="5">
        <f t="shared" si="25"/>
        <v>17877.490999544047</v>
      </c>
      <c r="M256" s="5">
        <f t="shared" si="26"/>
        <v>1397.4909995440466</v>
      </c>
      <c r="N256" s="5">
        <v>499</v>
      </c>
      <c r="O256" s="5">
        <v>1071.2</v>
      </c>
      <c r="P256" s="2" t="s">
        <v>37</v>
      </c>
      <c r="Q256" s="5">
        <v>0</v>
      </c>
      <c r="R256" s="5">
        <f t="shared" si="27"/>
        <v>825.2909995440466</v>
      </c>
      <c r="S256" s="2" t="s">
        <v>30</v>
      </c>
      <c r="T256" s="2" t="s">
        <v>46</v>
      </c>
    </row>
    <row r="257" spans="1:20" x14ac:dyDescent="0.3">
      <c r="A257" s="9" t="s">
        <v>553</v>
      </c>
      <c r="B257" s="9" t="s">
        <v>554</v>
      </c>
      <c r="C257" s="9" t="s">
        <v>22</v>
      </c>
      <c r="D257" s="10">
        <v>249800</v>
      </c>
      <c r="E257" s="11">
        <v>0.1</v>
      </c>
      <c r="F257" s="12">
        <f t="shared" si="21"/>
        <v>24980</v>
      </c>
      <c r="G257" s="12">
        <f t="shared" si="22"/>
        <v>224820</v>
      </c>
      <c r="H257" s="13">
        <v>0.1454</v>
      </c>
      <c r="I257" s="14">
        <v>24</v>
      </c>
      <c r="J257" s="15">
        <f t="shared" si="23"/>
        <v>1.2116666666666666E-2</v>
      </c>
      <c r="K257" s="12">
        <f t="shared" si="24"/>
        <v>10851.697372312741</v>
      </c>
      <c r="L257" s="12">
        <f t="shared" si="25"/>
        <v>260440.73693550579</v>
      </c>
      <c r="M257" s="12">
        <f t="shared" si="26"/>
        <v>35620.736935505789</v>
      </c>
      <c r="N257" s="12">
        <v>2248.2000000000003</v>
      </c>
      <c r="O257" s="12">
        <v>29226.600000000002</v>
      </c>
      <c r="P257" s="9" t="s">
        <v>23</v>
      </c>
      <c r="Q257" s="12">
        <v>0</v>
      </c>
      <c r="R257" s="12">
        <f t="shared" si="27"/>
        <v>8642.3369355057839</v>
      </c>
      <c r="S257" s="9" t="s">
        <v>42</v>
      </c>
      <c r="T257" s="9" t="s">
        <v>88</v>
      </c>
    </row>
    <row r="258" spans="1:20" x14ac:dyDescent="0.3">
      <c r="A258" s="2" t="s">
        <v>555</v>
      </c>
      <c r="B258" s="2" t="s">
        <v>556</v>
      </c>
      <c r="C258" s="2" t="s">
        <v>28</v>
      </c>
      <c r="D258" s="3">
        <v>35800</v>
      </c>
      <c r="E258" s="4">
        <v>0.05</v>
      </c>
      <c r="F258" s="5">
        <f t="shared" ref="F258:F321" si="28">D258*E258</f>
        <v>1790</v>
      </c>
      <c r="G258" s="5">
        <f t="shared" ref="G258:G321" si="29">D258-F258</f>
        <v>34010</v>
      </c>
      <c r="H258" s="6">
        <v>0.17349999999999999</v>
      </c>
      <c r="I258" s="7">
        <v>9</v>
      </c>
      <c r="J258" s="8">
        <f t="shared" ref="J258:J321" si="30">H258/12</f>
        <v>1.4458333333333332E-2</v>
      </c>
      <c r="K258" s="5">
        <f t="shared" ref="K258:K321" si="31">-PMT(J258,I258,G258)</f>
        <v>4057.2982299554469</v>
      </c>
      <c r="L258" s="5">
        <f t="shared" ref="L258:L321" si="32">K258*I258</f>
        <v>36515.684069599025</v>
      </c>
      <c r="M258" s="5">
        <f t="shared" ref="M258:M321" si="33">L258-G258</f>
        <v>2505.684069599025</v>
      </c>
      <c r="N258" s="5">
        <v>499</v>
      </c>
      <c r="O258" s="5">
        <v>1657.9875000000002</v>
      </c>
      <c r="P258" s="2" t="s">
        <v>23</v>
      </c>
      <c r="Q258" s="5">
        <v>0</v>
      </c>
      <c r="R258" s="5">
        <f t="shared" ref="R258:R321" si="34">M258+N258-O258-Q258</f>
        <v>1346.6965695990248</v>
      </c>
      <c r="S258" s="2" t="s">
        <v>30</v>
      </c>
      <c r="T258" s="2" t="s">
        <v>46</v>
      </c>
    </row>
    <row r="259" spans="1:20" x14ac:dyDescent="0.3">
      <c r="A259" s="9" t="s">
        <v>557</v>
      </c>
      <c r="B259" s="9" t="s">
        <v>558</v>
      </c>
      <c r="C259" s="9" t="s">
        <v>67</v>
      </c>
      <c r="D259" s="10">
        <v>34400</v>
      </c>
      <c r="E259" s="11">
        <v>0.05</v>
      </c>
      <c r="F259" s="12">
        <f t="shared" si="28"/>
        <v>1720</v>
      </c>
      <c r="G259" s="12">
        <f t="shared" si="29"/>
        <v>32680</v>
      </c>
      <c r="H259" s="13">
        <v>0.20030000000000001</v>
      </c>
      <c r="I259" s="14">
        <v>9</v>
      </c>
      <c r="J259" s="15">
        <f t="shared" si="30"/>
        <v>1.6691666666666667E-2</v>
      </c>
      <c r="K259" s="12">
        <f t="shared" si="31"/>
        <v>3940.8438871224512</v>
      </c>
      <c r="L259" s="12">
        <f t="shared" si="32"/>
        <v>35467.594984102063</v>
      </c>
      <c r="M259" s="12">
        <f t="shared" si="33"/>
        <v>2787.5949841020629</v>
      </c>
      <c r="N259" s="12">
        <v>499</v>
      </c>
      <c r="O259" s="12">
        <v>1593.15</v>
      </c>
      <c r="P259" s="9" t="s">
        <v>23</v>
      </c>
      <c r="Q259" s="12">
        <v>0</v>
      </c>
      <c r="R259" s="12">
        <f t="shared" si="34"/>
        <v>1693.4449841020628</v>
      </c>
      <c r="S259" s="9" t="s">
        <v>24</v>
      </c>
      <c r="T259" s="9" t="s">
        <v>184</v>
      </c>
    </row>
    <row r="260" spans="1:20" x14ac:dyDescent="0.3">
      <c r="A260" s="2" t="s">
        <v>559</v>
      </c>
      <c r="B260" s="2" t="s">
        <v>560</v>
      </c>
      <c r="C260" s="2" t="s">
        <v>22</v>
      </c>
      <c r="D260" s="3">
        <v>226300</v>
      </c>
      <c r="E260" s="4">
        <v>0.2</v>
      </c>
      <c r="F260" s="5">
        <f t="shared" si="28"/>
        <v>45260</v>
      </c>
      <c r="G260" s="5">
        <f t="shared" si="29"/>
        <v>181040</v>
      </c>
      <c r="H260" s="6">
        <v>0.105</v>
      </c>
      <c r="I260" s="7">
        <v>12</v>
      </c>
      <c r="J260" s="8">
        <f t="shared" si="30"/>
        <v>8.7499999999999991E-3</v>
      </c>
      <c r="K260" s="5">
        <f t="shared" si="31"/>
        <v>15958.423067974296</v>
      </c>
      <c r="L260" s="5">
        <f t="shared" si="32"/>
        <v>191501.07681569154</v>
      </c>
      <c r="M260" s="5">
        <f t="shared" si="33"/>
        <v>10461.076815691544</v>
      </c>
      <c r="N260" s="5">
        <v>1810.4</v>
      </c>
      <c r="O260" s="5">
        <v>11767.6</v>
      </c>
      <c r="P260" s="2" t="s">
        <v>37</v>
      </c>
      <c r="Q260" s="5">
        <v>0</v>
      </c>
      <c r="R260" s="5">
        <f t="shared" si="34"/>
        <v>503.87681569154302</v>
      </c>
      <c r="S260" s="2" t="s">
        <v>42</v>
      </c>
      <c r="T260" s="2" t="s">
        <v>49</v>
      </c>
    </row>
    <row r="261" spans="1:20" x14ac:dyDescent="0.3">
      <c r="A261" s="9" t="s">
        <v>561</v>
      </c>
      <c r="B261" s="9" t="s">
        <v>562</v>
      </c>
      <c r="C261" s="9" t="s">
        <v>28</v>
      </c>
      <c r="D261" s="10">
        <v>136900</v>
      </c>
      <c r="E261" s="11">
        <v>0</v>
      </c>
      <c r="F261" s="12">
        <f t="shared" si="28"/>
        <v>0</v>
      </c>
      <c r="G261" s="12">
        <f t="shared" si="29"/>
        <v>136900</v>
      </c>
      <c r="H261" s="13">
        <v>0.17630000000000001</v>
      </c>
      <c r="I261" s="14">
        <v>12</v>
      </c>
      <c r="J261" s="15">
        <f t="shared" si="30"/>
        <v>1.4691666666666667E-2</v>
      </c>
      <c r="K261" s="12">
        <f t="shared" si="31"/>
        <v>12526.897187427006</v>
      </c>
      <c r="L261" s="12">
        <f t="shared" si="32"/>
        <v>150322.76624912408</v>
      </c>
      <c r="M261" s="12">
        <f t="shared" si="33"/>
        <v>13422.766249124077</v>
      </c>
      <c r="N261" s="12">
        <v>1369</v>
      </c>
      <c r="O261" s="12">
        <v>8898.5</v>
      </c>
      <c r="P261" s="9" t="s">
        <v>23</v>
      </c>
      <c r="Q261" s="12">
        <v>0</v>
      </c>
      <c r="R261" s="12">
        <f t="shared" si="34"/>
        <v>5893.2662491240771</v>
      </c>
      <c r="S261" s="9" t="s">
        <v>58</v>
      </c>
      <c r="T261" s="9" t="s">
        <v>38</v>
      </c>
    </row>
    <row r="262" spans="1:20" x14ac:dyDescent="0.3">
      <c r="A262" s="2" t="s">
        <v>563</v>
      </c>
      <c r="B262" s="2" t="s">
        <v>564</v>
      </c>
      <c r="C262" s="2" t="s">
        <v>22</v>
      </c>
      <c r="D262" s="3">
        <v>112600</v>
      </c>
      <c r="E262" s="4">
        <v>0.2</v>
      </c>
      <c r="F262" s="5">
        <f t="shared" si="28"/>
        <v>22520</v>
      </c>
      <c r="G262" s="5">
        <f t="shared" si="29"/>
        <v>90080</v>
      </c>
      <c r="H262" s="6">
        <v>0.11070000000000001</v>
      </c>
      <c r="I262" s="7">
        <v>24</v>
      </c>
      <c r="J262" s="8">
        <f t="shared" si="30"/>
        <v>9.2250000000000006E-3</v>
      </c>
      <c r="K262" s="5">
        <f t="shared" si="31"/>
        <v>4201.3621909805888</v>
      </c>
      <c r="L262" s="5">
        <f t="shared" si="32"/>
        <v>100832.69258353414</v>
      </c>
      <c r="M262" s="5">
        <f t="shared" si="33"/>
        <v>10752.692583534139</v>
      </c>
      <c r="N262" s="5">
        <v>900.80000000000007</v>
      </c>
      <c r="O262" s="5">
        <v>11710.4</v>
      </c>
      <c r="P262" s="2" t="s">
        <v>23</v>
      </c>
      <c r="Q262" s="5">
        <v>0</v>
      </c>
      <c r="R262" s="5">
        <f t="shared" si="34"/>
        <v>-56.907416465861388</v>
      </c>
      <c r="S262" s="2" t="s">
        <v>58</v>
      </c>
      <c r="T262" s="2" t="s">
        <v>88</v>
      </c>
    </row>
    <row r="263" spans="1:20" x14ac:dyDescent="0.3">
      <c r="A263" s="9" t="s">
        <v>565</v>
      </c>
      <c r="B263" s="9" t="s">
        <v>566</v>
      </c>
      <c r="C263" s="9" t="s">
        <v>22</v>
      </c>
      <c r="D263" s="10">
        <v>279100</v>
      </c>
      <c r="E263" s="11">
        <v>0.1</v>
      </c>
      <c r="F263" s="12">
        <f t="shared" si="28"/>
        <v>27910</v>
      </c>
      <c r="G263" s="12">
        <f t="shared" si="29"/>
        <v>251190</v>
      </c>
      <c r="H263" s="13">
        <v>0.16059999999999999</v>
      </c>
      <c r="I263" s="14">
        <v>24</v>
      </c>
      <c r="J263" s="15">
        <f t="shared" si="30"/>
        <v>1.3383333333333332E-2</v>
      </c>
      <c r="K263" s="12">
        <f t="shared" si="31"/>
        <v>12306.246200205345</v>
      </c>
      <c r="L263" s="12">
        <f t="shared" si="32"/>
        <v>295349.9088049283</v>
      </c>
      <c r="M263" s="12">
        <f t="shared" si="33"/>
        <v>44159.908804928302</v>
      </c>
      <c r="N263" s="12">
        <v>2511.9</v>
      </c>
      <c r="O263" s="12">
        <v>32654.7</v>
      </c>
      <c r="P263" s="9" t="s">
        <v>23</v>
      </c>
      <c r="Q263" s="12">
        <v>0</v>
      </c>
      <c r="R263" s="12">
        <f t="shared" si="34"/>
        <v>14017.108804928303</v>
      </c>
      <c r="S263" s="9" t="s">
        <v>24</v>
      </c>
      <c r="T263" s="9" t="s">
        <v>52</v>
      </c>
    </row>
    <row r="264" spans="1:20" x14ac:dyDescent="0.3">
      <c r="A264" s="2" t="s">
        <v>567</v>
      </c>
      <c r="B264" s="2" t="s">
        <v>568</v>
      </c>
      <c r="C264" s="2" t="s">
        <v>28</v>
      </c>
      <c r="D264" s="3">
        <v>113000</v>
      </c>
      <c r="E264" s="4">
        <v>0</v>
      </c>
      <c r="F264" s="5">
        <f t="shared" si="28"/>
        <v>0</v>
      </c>
      <c r="G264" s="5">
        <f t="shared" si="29"/>
        <v>113000</v>
      </c>
      <c r="H264" s="6">
        <v>0.12620000000000001</v>
      </c>
      <c r="I264" s="7">
        <v>24</v>
      </c>
      <c r="J264" s="8">
        <f t="shared" si="30"/>
        <v>1.0516666666666667E-2</v>
      </c>
      <c r="K264" s="5">
        <f t="shared" si="31"/>
        <v>5352.0788723659634</v>
      </c>
      <c r="L264" s="5">
        <f t="shared" si="32"/>
        <v>128449.89293678312</v>
      </c>
      <c r="M264" s="5">
        <f t="shared" si="33"/>
        <v>15449.892936783115</v>
      </c>
      <c r="N264" s="5">
        <v>1130</v>
      </c>
      <c r="O264" s="5">
        <v>14690</v>
      </c>
      <c r="P264" s="2" t="s">
        <v>37</v>
      </c>
      <c r="Q264" s="5">
        <v>0</v>
      </c>
      <c r="R264" s="5">
        <f t="shared" si="34"/>
        <v>1889.8929367831151</v>
      </c>
      <c r="S264" s="2" t="s">
        <v>30</v>
      </c>
      <c r="T264" s="2" t="s">
        <v>25</v>
      </c>
    </row>
    <row r="265" spans="1:20" x14ac:dyDescent="0.3">
      <c r="A265" s="9" t="s">
        <v>569</v>
      </c>
      <c r="B265" s="9" t="s">
        <v>570</v>
      </c>
      <c r="C265" s="9" t="s">
        <v>28</v>
      </c>
      <c r="D265" s="10">
        <v>45600</v>
      </c>
      <c r="E265" s="11">
        <v>0</v>
      </c>
      <c r="F265" s="12">
        <f t="shared" si="28"/>
        <v>0</v>
      </c>
      <c r="G265" s="12">
        <f t="shared" si="29"/>
        <v>45600</v>
      </c>
      <c r="H265" s="13">
        <v>0.18840000000000001</v>
      </c>
      <c r="I265" s="14">
        <v>18</v>
      </c>
      <c r="J265" s="15">
        <f t="shared" si="30"/>
        <v>1.5700000000000002E-2</v>
      </c>
      <c r="K265" s="12">
        <f t="shared" si="31"/>
        <v>2927.8354211199426</v>
      </c>
      <c r="L265" s="12">
        <f t="shared" si="32"/>
        <v>52701.037580158969</v>
      </c>
      <c r="M265" s="12">
        <f t="shared" si="33"/>
        <v>7101.0375801589689</v>
      </c>
      <c r="N265" s="12">
        <v>499</v>
      </c>
      <c r="O265" s="12">
        <v>4446</v>
      </c>
      <c r="P265" s="9" t="s">
        <v>23</v>
      </c>
      <c r="Q265" s="12">
        <v>0</v>
      </c>
      <c r="R265" s="12">
        <f t="shared" si="34"/>
        <v>3154.0375801589689</v>
      </c>
      <c r="S265" s="9" t="s">
        <v>42</v>
      </c>
      <c r="T265" s="9" t="s">
        <v>43</v>
      </c>
    </row>
    <row r="266" spans="1:20" x14ac:dyDescent="0.3">
      <c r="A266" s="2" t="s">
        <v>571</v>
      </c>
      <c r="B266" s="2" t="s">
        <v>572</v>
      </c>
      <c r="C266" s="2" t="s">
        <v>41</v>
      </c>
      <c r="D266" s="3">
        <v>890000</v>
      </c>
      <c r="E266" s="4">
        <v>0.3</v>
      </c>
      <c r="F266" s="5">
        <f t="shared" si="28"/>
        <v>267000</v>
      </c>
      <c r="G266" s="5">
        <f t="shared" si="29"/>
        <v>623000</v>
      </c>
      <c r="H266" s="6">
        <v>8.6699999999999999E-2</v>
      </c>
      <c r="I266" s="7">
        <v>48</v>
      </c>
      <c r="J266" s="8">
        <f t="shared" si="30"/>
        <v>7.2249999999999997E-3</v>
      </c>
      <c r="K266" s="5">
        <f t="shared" si="31"/>
        <v>15405.944209378022</v>
      </c>
      <c r="L266" s="5">
        <f t="shared" si="32"/>
        <v>739485.32205014501</v>
      </c>
      <c r="M266" s="5">
        <f t="shared" si="33"/>
        <v>116485.32205014501</v>
      </c>
      <c r="N266" s="5">
        <v>6230</v>
      </c>
      <c r="O266" s="5">
        <v>161980</v>
      </c>
      <c r="P266" s="2" t="s">
        <v>23</v>
      </c>
      <c r="Q266" s="5">
        <v>0</v>
      </c>
      <c r="R266" s="5">
        <f t="shared" si="34"/>
        <v>-39264.677949854988</v>
      </c>
      <c r="S266" s="2" t="s">
        <v>24</v>
      </c>
      <c r="T266" s="2" t="s">
        <v>52</v>
      </c>
    </row>
    <row r="267" spans="1:20" x14ac:dyDescent="0.3">
      <c r="A267" s="9" t="s">
        <v>573</v>
      </c>
      <c r="B267" s="9" t="s">
        <v>574</v>
      </c>
      <c r="C267" s="9" t="s">
        <v>28</v>
      </c>
      <c r="D267" s="10">
        <v>125900</v>
      </c>
      <c r="E267" s="11">
        <v>0.1</v>
      </c>
      <c r="F267" s="12">
        <f t="shared" si="28"/>
        <v>12590</v>
      </c>
      <c r="G267" s="12">
        <f t="shared" si="29"/>
        <v>113310</v>
      </c>
      <c r="H267" s="13">
        <v>0.1779</v>
      </c>
      <c r="I267" s="14">
        <v>18</v>
      </c>
      <c r="J267" s="15">
        <f t="shared" si="30"/>
        <v>1.4825E-2</v>
      </c>
      <c r="K267" s="12">
        <f t="shared" si="31"/>
        <v>7218.4951502667082</v>
      </c>
      <c r="L267" s="12">
        <f t="shared" si="32"/>
        <v>129932.91270480075</v>
      </c>
      <c r="M267" s="12">
        <f t="shared" si="33"/>
        <v>16622.91270480075</v>
      </c>
      <c r="N267" s="12">
        <v>1133.1000000000001</v>
      </c>
      <c r="O267" s="12">
        <v>11047.725</v>
      </c>
      <c r="P267" s="9" t="s">
        <v>23</v>
      </c>
      <c r="Q267" s="12">
        <v>0</v>
      </c>
      <c r="R267" s="12">
        <f t="shared" si="34"/>
        <v>6708.2877048007485</v>
      </c>
      <c r="S267" s="9" t="s">
        <v>30</v>
      </c>
      <c r="T267" s="9" t="s">
        <v>25</v>
      </c>
    </row>
    <row r="268" spans="1:20" x14ac:dyDescent="0.3">
      <c r="A268" s="2" t="s">
        <v>575</v>
      </c>
      <c r="B268" s="2" t="s">
        <v>576</v>
      </c>
      <c r="C268" s="2" t="s">
        <v>67</v>
      </c>
      <c r="D268" s="3">
        <v>55500</v>
      </c>
      <c r="E268" s="4">
        <v>0</v>
      </c>
      <c r="F268" s="5">
        <f t="shared" si="28"/>
        <v>0</v>
      </c>
      <c r="G268" s="5">
        <f t="shared" si="29"/>
        <v>55500</v>
      </c>
      <c r="H268" s="6">
        <v>0.19600000000000001</v>
      </c>
      <c r="I268" s="7">
        <v>18</v>
      </c>
      <c r="J268" s="8">
        <f t="shared" si="30"/>
        <v>1.6333333333333335E-2</v>
      </c>
      <c r="K268" s="5">
        <f t="shared" si="31"/>
        <v>3583.6945590894461</v>
      </c>
      <c r="L268" s="5">
        <f t="shared" si="32"/>
        <v>64506.502063610031</v>
      </c>
      <c r="M268" s="5">
        <f t="shared" si="33"/>
        <v>9006.5020636100307</v>
      </c>
      <c r="N268" s="5">
        <v>555</v>
      </c>
      <c r="O268" s="5">
        <v>5411.25</v>
      </c>
      <c r="P268" s="2" t="s">
        <v>23</v>
      </c>
      <c r="Q268" s="5">
        <v>0</v>
      </c>
      <c r="R268" s="5">
        <f t="shared" si="34"/>
        <v>4150.2520636100307</v>
      </c>
      <c r="S268" s="2" t="s">
        <v>24</v>
      </c>
      <c r="T268" s="2" t="s">
        <v>97</v>
      </c>
    </row>
    <row r="269" spans="1:20" x14ac:dyDescent="0.3">
      <c r="A269" s="9" t="s">
        <v>577</v>
      </c>
      <c r="B269" s="9" t="s">
        <v>578</v>
      </c>
      <c r="C269" s="9" t="s">
        <v>67</v>
      </c>
      <c r="D269" s="10">
        <v>53800</v>
      </c>
      <c r="E269" s="11">
        <v>0.2</v>
      </c>
      <c r="F269" s="12">
        <f t="shared" si="28"/>
        <v>10760</v>
      </c>
      <c r="G269" s="12">
        <f t="shared" si="29"/>
        <v>43040</v>
      </c>
      <c r="H269" s="13">
        <v>0.20150000000000001</v>
      </c>
      <c r="I269" s="14">
        <v>24</v>
      </c>
      <c r="J269" s="15">
        <f t="shared" si="30"/>
        <v>1.6791666666666667E-2</v>
      </c>
      <c r="K269" s="12">
        <f t="shared" si="31"/>
        <v>2193.7105078970012</v>
      </c>
      <c r="L269" s="12">
        <f t="shared" si="32"/>
        <v>52649.052189528025</v>
      </c>
      <c r="M269" s="12">
        <f t="shared" si="33"/>
        <v>9609.0521895280253</v>
      </c>
      <c r="N269" s="12">
        <v>499</v>
      </c>
      <c r="O269" s="12">
        <v>5595.2</v>
      </c>
      <c r="P269" s="9" t="s">
        <v>23</v>
      </c>
      <c r="Q269" s="12">
        <v>0</v>
      </c>
      <c r="R269" s="12">
        <f t="shared" si="34"/>
        <v>4512.8521895280255</v>
      </c>
      <c r="S269" s="9" t="s">
        <v>42</v>
      </c>
      <c r="T269" s="9" t="s">
        <v>38</v>
      </c>
    </row>
    <row r="270" spans="1:20" x14ac:dyDescent="0.3">
      <c r="A270" s="2" t="s">
        <v>579</v>
      </c>
      <c r="B270" s="2" t="s">
        <v>580</v>
      </c>
      <c r="C270" s="2" t="s">
        <v>41</v>
      </c>
      <c r="D270" s="3">
        <v>820700</v>
      </c>
      <c r="E270" s="4">
        <v>0.25</v>
      </c>
      <c r="F270" s="5">
        <f t="shared" si="28"/>
        <v>205175</v>
      </c>
      <c r="G270" s="5">
        <f t="shared" si="29"/>
        <v>615525</v>
      </c>
      <c r="H270" s="6">
        <v>0.1111</v>
      </c>
      <c r="I270" s="7">
        <v>72</v>
      </c>
      <c r="J270" s="8">
        <f t="shared" si="30"/>
        <v>9.2583333333333337E-3</v>
      </c>
      <c r="K270" s="5">
        <f t="shared" si="31"/>
        <v>11750.659959670465</v>
      </c>
      <c r="L270" s="5">
        <f t="shared" si="32"/>
        <v>846047.51709627348</v>
      </c>
      <c r="M270" s="5">
        <f t="shared" si="33"/>
        <v>230522.51709627348</v>
      </c>
      <c r="N270" s="5">
        <v>6155.25</v>
      </c>
      <c r="O270" s="5">
        <v>240054.75</v>
      </c>
      <c r="P270" s="2" t="s">
        <v>37</v>
      </c>
      <c r="Q270" s="5">
        <v>0</v>
      </c>
      <c r="R270" s="5">
        <f t="shared" si="34"/>
        <v>-3376.9829037265154</v>
      </c>
      <c r="S270" s="2" t="s">
        <v>30</v>
      </c>
      <c r="T270" s="2" t="s">
        <v>49</v>
      </c>
    </row>
    <row r="271" spans="1:20" x14ac:dyDescent="0.3">
      <c r="A271" s="9" t="s">
        <v>581</v>
      </c>
      <c r="B271" s="9" t="s">
        <v>582</v>
      </c>
      <c r="C271" s="9" t="s">
        <v>41</v>
      </c>
      <c r="D271" s="10">
        <v>530500</v>
      </c>
      <c r="E271" s="11">
        <v>0.3</v>
      </c>
      <c r="F271" s="12">
        <f t="shared" si="28"/>
        <v>159150</v>
      </c>
      <c r="G271" s="12">
        <f t="shared" si="29"/>
        <v>371350</v>
      </c>
      <c r="H271" s="13">
        <v>0.1148</v>
      </c>
      <c r="I271" s="14">
        <v>72</v>
      </c>
      <c r="J271" s="15">
        <f t="shared" si="30"/>
        <v>9.566666666666666E-3</v>
      </c>
      <c r="K271" s="12">
        <f t="shared" si="31"/>
        <v>7159.938230195462</v>
      </c>
      <c r="L271" s="12">
        <f t="shared" si="32"/>
        <v>515515.55257407326</v>
      </c>
      <c r="M271" s="12">
        <f t="shared" si="33"/>
        <v>144165.55257407326</v>
      </c>
      <c r="N271" s="12">
        <v>3713.5</v>
      </c>
      <c r="O271" s="12">
        <v>144826.5</v>
      </c>
      <c r="P271" s="9" t="s">
        <v>37</v>
      </c>
      <c r="Q271" s="12">
        <v>0</v>
      </c>
      <c r="R271" s="12">
        <f t="shared" si="34"/>
        <v>3052.5525740732555</v>
      </c>
      <c r="S271" s="9" t="s">
        <v>30</v>
      </c>
      <c r="T271" s="9" t="s">
        <v>46</v>
      </c>
    </row>
    <row r="272" spans="1:20" x14ac:dyDescent="0.3">
      <c r="A272" s="2" t="s">
        <v>583</v>
      </c>
      <c r="B272" s="2" t="s">
        <v>584</v>
      </c>
      <c r="C272" s="2" t="s">
        <v>22</v>
      </c>
      <c r="D272" s="3">
        <v>294800</v>
      </c>
      <c r="E272" s="4">
        <v>0.2</v>
      </c>
      <c r="F272" s="5">
        <f t="shared" si="28"/>
        <v>58960</v>
      </c>
      <c r="G272" s="5">
        <f t="shared" si="29"/>
        <v>235840</v>
      </c>
      <c r="H272" s="6">
        <v>0.13700000000000001</v>
      </c>
      <c r="I272" s="7">
        <v>60</v>
      </c>
      <c r="J272" s="8">
        <f t="shared" si="30"/>
        <v>1.1416666666666667E-2</v>
      </c>
      <c r="K272" s="5">
        <f t="shared" si="31"/>
        <v>5450.9728644170182</v>
      </c>
      <c r="L272" s="5">
        <f t="shared" si="32"/>
        <v>327058.37186502106</v>
      </c>
      <c r="M272" s="5">
        <f t="shared" si="33"/>
        <v>91218.371865021065</v>
      </c>
      <c r="N272" s="5">
        <v>2358.4</v>
      </c>
      <c r="O272" s="5">
        <v>76648</v>
      </c>
      <c r="P272" s="2" t="s">
        <v>23</v>
      </c>
      <c r="Q272" s="5">
        <v>0</v>
      </c>
      <c r="R272" s="5">
        <f t="shared" si="34"/>
        <v>16928.771865021059</v>
      </c>
      <c r="S272" s="2" t="s">
        <v>30</v>
      </c>
      <c r="T272" s="2" t="s">
        <v>55</v>
      </c>
    </row>
    <row r="273" spans="1:20" x14ac:dyDescent="0.3">
      <c r="A273" s="9" t="s">
        <v>585</v>
      </c>
      <c r="B273" s="9" t="s">
        <v>586</v>
      </c>
      <c r="C273" s="9" t="s">
        <v>28</v>
      </c>
      <c r="D273" s="10">
        <v>44400</v>
      </c>
      <c r="E273" s="11">
        <v>0</v>
      </c>
      <c r="F273" s="12">
        <f t="shared" si="28"/>
        <v>0</v>
      </c>
      <c r="G273" s="12">
        <f t="shared" si="29"/>
        <v>44400</v>
      </c>
      <c r="H273" s="13">
        <v>0.1351</v>
      </c>
      <c r="I273" s="14">
        <v>36</v>
      </c>
      <c r="J273" s="15">
        <f t="shared" si="30"/>
        <v>1.1258333333333334E-2</v>
      </c>
      <c r="K273" s="12">
        <f t="shared" si="31"/>
        <v>1506.9415196312398</v>
      </c>
      <c r="L273" s="12">
        <f t="shared" si="32"/>
        <v>54249.894706724634</v>
      </c>
      <c r="M273" s="12">
        <f t="shared" si="33"/>
        <v>9849.8947067246336</v>
      </c>
      <c r="N273" s="12">
        <v>499</v>
      </c>
      <c r="O273" s="12">
        <v>8658</v>
      </c>
      <c r="P273" s="9" t="s">
        <v>29</v>
      </c>
      <c r="Q273" s="12">
        <v>17760</v>
      </c>
      <c r="R273" s="12">
        <f t="shared" si="34"/>
        <v>-16069.105293275366</v>
      </c>
      <c r="S273" s="9" t="s">
        <v>42</v>
      </c>
      <c r="T273" s="9" t="s">
        <v>25</v>
      </c>
    </row>
    <row r="274" spans="1:20" x14ac:dyDescent="0.3">
      <c r="A274" s="2" t="s">
        <v>587</v>
      </c>
      <c r="B274" s="2" t="s">
        <v>588</v>
      </c>
      <c r="C274" s="2" t="s">
        <v>22</v>
      </c>
      <c r="D274" s="3">
        <v>272100</v>
      </c>
      <c r="E274" s="4">
        <v>0.05</v>
      </c>
      <c r="F274" s="5">
        <f t="shared" si="28"/>
        <v>13605</v>
      </c>
      <c r="G274" s="5">
        <f t="shared" si="29"/>
        <v>258495</v>
      </c>
      <c r="H274" s="6">
        <v>0.1013</v>
      </c>
      <c r="I274" s="7">
        <v>24</v>
      </c>
      <c r="J274" s="8">
        <f t="shared" si="30"/>
        <v>8.4416666666666668E-3</v>
      </c>
      <c r="K274" s="5">
        <f t="shared" si="31"/>
        <v>11943.748741556497</v>
      </c>
      <c r="L274" s="5">
        <f t="shared" si="32"/>
        <v>286649.96979735594</v>
      </c>
      <c r="M274" s="5">
        <f t="shared" si="33"/>
        <v>28154.969797355938</v>
      </c>
      <c r="N274" s="5">
        <v>2584.9500000000003</v>
      </c>
      <c r="O274" s="5">
        <v>33604.35</v>
      </c>
      <c r="P274" s="2" t="s">
        <v>37</v>
      </c>
      <c r="Q274" s="5">
        <v>0</v>
      </c>
      <c r="R274" s="5">
        <f t="shared" si="34"/>
        <v>-2864.43020264406</v>
      </c>
      <c r="S274" s="2" t="s">
        <v>24</v>
      </c>
      <c r="T274" s="2" t="s">
        <v>97</v>
      </c>
    </row>
    <row r="275" spans="1:20" x14ac:dyDescent="0.3">
      <c r="A275" s="9" t="s">
        <v>589</v>
      </c>
      <c r="B275" s="9" t="s">
        <v>590</v>
      </c>
      <c r="C275" s="9" t="s">
        <v>22</v>
      </c>
      <c r="D275" s="10">
        <v>228800</v>
      </c>
      <c r="E275" s="11">
        <v>0.2</v>
      </c>
      <c r="F275" s="12">
        <f t="shared" si="28"/>
        <v>45760</v>
      </c>
      <c r="G275" s="12">
        <f t="shared" si="29"/>
        <v>183040</v>
      </c>
      <c r="H275" s="13">
        <v>0.10390000000000001</v>
      </c>
      <c r="I275" s="14">
        <v>12</v>
      </c>
      <c r="J275" s="15">
        <f t="shared" si="30"/>
        <v>8.6583333333333339E-3</v>
      </c>
      <c r="K275" s="12">
        <f t="shared" si="31"/>
        <v>16125.343752589741</v>
      </c>
      <c r="L275" s="12">
        <f t="shared" si="32"/>
        <v>193504.1250310769</v>
      </c>
      <c r="M275" s="12">
        <f t="shared" si="33"/>
        <v>10464.125031076896</v>
      </c>
      <c r="N275" s="12">
        <v>1830.4</v>
      </c>
      <c r="O275" s="12">
        <v>11897.6</v>
      </c>
      <c r="P275" s="9" t="s">
        <v>23</v>
      </c>
      <c r="Q275" s="12">
        <v>0</v>
      </c>
      <c r="R275" s="12">
        <f t="shared" si="34"/>
        <v>396.92503107689481</v>
      </c>
      <c r="S275" s="9" t="s">
        <v>30</v>
      </c>
      <c r="T275" s="9" t="s">
        <v>46</v>
      </c>
    </row>
    <row r="276" spans="1:20" x14ac:dyDescent="0.3">
      <c r="A276" s="2" t="s">
        <v>591</v>
      </c>
      <c r="B276" s="2" t="s">
        <v>592</v>
      </c>
      <c r="C276" s="2" t="s">
        <v>67</v>
      </c>
      <c r="D276" s="3">
        <v>119300</v>
      </c>
      <c r="E276" s="4">
        <v>0.15</v>
      </c>
      <c r="F276" s="5">
        <f t="shared" si="28"/>
        <v>17895</v>
      </c>
      <c r="G276" s="5">
        <f t="shared" si="29"/>
        <v>101405</v>
      </c>
      <c r="H276" s="6">
        <v>0.15870000000000001</v>
      </c>
      <c r="I276" s="7">
        <v>24</v>
      </c>
      <c r="J276" s="8">
        <f t="shared" si="30"/>
        <v>1.3225000000000001E-2</v>
      </c>
      <c r="K276" s="5">
        <f t="shared" si="31"/>
        <v>4958.8077376457795</v>
      </c>
      <c r="L276" s="5">
        <f t="shared" si="32"/>
        <v>119011.3857034987</v>
      </c>
      <c r="M276" s="5">
        <f t="shared" si="33"/>
        <v>17606.385703498701</v>
      </c>
      <c r="N276" s="5">
        <v>1014.0500000000001</v>
      </c>
      <c r="O276" s="5">
        <v>13182.65</v>
      </c>
      <c r="P276" s="2" t="s">
        <v>37</v>
      </c>
      <c r="Q276" s="5">
        <v>0</v>
      </c>
      <c r="R276" s="5">
        <f t="shared" si="34"/>
        <v>5437.785703498701</v>
      </c>
      <c r="S276" s="2" t="s">
        <v>58</v>
      </c>
      <c r="T276" s="2" t="s">
        <v>55</v>
      </c>
    </row>
    <row r="277" spans="1:20" x14ac:dyDescent="0.3">
      <c r="A277" s="9" t="s">
        <v>593</v>
      </c>
      <c r="B277" s="9" t="s">
        <v>594</v>
      </c>
      <c r="C277" s="9" t="s">
        <v>67</v>
      </c>
      <c r="D277" s="10">
        <v>24000</v>
      </c>
      <c r="E277" s="11">
        <v>0.1</v>
      </c>
      <c r="F277" s="12">
        <f t="shared" si="28"/>
        <v>2400</v>
      </c>
      <c r="G277" s="12">
        <f t="shared" si="29"/>
        <v>21600</v>
      </c>
      <c r="H277" s="13">
        <v>0.1928</v>
      </c>
      <c r="I277" s="14">
        <v>6</v>
      </c>
      <c r="J277" s="15">
        <f t="shared" si="30"/>
        <v>1.6066666666666667E-2</v>
      </c>
      <c r="K277" s="12">
        <f t="shared" si="31"/>
        <v>3805.1284820293754</v>
      </c>
      <c r="L277" s="12">
        <f t="shared" si="32"/>
        <v>22830.770892176253</v>
      </c>
      <c r="M277" s="12">
        <f t="shared" si="33"/>
        <v>1230.7708921762533</v>
      </c>
      <c r="N277" s="12">
        <v>499</v>
      </c>
      <c r="O277" s="12">
        <v>702</v>
      </c>
      <c r="P277" s="9" t="s">
        <v>37</v>
      </c>
      <c r="Q277" s="12">
        <v>0</v>
      </c>
      <c r="R277" s="12">
        <f t="shared" si="34"/>
        <v>1027.7708921762533</v>
      </c>
      <c r="S277" s="9" t="s">
        <v>24</v>
      </c>
      <c r="T277" s="9" t="s">
        <v>52</v>
      </c>
    </row>
    <row r="278" spans="1:20" x14ac:dyDescent="0.3">
      <c r="A278" s="2" t="s">
        <v>595</v>
      </c>
      <c r="B278" s="2" t="s">
        <v>596</v>
      </c>
      <c r="C278" s="2" t="s">
        <v>41</v>
      </c>
      <c r="D278" s="3">
        <v>1367700</v>
      </c>
      <c r="E278" s="4">
        <v>0.3</v>
      </c>
      <c r="F278" s="5">
        <f t="shared" si="28"/>
        <v>410310</v>
      </c>
      <c r="G278" s="5">
        <f t="shared" si="29"/>
        <v>957390</v>
      </c>
      <c r="H278" s="6">
        <v>0.1123</v>
      </c>
      <c r="I278" s="7">
        <v>72</v>
      </c>
      <c r="J278" s="8">
        <f t="shared" si="30"/>
        <v>9.3583333333333331E-3</v>
      </c>
      <c r="K278" s="5">
        <f t="shared" si="31"/>
        <v>18336.020014043272</v>
      </c>
      <c r="L278" s="5">
        <f t="shared" si="32"/>
        <v>1320193.4410111154</v>
      </c>
      <c r="M278" s="5">
        <f t="shared" si="33"/>
        <v>362803.44101111544</v>
      </c>
      <c r="N278" s="5">
        <v>9573.9</v>
      </c>
      <c r="O278" s="5">
        <v>373382.1</v>
      </c>
      <c r="P278" s="2" t="s">
        <v>23</v>
      </c>
      <c r="Q278" s="5">
        <v>0</v>
      </c>
      <c r="R278" s="5">
        <f t="shared" si="34"/>
        <v>-1004.7589888845105</v>
      </c>
      <c r="S278" s="2" t="s">
        <v>58</v>
      </c>
      <c r="T278" s="2" t="s">
        <v>49</v>
      </c>
    </row>
    <row r="279" spans="1:20" x14ac:dyDescent="0.3">
      <c r="A279" s="9" t="s">
        <v>597</v>
      </c>
      <c r="B279" s="9" t="s">
        <v>598</v>
      </c>
      <c r="C279" s="9" t="s">
        <v>22</v>
      </c>
      <c r="D279" s="10">
        <v>248600</v>
      </c>
      <c r="E279" s="11">
        <v>0.2</v>
      </c>
      <c r="F279" s="12">
        <f t="shared" si="28"/>
        <v>49720</v>
      </c>
      <c r="G279" s="12">
        <f t="shared" si="29"/>
        <v>198880</v>
      </c>
      <c r="H279" s="13">
        <v>0.1255</v>
      </c>
      <c r="I279" s="14">
        <v>48</v>
      </c>
      <c r="J279" s="15">
        <f t="shared" si="30"/>
        <v>1.0458333333333333E-2</v>
      </c>
      <c r="K279" s="12">
        <f t="shared" si="31"/>
        <v>5291.140476592378</v>
      </c>
      <c r="L279" s="12">
        <f t="shared" si="32"/>
        <v>253974.74287643415</v>
      </c>
      <c r="M279" s="12">
        <f t="shared" si="33"/>
        <v>55094.742876434146</v>
      </c>
      <c r="N279" s="12">
        <v>1988.8</v>
      </c>
      <c r="O279" s="12">
        <v>51708.800000000003</v>
      </c>
      <c r="P279" s="9" t="s">
        <v>37</v>
      </c>
      <c r="Q279" s="12">
        <v>0</v>
      </c>
      <c r="R279" s="12">
        <f t="shared" si="34"/>
        <v>5374.7428764341457</v>
      </c>
      <c r="S279" s="9" t="s">
        <v>42</v>
      </c>
      <c r="T279" s="9" t="s">
        <v>34</v>
      </c>
    </row>
    <row r="280" spans="1:20" x14ac:dyDescent="0.3">
      <c r="A280" s="2" t="s">
        <v>599</v>
      </c>
      <c r="B280" s="2" t="s">
        <v>600</v>
      </c>
      <c r="C280" s="2" t="s">
        <v>22</v>
      </c>
      <c r="D280" s="3">
        <v>173600</v>
      </c>
      <c r="E280" s="4">
        <v>0.1</v>
      </c>
      <c r="F280" s="5">
        <f t="shared" si="28"/>
        <v>17360</v>
      </c>
      <c r="G280" s="5">
        <f t="shared" si="29"/>
        <v>156240</v>
      </c>
      <c r="H280" s="6">
        <v>0.16789999999999999</v>
      </c>
      <c r="I280" s="7">
        <v>36</v>
      </c>
      <c r="J280" s="8">
        <f t="shared" si="30"/>
        <v>1.3991666666666666E-2</v>
      </c>
      <c r="K280" s="5">
        <f t="shared" si="31"/>
        <v>5554.0666296885338</v>
      </c>
      <c r="L280" s="5">
        <f t="shared" si="32"/>
        <v>199946.39866878721</v>
      </c>
      <c r="M280" s="5">
        <f t="shared" si="33"/>
        <v>43706.398668787209</v>
      </c>
      <c r="N280" s="5">
        <v>1562.4</v>
      </c>
      <c r="O280" s="5">
        <v>30466.800000000003</v>
      </c>
      <c r="P280" s="2" t="s">
        <v>23</v>
      </c>
      <c r="Q280" s="5">
        <v>0</v>
      </c>
      <c r="R280" s="5">
        <f t="shared" si="34"/>
        <v>14801.998668787208</v>
      </c>
      <c r="S280" s="2" t="s">
        <v>24</v>
      </c>
      <c r="T280" s="2" t="s">
        <v>52</v>
      </c>
    </row>
    <row r="281" spans="1:20" x14ac:dyDescent="0.3">
      <c r="A281" s="9" t="s">
        <v>601</v>
      </c>
      <c r="B281" s="9" t="s">
        <v>602</v>
      </c>
      <c r="C281" s="9" t="s">
        <v>28</v>
      </c>
      <c r="D281" s="10">
        <v>77100</v>
      </c>
      <c r="E281" s="11">
        <v>0.05</v>
      </c>
      <c r="F281" s="12">
        <f t="shared" si="28"/>
        <v>3855</v>
      </c>
      <c r="G281" s="12">
        <f t="shared" si="29"/>
        <v>73245</v>
      </c>
      <c r="H281" s="13">
        <v>0.16239999999999999</v>
      </c>
      <c r="I281" s="14">
        <v>18</v>
      </c>
      <c r="J281" s="15">
        <f t="shared" si="30"/>
        <v>1.3533333333333333E-2</v>
      </c>
      <c r="K281" s="12">
        <f t="shared" si="31"/>
        <v>4612.2321048630238</v>
      </c>
      <c r="L281" s="12">
        <f t="shared" si="32"/>
        <v>83020.177887534432</v>
      </c>
      <c r="M281" s="12">
        <f t="shared" si="33"/>
        <v>9775.1778875344316</v>
      </c>
      <c r="N281" s="12">
        <v>732.45</v>
      </c>
      <c r="O281" s="12">
        <v>7141.3875000000007</v>
      </c>
      <c r="P281" s="9" t="s">
        <v>37</v>
      </c>
      <c r="Q281" s="12">
        <v>0</v>
      </c>
      <c r="R281" s="12">
        <f t="shared" si="34"/>
        <v>3366.2403875344316</v>
      </c>
      <c r="S281" s="9" t="s">
        <v>58</v>
      </c>
      <c r="T281" s="9" t="s">
        <v>49</v>
      </c>
    </row>
    <row r="282" spans="1:20" x14ac:dyDescent="0.3">
      <c r="A282" s="2" t="s">
        <v>603</v>
      </c>
      <c r="B282" s="2" t="s">
        <v>604</v>
      </c>
      <c r="C282" s="2" t="s">
        <v>67</v>
      </c>
      <c r="D282" s="3">
        <v>58400</v>
      </c>
      <c r="E282" s="4">
        <v>0.2</v>
      </c>
      <c r="F282" s="5">
        <f t="shared" si="28"/>
        <v>11680</v>
      </c>
      <c r="G282" s="5">
        <f t="shared" si="29"/>
        <v>46720</v>
      </c>
      <c r="H282" s="6">
        <v>0.16969999999999999</v>
      </c>
      <c r="I282" s="7">
        <v>18</v>
      </c>
      <c r="J282" s="8">
        <f t="shared" si="30"/>
        <v>1.4141666666666665E-2</v>
      </c>
      <c r="K282" s="5">
        <f t="shared" si="31"/>
        <v>2958.1167761772349</v>
      </c>
      <c r="L282" s="5">
        <f t="shared" si="32"/>
        <v>53246.101971190226</v>
      </c>
      <c r="M282" s="5">
        <f t="shared" si="33"/>
        <v>6526.1019711902263</v>
      </c>
      <c r="N282" s="5">
        <v>499</v>
      </c>
      <c r="O282" s="5">
        <v>4555.2000000000007</v>
      </c>
      <c r="P282" s="2" t="s">
        <v>23</v>
      </c>
      <c r="Q282" s="5">
        <v>0</v>
      </c>
      <c r="R282" s="5">
        <f t="shared" si="34"/>
        <v>2469.9019711902256</v>
      </c>
      <c r="S282" s="2" t="s">
        <v>24</v>
      </c>
      <c r="T282" s="2" t="s">
        <v>184</v>
      </c>
    </row>
    <row r="283" spans="1:20" x14ac:dyDescent="0.3">
      <c r="A283" s="9" t="s">
        <v>605</v>
      </c>
      <c r="B283" s="9" t="s">
        <v>606</v>
      </c>
      <c r="C283" s="9" t="s">
        <v>28</v>
      </c>
      <c r="D283" s="10">
        <v>100600</v>
      </c>
      <c r="E283" s="11">
        <v>0.05</v>
      </c>
      <c r="F283" s="12">
        <f t="shared" si="28"/>
        <v>5030</v>
      </c>
      <c r="G283" s="12">
        <f t="shared" si="29"/>
        <v>95570</v>
      </c>
      <c r="H283" s="13">
        <v>0.1232</v>
      </c>
      <c r="I283" s="14">
        <v>6</v>
      </c>
      <c r="J283" s="15">
        <f t="shared" si="30"/>
        <v>1.0266666666666667E-2</v>
      </c>
      <c r="K283" s="12">
        <f t="shared" si="31"/>
        <v>16505.563006256922</v>
      </c>
      <c r="L283" s="12">
        <f t="shared" si="32"/>
        <v>99033.378037541523</v>
      </c>
      <c r="M283" s="12">
        <f t="shared" si="33"/>
        <v>3463.3780375415226</v>
      </c>
      <c r="N283" s="12">
        <v>955.7</v>
      </c>
      <c r="O283" s="12">
        <v>3106.0250000000001</v>
      </c>
      <c r="P283" s="9" t="s">
        <v>23</v>
      </c>
      <c r="Q283" s="12">
        <v>0</v>
      </c>
      <c r="R283" s="12">
        <f t="shared" si="34"/>
        <v>1313.0530375415224</v>
      </c>
      <c r="S283" s="9" t="s">
        <v>30</v>
      </c>
      <c r="T283" s="9" t="s">
        <v>97</v>
      </c>
    </row>
    <row r="284" spans="1:20" x14ac:dyDescent="0.3">
      <c r="A284" s="2" t="s">
        <v>607</v>
      </c>
      <c r="B284" s="2" t="s">
        <v>608</v>
      </c>
      <c r="C284" s="2" t="s">
        <v>67</v>
      </c>
      <c r="D284" s="3">
        <v>109600</v>
      </c>
      <c r="E284" s="4">
        <v>0</v>
      </c>
      <c r="F284" s="5">
        <f t="shared" si="28"/>
        <v>0</v>
      </c>
      <c r="G284" s="5">
        <f t="shared" si="29"/>
        <v>109600</v>
      </c>
      <c r="H284" s="6">
        <v>0.1643</v>
      </c>
      <c r="I284" s="7">
        <v>3</v>
      </c>
      <c r="J284" s="8">
        <f t="shared" si="30"/>
        <v>1.3691666666666666E-2</v>
      </c>
      <c r="K284" s="5">
        <f t="shared" si="31"/>
        <v>37538.272398888475</v>
      </c>
      <c r="L284" s="5">
        <f t="shared" si="32"/>
        <v>112614.81719666542</v>
      </c>
      <c r="M284" s="5">
        <f t="shared" si="33"/>
        <v>3014.817196665419</v>
      </c>
      <c r="N284" s="5">
        <v>1096</v>
      </c>
      <c r="O284" s="5">
        <v>1781</v>
      </c>
      <c r="P284" s="2" t="s">
        <v>23</v>
      </c>
      <c r="Q284" s="5">
        <v>0</v>
      </c>
      <c r="R284" s="5">
        <f t="shared" si="34"/>
        <v>2329.817196665419</v>
      </c>
      <c r="S284" s="2" t="s">
        <v>24</v>
      </c>
      <c r="T284" s="2" t="s">
        <v>31</v>
      </c>
    </row>
    <row r="285" spans="1:20" x14ac:dyDescent="0.3">
      <c r="A285" s="9" t="s">
        <v>609</v>
      </c>
      <c r="B285" s="9" t="s">
        <v>610</v>
      </c>
      <c r="C285" s="9" t="s">
        <v>41</v>
      </c>
      <c r="D285" s="10">
        <v>926800</v>
      </c>
      <c r="E285" s="11">
        <v>0.15</v>
      </c>
      <c r="F285" s="12">
        <f t="shared" si="28"/>
        <v>139020</v>
      </c>
      <c r="G285" s="12">
        <f t="shared" si="29"/>
        <v>787780</v>
      </c>
      <c r="H285" s="13">
        <v>9.2299999999999993E-2</v>
      </c>
      <c r="I285" s="14">
        <v>84</v>
      </c>
      <c r="J285" s="15">
        <f t="shared" si="30"/>
        <v>7.6916666666666661E-3</v>
      </c>
      <c r="K285" s="12">
        <f t="shared" si="31"/>
        <v>12766.800140496038</v>
      </c>
      <c r="L285" s="12">
        <f t="shared" si="32"/>
        <v>1072411.2118016672</v>
      </c>
      <c r="M285" s="12">
        <f t="shared" si="33"/>
        <v>284631.21180166723</v>
      </c>
      <c r="N285" s="12">
        <v>7877.8</v>
      </c>
      <c r="O285" s="12">
        <v>358439.9</v>
      </c>
      <c r="P285" s="9" t="s">
        <v>23</v>
      </c>
      <c r="Q285" s="12">
        <v>0</v>
      </c>
      <c r="R285" s="12">
        <f t="shared" si="34"/>
        <v>-65930.888198332803</v>
      </c>
      <c r="S285" s="9" t="s">
        <v>30</v>
      </c>
      <c r="T285" s="9" t="s">
        <v>52</v>
      </c>
    </row>
    <row r="286" spans="1:20" x14ac:dyDescent="0.3">
      <c r="A286" s="2" t="s">
        <v>611</v>
      </c>
      <c r="B286" s="2" t="s">
        <v>612</v>
      </c>
      <c r="C286" s="2" t="s">
        <v>28</v>
      </c>
      <c r="D286" s="3">
        <v>60400</v>
      </c>
      <c r="E286" s="4">
        <v>0.1</v>
      </c>
      <c r="F286" s="5">
        <f t="shared" si="28"/>
        <v>6040</v>
      </c>
      <c r="G286" s="5">
        <f t="shared" si="29"/>
        <v>54360</v>
      </c>
      <c r="H286" s="6">
        <v>0.1573</v>
      </c>
      <c r="I286" s="7">
        <v>36</v>
      </c>
      <c r="J286" s="8">
        <f t="shared" si="30"/>
        <v>1.3108333333333333E-2</v>
      </c>
      <c r="K286" s="5">
        <f t="shared" si="31"/>
        <v>1903.8980586800494</v>
      </c>
      <c r="L286" s="5">
        <f t="shared" si="32"/>
        <v>68540.330112481781</v>
      </c>
      <c r="M286" s="5">
        <f t="shared" si="33"/>
        <v>14180.330112481781</v>
      </c>
      <c r="N286" s="5">
        <v>543.6</v>
      </c>
      <c r="O286" s="5">
        <v>10600.2</v>
      </c>
      <c r="P286" s="2" t="s">
        <v>37</v>
      </c>
      <c r="Q286" s="5">
        <v>0</v>
      </c>
      <c r="R286" s="5">
        <f t="shared" si="34"/>
        <v>4123.7301124817805</v>
      </c>
      <c r="S286" s="2" t="s">
        <v>58</v>
      </c>
      <c r="T286" s="2" t="s">
        <v>52</v>
      </c>
    </row>
    <row r="287" spans="1:20" x14ac:dyDescent="0.3">
      <c r="A287" s="9" t="s">
        <v>613</v>
      </c>
      <c r="B287" s="9" t="s">
        <v>614</v>
      </c>
      <c r="C287" s="9" t="s">
        <v>41</v>
      </c>
      <c r="D287" s="10">
        <v>912600</v>
      </c>
      <c r="E287" s="11">
        <v>0.2</v>
      </c>
      <c r="F287" s="12">
        <f t="shared" si="28"/>
        <v>182520</v>
      </c>
      <c r="G287" s="12">
        <f t="shared" si="29"/>
        <v>730080</v>
      </c>
      <c r="H287" s="13">
        <v>0.1091</v>
      </c>
      <c r="I287" s="14">
        <v>72</v>
      </c>
      <c r="J287" s="15">
        <f t="shared" si="30"/>
        <v>9.0916666666666663E-3</v>
      </c>
      <c r="K287" s="12">
        <f t="shared" si="31"/>
        <v>13862.769166027972</v>
      </c>
      <c r="L287" s="12">
        <f t="shared" si="32"/>
        <v>998119.37995401397</v>
      </c>
      <c r="M287" s="12">
        <f t="shared" si="33"/>
        <v>268039.37995401397</v>
      </c>
      <c r="N287" s="12">
        <v>7300.8</v>
      </c>
      <c r="O287" s="12">
        <v>284731.2</v>
      </c>
      <c r="P287" s="9" t="s">
        <v>23</v>
      </c>
      <c r="Q287" s="12">
        <v>0</v>
      </c>
      <c r="R287" s="12">
        <f t="shared" si="34"/>
        <v>-9391.0200459860498</v>
      </c>
      <c r="S287" s="9" t="s">
        <v>58</v>
      </c>
      <c r="T287" s="9" t="s">
        <v>38</v>
      </c>
    </row>
    <row r="288" spans="1:20" x14ac:dyDescent="0.3">
      <c r="A288" s="2" t="s">
        <v>615</v>
      </c>
      <c r="B288" s="2" t="s">
        <v>616</v>
      </c>
      <c r="C288" s="2" t="s">
        <v>28</v>
      </c>
      <c r="D288" s="3">
        <v>95300</v>
      </c>
      <c r="E288" s="4">
        <v>0</v>
      </c>
      <c r="F288" s="5">
        <f t="shared" si="28"/>
        <v>0</v>
      </c>
      <c r="G288" s="5">
        <f t="shared" si="29"/>
        <v>95300</v>
      </c>
      <c r="H288" s="6">
        <v>0.13769999999999999</v>
      </c>
      <c r="I288" s="7">
        <v>9</v>
      </c>
      <c r="J288" s="8">
        <f t="shared" si="30"/>
        <v>1.1474999999999999E-2</v>
      </c>
      <c r="K288" s="5">
        <f t="shared" si="31"/>
        <v>11205.667141297379</v>
      </c>
      <c r="L288" s="5">
        <f t="shared" si="32"/>
        <v>100851.00427167641</v>
      </c>
      <c r="M288" s="5">
        <f t="shared" si="33"/>
        <v>5551.0042716764146</v>
      </c>
      <c r="N288" s="5">
        <v>953</v>
      </c>
      <c r="O288" s="5">
        <v>4645.875</v>
      </c>
      <c r="P288" s="2" t="s">
        <v>37</v>
      </c>
      <c r="Q288" s="5">
        <v>0</v>
      </c>
      <c r="R288" s="5">
        <f t="shared" si="34"/>
        <v>1858.1292716764146</v>
      </c>
      <c r="S288" s="2" t="s">
        <v>42</v>
      </c>
      <c r="T288" s="2" t="s">
        <v>184</v>
      </c>
    </row>
    <row r="289" spans="1:20" x14ac:dyDescent="0.3">
      <c r="A289" s="9" t="s">
        <v>617</v>
      </c>
      <c r="B289" s="9" t="s">
        <v>618</v>
      </c>
      <c r="C289" s="9" t="s">
        <v>67</v>
      </c>
      <c r="D289" s="10">
        <v>44900</v>
      </c>
      <c r="E289" s="11">
        <v>0.1</v>
      </c>
      <c r="F289" s="12">
        <f t="shared" si="28"/>
        <v>4490</v>
      </c>
      <c r="G289" s="12">
        <f t="shared" si="29"/>
        <v>40410</v>
      </c>
      <c r="H289" s="13">
        <v>0.1704</v>
      </c>
      <c r="I289" s="14">
        <v>6</v>
      </c>
      <c r="J289" s="15">
        <f t="shared" si="30"/>
        <v>1.4199999999999999E-2</v>
      </c>
      <c r="K289" s="12">
        <f t="shared" si="31"/>
        <v>7073.6621241962184</v>
      </c>
      <c r="L289" s="12">
        <f t="shared" si="32"/>
        <v>42441.972745177307</v>
      </c>
      <c r="M289" s="12">
        <f t="shared" si="33"/>
        <v>2031.9727451773069</v>
      </c>
      <c r="N289" s="12">
        <v>499</v>
      </c>
      <c r="O289" s="12">
        <v>1313.325</v>
      </c>
      <c r="P289" s="9" t="s">
        <v>23</v>
      </c>
      <c r="Q289" s="12">
        <v>0</v>
      </c>
      <c r="R289" s="12">
        <f t="shared" si="34"/>
        <v>1217.6477451773069</v>
      </c>
      <c r="S289" s="9" t="s">
        <v>58</v>
      </c>
      <c r="T289" s="9" t="s">
        <v>184</v>
      </c>
    </row>
    <row r="290" spans="1:20" x14ac:dyDescent="0.3">
      <c r="A290" s="2" t="s">
        <v>619</v>
      </c>
      <c r="B290" s="2" t="s">
        <v>620</v>
      </c>
      <c r="C290" s="2" t="s">
        <v>22</v>
      </c>
      <c r="D290" s="3">
        <v>177300</v>
      </c>
      <c r="E290" s="4">
        <v>0.2</v>
      </c>
      <c r="F290" s="5">
        <f t="shared" si="28"/>
        <v>35460</v>
      </c>
      <c r="G290" s="5">
        <f t="shared" si="29"/>
        <v>141840</v>
      </c>
      <c r="H290" s="6">
        <v>0.15790000000000001</v>
      </c>
      <c r="I290" s="7">
        <v>48</v>
      </c>
      <c r="J290" s="8">
        <f t="shared" si="30"/>
        <v>1.3158333333333334E-2</v>
      </c>
      <c r="K290" s="5">
        <f t="shared" si="31"/>
        <v>4004.5466134557323</v>
      </c>
      <c r="L290" s="5">
        <f t="shared" si="32"/>
        <v>192218.23744587516</v>
      </c>
      <c r="M290" s="5">
        <f t="shared" si="33"/>
        <v>50378.237445875158</v>
      </c>
      <c r="N290" s="5">
        <v>1418.4</v>
      </c>
      <c r="O290" s="5">
        <v>36878.400000000001</v>
      </c>
      <c r="P290" s="2" t="s">
        <v>37</v>
      </c>
      <c r="Q290" s="5">
        <v>0</v>
      </c>
      <c r="R290" s="5">
        <f t="shared" si="34"/>
        <v>14918.237445875158</v>
      </c>
      <c r="S290" s="2" t="s">
        <v>58</v>
      </c>
      <c r="T290" s="2" t="s">
        <v>34</v>
      </c>
    </row>
    <row r="291" spans="1:20" x14ac:dyDescent="0.3">
      <c r="A291" s="9" t="s">
        <v>621</v>
      </c>
      <c r="B291" s="9" t="s">
        <v>622</v>
      </c>
      <c r="C291" s="9" t="s">
        <v>67</v>
      </c>
      <c r="D291" s="10">
        <v>69200</v>
      </c>
      <c r="E291" s="11">
        <v>0.2</v>
      </c>
      <c r="F291" s="12">
        <f t="shared" si="28"/>
        <v>13840</v>
      </c>
      <c r="G291" s="12">
        <f t="shared" si="29"/>
        <v>55360</v>
      </c>
      <c r="H291" s="13">
        <v>0.1547</v>
      </c>
      <c r="I291" s="14">
        <v>18</v>
      </c>
      <c r="J291" s="15">
        <f t="shared" si="30"/>
        <v>1.2891666666666668E-2</v>
      </c>
      <c r="K291" s="12">
        <f t="shared" si="31"/>
        <v>3465.8795881574565</v>
      </c>
      <c r="L291" s="12">
        <f t="shared" si="32"/>
        <v>62385.832586834214</v>
      </c>
      <c r="M291" s="12">
        <f t="shared" si="33"/>
        <v>7025.8325868342145</v>
      </c>
      <c r="N291" s="12">
        <v>553.6</v>
      </c>
      <c r="O291" s="12">
        <v>5397.6</v>
      </c>
      <c r="P291" s="9" t="s">
        <v>23</v>
      </c>
      <c r="Q291" s="12">
        <v>0</v>
      </c>
      <c r="R291" s="12">
        <f t="shared" si="34"/>
        <v>2181.8325868342145</v>
      </c>
      <c r="S291" s="9" t="s">
        <v>24</v>
      </c>
      <c r="T291" s="9" t="s">
        <v>43</v>
      </c>
    </row>
    <row r="292" spans="1:20" x14ac:dyDescent="0.3">
      <c r="A292" s="2" t="s">
        <v>623</v>
      </c>
      <c r="B292" s="2" t="s">
        <v>624</v>
      </c>
      <c r="C292" s="2" t="s">
        <v>41</v>
      </c>
      <c r="D292" s="3">
        <v>1135000</v>
      </c>
      <c r="E292" s="4">
        <v>0.15</v>
      </c>
      <c r="F292" s="5">
        <f t="shared" si="28"/>
        <v>170250</v>
      </c>
      <c r="G292" s="5">
        <f t="shared" si="29"/>
        <v>964750</v>
      </c>
      <c r="H292" s="6">
        <v>0.1079</v>
      </c>
      <c r="I292" s="7">
        <v>72</v>
      </c>
      <c r="J292" s="8">
        <f t="shared" si="30"/>
        <v>8.9916666666666669E-3</v>
      </c>
      <c r="K292" s="5">
        <f t="shared" si="31"/>
        <v>18259.527052071273</v>
      </c>
      <c r="L292" s="5">
        <f t="shared" si="32"/>
        <v>1314685.9477491316</v>
      </c>
      <c r="M292" s="5">
        <f t="shared" si="33"/>
        <v>349935.94774913159</v>
      </c>
      <c r="N292" s="5">
        <v>9647.5</v>
      </c>
      <c r="O292" s="5">
        <v>376252.5</v>
      </c>
      <c r="P292" s="2" t="s">
        <v>23</v>
      </c>
      <c r="Q292" s="5">
        <v>0</v>
      </c>
      <c r="R292" s="5">
        <f t="shared" si="34"/>
        <v>-16669.052250868408</v>
      </c>
      <c r="S292" s="2" t="s">
        <v>30</v>
      </c>
      <c r="T292" s="2" t="s">
        <v>43</v>
      </c>
    </row>
    <row r="293" spans="1:20" x14ac:dyDescent="0.3">
      <c r="A293" s="9" t="s">
        <v>625</v>
      </c>
      <c r="B293" s="9" t="s">
        <v>626</v>
      </c>
      <c r="C293" s="9" t="s">
        <v>22</v>
      </c>
      <c r="D293" s="10">
        <v>62200</v>
      </c>
      <c r="E293" s="11">
        <v>0.05</v>
      </c>
      <c r="F293" s="12">
        <f t="shared" si="28"/>
        <v>3110</v>
      </c>
      <c r="G293" s="12">
        <f t="shared" si="29"/>
        <v>59090</v>
      </c>
      <c r="H293" s="13">
        <v>0.14050000000000001</v>
      </c>
      <c r="I293" s="14">
        <v>36</v>
      </c>
      <c r="J293" s="15">
        <f t="shared" si="30"/>
        <v>1.1708333333333334E-2</v>
      </c>
      <c r="K293" s="12">
        <f t="shared" si="31"/>
        <v>2020.9914126563881</v>
      </c>
      <c r="L293" s="12">
        <f t="shared" si="32"/>
        <v>72755.690855629975</v>
      </c>
      <c r="M293" s="12">
        <f t="shared" si="33"/>
        <v>13665.690855629975</v>
      </c>
      <c r="N293" s="12">
        <v>590.9</v>
      </c>
      <c r="O293" s="12">
        <v>11522.55</v>
      </c>
      <c r="P293" s="9" t="s">
        <v>23</v>
      </c>
      <c r="Q293" s="12">
        <v>0</v>
      </c>
      <c r="R293" s="12">
        <f t="shared" si="34"/>
        <v>2734.0408556299753</v>
      </c>
      <c r="S293" s="9" t="s">
        <v>42</v>
      </c>
      <c r="T293" s="9" t="s">
        <v>49</v>
      </c>
    </row>
    <row r="294" spans="1:20" x14ac:dyDescent="0.3">
      <c r="A294" s="2" t="s">
        <v>627</v>
      </c>
      <c r="B294" s="2" t="s">
        <v>628</v>
      </c>
      <c r="C294" s="2" t="s">
        <v>28</v>
      </c>
      <c r="D294" s="3">
        <v>25800</v>
      </c>
      <c r="E294" s="4">
        <v>0</v>
      </c>
      <c r="F294" s="5">
        <f t="shared" si="28"/>
        <v>0</v>
      </c>
      <c r="G294" s="5">
        <f t="shared" si="29"/>
        <v>25800</v>
      </c>
      <c r="H294" s="6">
        <v>0.1641</v>
      </c>
      <c r="I294" s="7">
        <v>6</v>
      </c>
      <c r="J294" s="8">
        <f t="shared" si="30"/>
        <v>1.3675E-2</v>
      </c>
      <c r="K294" s="5">
        <f t="shared" si="31"/>
        <v>4508.1379555499889</v>
      </c>
      <c r="L294" s="5">
        <f t="shared" si="32"/>
        <v>27048.827733299935</v>
      </c>
      <c r="M294" s="5">
        <f t="shared" si="33"/>
        <v>1248.8277332999351</v>
      </c>
      <c r="N294" s="5">
        <v>499</v>
      </c>
      <c r="O294" s="5">
        <v>838.5</v>
      </c>
      <c r="P294" s="2" t="s">
        <v>23</v>
      </c>
      <c r="Q294" s="5">
        <v>0</v>
      </c>
      <c r="R294" s="5">
        <f t="shared" si="34"/>
        <v>909.32773329993506</v>
      </c>
      <c r="S294" s="2" t="s">
        <v>58</v>
      </c>
      <c r="T294" s="2" t="s">
        <v>52</v>
      </c>
    </row>
    <row r="295" spans="1:20" x14ac:dyDescent="0.3">
      <c r="A295" s="9" t="s">
        <v>629</v>
      </c>
      <c r="B295" s="9" t="s">
        <v>630</v>
      </c>
      <c r="C295" s="9" t="s">
        <v>41</v>
      </c>
      <c r="D295" s="10">
        <v>418900</v>
      </c>
      <c r="E295" s="11">
        <v>0.15</v>
      </c>
      <c r="F295" s="12">
        <f t="shared" si="28"/>
        <v>62835</v>
      </c>
      <c r="G295" s="12">
        <f t="shared" si="29"/>
        <v>356065</v>
      </c>
      <c r="H295" s="13">
        <v>0.1094</v>
      </c>
      <c r="I295" s="14">
        <v>72</v>
      </c>
      <c r="J295" s="15">
        <f t="shared" si="30"/>
        <v>9.116666666666667E-3</v>
      </c>
      <c r="K295" s="12">
        <f t="shared" si="31"/>
        <v>6766.4320281546879</v>
      </c>
      <c r="L295" s="12">
        <f t="shared" si="32"/>
        <v>487183.10602713755</v>
      </c>
      <c r="M295" s="12">
        <f t="shared" si="33"/>
        <v>131118.10602713755</v>
      </c>
      <c r="N295" s="12">
        <v>3560.65</v>
      </c>
      <c r="O295" s="12">
        <v>138865.35</v>
      </c>
      <c r="P295" s="9" t="s">
        <v>37</v>
      </c>
      <c r="Q295" s="12">
        <v>0</v>
      </c>
      <c r="R295" s="12">
        <f t="shared" si="34"/>
        <v>-4186.5939728624653</v>
      </c>
      <c r="S295" s="9" t="s">
        <v>24</v>
      </c>
      <c r="T295" s="9" t="s">
        <v>52</v>
      </c>
    </row>
    <row r="296" spans="1:20" x14ac:dyDescent="0.3">
      <c r="A296" s="2" t="s">
        <v>631</v>
      </c>
      <c r="B296" s="2" t="s">
        <v>632</v>
      </c>
      <c r="C296" s="2" t="s">
        <v>67</v>
      </c>
      <c r="D296" s="3">
        <v>29500</v>
      </c>
      <c r="E296" s="4">
        <v>0.05</v>
      </c>
      <c r="F296" s="5">
        <f t="shared" si="28"/>
        <v>1475</v>
      </c>
      <c r="G296" s="5">
        <f t="shared" si="29"/>
        <v>28025</v>
      </c>
      <c r="H296" s="6">
        <v>0.18210000000000001</v>
      </c>
      <c r="I296" s="7">
        <v>9</v>
      </c>
      <c r="J296" s="8">
        <f t="shared" si="30"/>
        <v>1.5175000000000001E-2</v>
      </c>
      <c r="K296" s="5">
        <f t="shared" si="31"/>
        <v>3354.8982844515385</v>
      </c>
      <c r="L296" s="5">
        <f t="shared" si="32"/>
        <v>30194.084560063846</v>
      </c>
      <c r="M296" s="5">
        <f t="shared" si="33"/>
        <v>2169.0845600638459</v>
      </c>
      <c r="N296" s="5">
        <v>499</v>
      </c>
      <c r="O296" s="5">
        <v>1366.21875</v>
      </c>
      <c r="P296" s="2" t="s">
        <v>23</v>
      </c>
      <c r="Q296" s="5">
        <v>0</v>
      </c>
      <c r="R296" s="5">
        <f t="shared" si="34"/>
        <v>1301.8658100638459</v>
      </c>
      <c r="S296" s="2" t="s">
        <v>24</v>
      </c>
      <c r="T296" s="2" t="s">
        <v>38</v>
      </c>
    </row>
    <row r="297" spans="1:20" x14ac:dyDescent="0.3">
      <c r="A297" s="9" t="s">
        <v>633</v>
      </c>
      <c r="B297" s="9" t="s">
        <v>634</v>
      </c>
      <c r="C297" s="9" t="s">
        <v>41</v>
      </c>
      <c r="D297" s="10">
        <v>904900</v>
      </c>
      <c r="E297" s="11">
        <v>0.2</v>
      </c>
      <c r="F297" s="12">
        <f t="shared" si="28"/>
        <v>180980</v>
      </c>
      <c r="G297" s="12">
        <f t="shared" si="29"/>
        <v>723920</v>
      </c>
      <c r="H297" s="13">
        <v>9.2299999999999993E-2</v>
      </c>
      <c r="I297" s="14">
        <v>48</v>
      </c>
      <c r="J297" s="15">
        <f t="shared" si="30"/>
        <v>7.6916666666666661E-3</v>
      </c>
      <c r="K297" s="12">
        <f t="shared" si="31"/>
        <v>18093.94430508916</v>
      </c>
      <c r="L297" s="12">
        <f t="shared" si="32"/>
        <v>868509.32664427976</v>
      </c>
      <c r="M297" s="12">
        <f t="shared" si="33"/>
        <v>144589.32664427976</v>
      </c>
      <c r="N297" s="12">
        <v>7239.2</v>
      </c>
      <c r="O297" s="12">
        <v>188219.2</v>
      </c>
      <c r="P297" s="9" t="s">
        <v>23</v>
      </c>
      <c r="Q297" s="12">
        <v>0</v>
      </c>
      <c r="R297" s="12">
        <f t="shared" si="34"/>
        <v>-36390.673355720239</v>
      </c>
      <c r="S297" s="9" t="s">
        <v>24</v>
      </c>
      <c r="T297" s="9" t="s">
        <v>49</v>
      </c>
    </row>
    <row r="298" spans="1:20" x14ac:dyDescent="0.3">
      <c r="A298" s="2" t="s">
        <v>635</v>
      </c>
      <c r="B298" s="2" t="s">
        <v>636</v>
      </c>
      <c r="C298" s="2" t="s">
        <v>41</v>
      </c>
      <c r="D298" s="3">
        <v>1114900</v>
      </c>
      <c r="E298" s="4">
        <v>0.25</v>
      </c>
      <c r="F298" s="5">
        <f t="shared" si="28"/>
        <v>278725</v>
      </c>
      <c r="G298" s="5">
        <f t="shared" si="29"/>
        <v>836175</v>
      </c>
      <c r="H298" s="6">
        <v>8.5999999999999993E-2</v>
      </c>
      <c r="I298" s="7">
        <v>72</v>
      </c>
      <c r="J298" s="8">
        <f t="shared" si="30"/>
        <v>7.1666666666666658E-3</v>
      </c>
      <c r="K298" s="5">
        <f t="shared" si="31"/>
        <v>14907.03914865307</v>
      </c>
      <c r="L298" s="5">
        <f t="shared" si="32"/>
        <v>1073306.8187030209</v>
      </c>
      <c r="M298" s="5">
        <f t="shared" si="33"/>
        <v>237131.81870302092</v>
      </c>
      <c r="N298" s="5">
        <v>8361.75</v>
      </c>
      <c r="O298" s="5">
        <v>326108.25</v>
      </c>
      <c r="P298" s="2" t="s">
        <v>23</v>
      </c>
      <c r="Q298" s="5">
        <v>0</v>
      </c>
      <c r="R298" s="5">
        <f t="shared" si="34"/>
        <v>-80614.681296979077</v>
      </c>
      <c r="S298" s="2" t="s">
        <v>42</v>
      </c>
      <c r="T298" s="2" t="s">
        <v>46</v>
      </c>
    </row>
    <row r="299" spans="1:20" x14ac:dyDescent="0.3">
      <c r="A299" s="9" t="s">
        <v>637</v>
      </c>
      <c r="B299" s="9" t="s">
        <v>638</v>
      </c>
      <c r="C299" s="9" t="s">
        <v>22</v>
      </c>
      <c r="D299" s="10">
        <v>228700</v>
      </c>
      <c r="E299" s="11">
        <v>0.15</v>
      </c>
      <c r="F299" s="12">
        <f t="shared" si="28"/>
        <v>34305</v>
      </c>
      <c r="G299" s="12">
        <f t="shared" si="29"/>
        <v>194395</v>
      </c>
      <c r="H299" s="13">
        <v>0.1066</v>
      </c>
      <c r="I299" s="14">
        <v>48</v>
      </c>
      <c r="J299" s="15">
        <f t="shared" si="30"/>
        <v>8.8833333333333334E-3</v>
      </c>
      <c r="K299" s="12">
        <f t="shared" si="31"/>
        <v>4992.2033913841788</v>
      </c>
      <c r="L299" s="12">
        <f t="shared" si="32"/>
        <v>239625.76278644058</v>
      </c>
      <c r="M299" s="12">
        <f t="shared" si="33"/>
        <v>45230.76278644058</v>
      </c>
      <c r="N299" s="12">
        <v>1943.95</v>
      </c>
      <c r="O299" s="12">
        <v>50542.700000000004</v>
      </c>
      <c r="P299" s="9" t="s">
        <v>23</v>
      </c>
      <c r="Q299" s="12">
        <v>0</v>
      </c>
      <c r="R299" s="12">
        <f t="shared" si="34"/>
        <v>-3367.9872135594269</v>
      </c>
      <c r="S299" s="9" t="s">
        <v>24</v>
      </c>
      <c r="T299" s="9" t="s">
        <v>52</v>
      </c>
    </row>
    <row r="300" spans="1:20" x14ac:dyDescent="0.3">
      <c r="A300" s="2" t="s">
        <v>639</v>
      </c>
      <c r="B300" s="2" t="s">
        <v>640</v>
      </c>
      <c r="C300" s="2" t="s">
        <v>41</v>
      </c>
      <c r="D300" s="3">
        <v>652700</v>
      </c>
      <c r="E300" s="4">
        <v>0.25</v>
      </c>
      <c r="F300" s="5">
        <f t="shared" si="28"/>
        <v>163175</v>
      </c>
      <c r="G300" s="5">
        <f t="shared" si="29"/>
        <v>489525</v>
      </c>
      <c r="H300" s="6">
        <v>0.112</v>
      </c>
      <c r="I300" s="7">
        <v>84</v>
      </c>
      <c r="J300" s="8">
        <f t="shared" si="30"/>
        <v>9.3333333333333341E-3</v>
      </c>
      <c r="K300" s="5">
        <f t="shared" si="31"/>
        <v>8433.4268524363015</v>
      </c>
      <c r="L300" s="5">
        <f t="shared" si="32"/>
        <v>708407.85560464929</v>
      </c>
      <c r="M300" s="5">
        <f t="shared" si="33"/>
        <v>218882.85560464929</v>
      </c>
      <c r="N300" s="5">
        <v>4895.25</v>
      </c>
      <c r="O300" s="5">
        <v>222733.875</v>
      </c>
      <c r="P300" s="2" t="s">
        <v>37</v>
      </c>
      <c r="Q300" s="5">
        <v>0</v>
      </c>
      <c r="R300" s="5">
        <f t="shared" si="34"/>
        <v>1044.2306046492886</v>
      </c>
      <c r="S300" s="2" t="s">
        <v>24</v>
      </c>
      <c r="T300" s="2" t="s">
        <v>49</v>
      </c>
    </row>
    <row r="301" spans="1:20" x14ac:dyDescent="0.3">
      <c r="A301" s="9" t="s">
        <v>641</v>
      </c>
      <c r="B301" s="9" t="s">
        <v>642</v>
      </c>
      <c r="C301" s="9" t="s">
        <v>41</v>
      </c>
      <c r="D301" s="10">
        <v>1389200</v>
      </c>
      <c r="E301" s="11">
        <v>0.15</v>
      </c>
      <c r="F301" s="12">
        <f t="shared" si="28"/>
        <v>208380</v>
      </c>
      <c r="G301" s="12">
        <f t="shared" si="29"/>
        <v>1180820</v>
      </c>
      <c r="H301" s="13">
        <v>0.1019</v>
      </c>
      <c r="I301" s="14">
        <v>36</v>
      </c>
      <c r="J301" s="15">
        <f t="shared" si="30"/>
        <v>8.4916666666666665E-3</v>
      </c>
      <c r="K301" s="12">
        <f t="shared" si="31"/>
        <v>38207.160592653221</v>
      </c>
      <c r="L301" s="12">
        <f t="shared" si="32"/>
        <v>1375457.7813355159</v>
      </c>
      <c r="M301" s="12">
        <f t="shared" si="33"/>
        <v>194637.7813355159</v>
      </c>
      <c r="N301" s="12">
        <v>11808.2</v>
      </c>
      <c r="O301" s="12">
        <v>230259.90000000002</v>
      </c>
      <c r="P301" s="9" t="s">
        <v>23</v>
      </c>
      <c r="Q301" s="12">
        <v>0</v>
      </c>
      <c r="R301" s="12">
        <f t="shared" si="34"/>
        <v>-23813.91866448411</v>
      </c>
      <c r="S301" s="9" t="s">
        <v>58</v>
      </c>
      <c r="T301" s="9" t="s">
        <v>46</v>
      </c>
    </row>
    <row r="302" spans="1:20" x14ac:dyDescent="0.3">
      <c r="A302" s="2" t="s">
        <v>643</v>
      </c>
      <c r="B302" s="2" t="s">
        <v>644</v>
      </c>
      <c r="C302" s="2" t="s">
        <v>41</v>
      </c>
      <c r="D302" s="3">
        <v>1045700</v>
      </c>
      <c r="E302" s="4">
        <v>0.1</v>
      </c>
      <c r="F302" s="5">
        <f t="shared" si="28"/>
        <v>104570</v>
      </c>
      <c r="G302" s="5">
        <f t="shared" si="29"/>
        <v>941130</v>
      </c>
      <c r="H302" s="6">
        <v>0.1076</v>
      </c>
      <c r="I302" s="7">
        <v>72</v>
      </c>
      <c r="J302" s="8">
        <f t="shared" si="30"/>
        <v>8.9666666666666662E-3</v>
      </c>
      <c r="K302" s="5">
        <f t="shared" si="31"/>
        <v>17798.067529073076</v>
      </c>
      <c r="L302" s="5">
        <f t="shared" si="32"/>
        <v>1281460.8620932614</v>
      </c>
      <c r="M302" s="5">
        <f t="shared" si="33"/>
        <v>340330.86209326144</v>
      </c>
      <c r="N302" s="5">
        <v>9411.3000000000011</v>
      </c>
      <c r="O302" s="5">
        <v>367040.7</v>
      </c>
      <c r="P302" s="2" t="s">
        <v>23</v>
      </c>
      <c r="Q302" s="5">
        <v>0</v>
      </c>
      <c r="R302" s="5">
        <f t="shared" si="34"/>
        <v>-17298.53790673858</v>
      </c>
      <c r="S302" s="2" t="s">
        <v>30</v>
      </c>
      <c r="T302" s="2" t="s">
        <v>25</v>
      </c>
    </row>
    <row r="303" spans="1:20" x14ac:dyDescent="0.3">
      <c r="A303" s="9" t="s">
        <v>645</v>
      </c>
      <c r="B303" s="9" t="s">
        <v>646</v>
      </c>
      <c r="C303" s="9" t="s">
        <v>41</v>
      </c>
      <c r="D303" s="10">
        <v>828100</v>
      </c>
      <c r="E303" s="11">
        <v>0.25</v>
      </c>
      <c r="F303" s="12">
        <f t="shared" si="28"/>
        <v>207025</v>
      </c>
      <c r="G303" s="12">
        <f t="shared" si="29"/>
        <v>621075</v>
      </c>
      <c r="H303" s="13">
        <v>0.1119</v>
      </c>
      <c r="I303" s="14">
        <v>60</v>
      </c>
      <c r="J303" s="15">
        <f t="shared" si="30"/>
        <v>9.325E-3</v>
      </c>
      <c r="K303" s="12">
        <f t="shared" si="31"/>
        <v>13562.599650163485</v>
      </c>
      <c r="L303" s="12">
        <f t="shared" si="32"/>
        <v>813755.97900980909</v>
      </c>
      <c r="M303" s="12">
        <f t="shared" si="33"/>
        <v>192680.97900980909</v>
      </c>
      <c r="N303" s="12">
        <v>6210.75</v>
      </c>
      <c r="O303" s="12">
        <v>201849.375</v>
      </c>
      <c r="P303" s="9" t="s">
        <v>23</v>
      </c>
      <c r="Q303" s="12">
        <v>0</v>
      </c>
      <c r="R303" s="12">
        <f t="shared" si="34"/>
        <v>-2957.6459901909111</v>
      </c>
      <c r="S303" s="9" t="s">
        <v>30</v>
      </c>
      <c r="T303" s="9" t="s">
        <v>31</v>
      </c>
    </row>
    <row r="304" spans="1:20" x14ac:dyDescent="0.3">
      <c r="A304" s="2" t="s">
        <v>647</v>
      </c>
      <c r="B304" s="2" t="s">
        <v>648</v>
      </c>
      <c r="C304" s="2" t="s">
        <v>22</v>
      </c>
      <c r="D304" s="3">
        <v>180200</v>
      </c>
      <c r="E304" s="4">
        <v>0.05</v>
      </c>
      <c r="F304" s="5">
        <f t="shared" si="28"/>
        <v>9010</v>
      </c>
      <c r="G304" s="5">
        <f t="shared" si="29"/>
        <v>171190</v>
      </c>
      <c r="H304" s="6">
        <v>0.1779</v>
      </c>
      <c r="I304" s="7">
        <v>12</v>
      </c>
      <c r="J304" s="8">
        <f t="shared" si="30"/>
        <v>1.4825E-2</v>
      </c>
      <c r="K304" s="5">
        <f t="shared" si="31"/>
        <v>15677.594021140774</v>
      </c>
      <c r="L304" s="5">
        <f t="shared" si="32"/>
        <v>188131.1282536893</v>
      </c>
      <c r="M304" s="5">
        <f t="shared" si="33"/>
        <v>16941.128253689298</v>
      </c>
      <c r="N304" s="5">
        <v>1711.9</v>
      </c>
      <c r="O304" s="5">
        <v>11127.35</v>
      </c>
      <c r="P304" s="2" t="s">
        <v>23</v>
      </c>
      <c r="Q304" s="5">
        <v>0</v>
      </c>
      <c r="R304" s="5">
        <f t="shared" si="34"/>
        <v>7525.6782536892988</v>
      </c>
      <c r="S304" s="2" t="s">
        <v>24</v>
      </c>
      <c r="T304" s="2" t="s">
        <v>38</v>
      </c>
    </row>
    <row r="305" spans="1:20" x14ac:dyDescent="0.3">
      <c r="A305" s="9" t="s">
        <v>649</v>
      </c>
      <c r="B305" s="9" t="s">
        <v>650</v>
      </c>
      <c r="C305" s="9" t="s">
        <v>22</v>
      </c>
      <c r="D305" s="10">
        <v>207300</v>
      </c>
      <c r="E305" s="11">
        <v>0.05</v>
      </c>
      <c r="F305" s="12">
        <f t="shared" si="28"/>
        <v>10365</v>
      </c>
      <c r="G305" s="12">
        <f t="shared" si="29"/>
        <v>196935</v>
      </c>
      <c r="H305" s="13">
        <v>0.14760000000000001</v>
      </c>
      <c r="I305" s="14">
        <v>36</v>
      </c>
      <c r="J305" s="15">
        <f t="shared" si="30"/>
        <v>1.23E-2</v>
      </c>
      <c r="K305" s="12">
        <f t="shared" si="31"/>
        <v>6803.6936196199467</v>
      </c>
      <c r="L305" s="12">
        <f t="shared" si="32"/>
        <v>244932.97030631808</v>
      </c>
      <c r="M305" s="12">
        <f t="shared" si="33"/>
        <v>47997.970306318079</v>
      </c>
      <c r="N305" s="12">
        <v>1969.3500000000001</v>
      </c>
      <c r="O305" s="12">
        <v>38402.324999999997</v>
      </c>
      <c r="P305" s="9" t="s">
        <v>23</v>
      </c>
      <c r="Q305" s="12">
        <v>0</v>
      </c>
      <c r="R305" s="12">
        <f t="shared" si="34"/>
        <v>11564.99530631808</v>
      </c>
      <c r="S305" s="9" t="s">
        <v>42</v>
      </c>
      <c r="T305" s="9" t="s">
        <v>97</v>
      </c>
    </row>
    <row r="306" spans="1:20" x14ac:dyDescent="0.3">
      <c r="A306" s="2" t="s">
        <v>651</v>
      </c>
      <c r="B306" s="2" t="s">
        <v>652</v>
      </c>
      <c r="C306" s="2" t="s">
        <v>67</v>
      </c>
      <c r="D306" s="3">
        <v>69900</v>
      </c>
      <c r="E306" s="4">
        <v>0.2</v>
      </c>
      <c r="F306" s="5">
        <f t="shared" si="28"/>
        <v>13980</v>
      </c>
      <c r="G306" s="5">
        <f t="shared" si="29"/>
        <v>55920</v>
      </c>
      <c r="H306" s="6">
        <v>0.17</v>
      </c>
      <c r="I306" s="7">
        <v>6</v>
      </c>
      <c r="J306" s="8">
        <f t="shared" si="30"/>
        <v>1.4166666666666668E-2</v>
      </c>
      <c r="K306" s="5">
        <f t="shared" si="31"/>
        <v>9787.5332673826888</v>
      </c>
      <c r="L306" s="5">
        <f t="shared" si="32"/>
        <v>58725.199604296133</v>
      </c>
      <c r="M306" s="5">
        <f t="shared" si="33"/>
        <v>2805.1996042961327</v>
      </c>
      <c r="N306" s="5">
        <v>559.20000000000005</v>
      </c>
      <c r="O306" s="5">
        <v>1817.4</v>
      </c>
      <c r="P306" s="2" t="s">
        <v>23</v>
      </c>
      <c r="Q306" s="5">
        <v>0</v>
      </c>
      <c r="R306" s="5">
        <f t="shared" si="34"/>
        <v>1546.9996042961325</v>
      </c>
      <c r="S306" s="2" t="s">
        <v>42</v>
      </c>
      <c r="T306" s="2" t="s">
        <v>43</v>
      </c>
    </row>
    <row r="307" spans="1:20" x14ac:dyDescent="0.3">
      <c r="A307" s="9" t="s">
        <v>653</v>
      </c>
      <c r="B307" s="9" t="s">
        <v>654</v>
      </c>
      <c r="C307" s="9" t="s">
        <v>22</v>
      </c>
      <c r="D307" s="10">
        <v>130900</v>
      </c>
      <c r="E307" s="11">
        <v>0.05</v>
      </c>
      <c r="F307" s="12">
        <f t="shared" si="28"/>
        <v>6545</v>
      </c>
      <c r="G307" s="12">
        <f t="shared" si="29"/>
        <v>124355</v>
      </c>
      <c r="H307" s="13">
        <v>0.1197</v>
      </c>
      <c r="I307" s="14">
        <v>12</v>
      </c>
      <c r="J307" s="15">
        <f t="shared" si="30"/>
        <v>9.9749999999999995E-3</v>
      </c>
      <c r="K307" s="12">
        <f t="shared" si="31"/>
        <v>11047.045960648449</v>
      </c>
      <c r="L307" s="12">
        <f t="shared" si="32"/>
        <v>132564.55152778138</v>
      </c>
      <c r="M307" s="12">
        <f t="shared" si="33"/>
        <v>8209.5515277813829</v>
      </c>
      <c r="N307" s="12">
        <v>1243.55</v>
      </c>
      <c r="O307" s="12">
        <v>8083.0750000000007</v>
      </c>
      <c r="P307" s="9" t="s">
        <v>37</v>
      </c>
      <c r="Q307" s="12">
        <v>0</v>
      </c>
      <c r="R307" s="12">
        <f t="shared" si="34"/>
        <v>1370.0265277813814</v>
      </c>
      <c r="S307" s="9" t="s">
        <v>42</v>
      </c>
      <c r="T307" s="9" t="s">
        <v>31</v>
      </c>
    </row>
    <row r="308" spans="1:20" x14ac:dyDescent="0.3">
      <c r="A308" s="2" t="s">
        <v>655</v>
      </c>
      <c r="B308" s="2" t="s">
        <v>656</v>
      </c>
      <c r="C308" s="2" t="s">
        <v>41</v>
      </c>
      <c r="D308" s="3">
        <v>569700</v>
      </c>
      <c r="E308" s="4">
        <v>0.1</v>
      </c>
      <c r="F308" s="5">
        <f t="shared" si="28"/>
        <v>56970</v>
      </c>
      <c r="G308" s="5">
        <f t="shared" si="29"/>
        <v>512730</v>
      </c>
      <c r="H308" s="6">
        <v>9.6699999999999994E-2</v>
      </c>
      <c r="I308" s="7">
        <v>60</v>
      </c>
      <c r="J308" s="8">
        <f t="shared" si="30"/>
        <v>8.0583333333333323E-3</v>
      </c>
      <c r="K308" s="5">
        <f t="shared" si="31"/>
        <v>10810.93036497482</v>
      </c>
      <c r="L308" s="5">
        <f t="shared" si="32"/>
        <v>648655.82189848914</v>
      </c>
      <c r="M308" s="5">
        <f t="shared" si="33"/>
        <v>135925.82189848914</v>
      </c>
      <c r="N308" s="5">
        <v>5127.3</v>
      </c>
      <c r="O308" s="5">
        <v>166637.25000000003</v>
      </c>
      <c r="P308" s="2" t="s">
        <v>37</v>
      </c>
      <c r="Q308" s="5">
        <v>0</v>
      </c>
      <c r="R308" s="5">
        <f t="shared" si="34"/>
        <v>-25584.128101510898</v>
      </c>
      <c r="S308" s="2" t="s">
        <v>58</v>
      </c>
      <c r="T308" s="2" t="s">
        <v>97</v>
      </c>
    </row>
    <row r="309" spans="1:20" x14ac:dyDescent="0.3">
      <c r="A309" s="9" t="s">
        <v>657</v>
      </c>
      <c r="B309" s="9" t="s">
        <v>658</v>
      </c>
      <c r="C309" s="9" t="s">
        <v>28</v>
      </c>
      <c r="D309" s="10">
        <v>58700</v>
      </c>
      <c r="E309" s="11">
        <v>0.15</v>
      </c>
      <c r="F309" s="12">
        <f t="shared" si="28"/>
        <v>8805</v>
      </c>
      <c r="G309" s="12">
        <f t="shared" si="29"/>
        <v>49895</v>
      </c>
      <c r="H309" s="13">
        <v>0.13059999999999999</v>
      </c>
      <c r="I309" s="14">
        <v>9</v>
      </c>
      <c r="J309" s="15">
        <f t="shared" si="30"/>
        <v>1.0883333333333333E-2</v>
      </c>
      <c r="K309" s="12">
        <f t="shared" si="31"/>
        <v>5849.9222062466733</v>
      </c>
      <c r="L309" s="12">
        <f t="shared" si="32"/>
        <v>52649.299856220059</v>
      </c>
      <c r="M309" s="12">
        <f t="shared" si="33"/>
        <v>2754.2998562200592</v>
      </c>
      <c r="N309" s="12">
        <v>499</v>
      </c>
      <c r="O309" s="12">
        <v>2432.3812500000004</v>
      </c>
      <c r="P309" s="9" t="s">
        <v>23</v>
      </c>
      <c r="Q309" s="12">
        <v>0</v>
      </c>
      <c r="R309" s="12">
        <f t="shared" si="34"/>
        <v>820.91860622005879</v>
      </c>
      <c r="S309" s="9" t="s">
        <v>42</v>
      </c>
      <c r="T309" s="9" t="s">
        <v>43</v>
      </c>
    </row>
    <row r="310" spans="1:20" x14ac:dyDescent="0.3">
      <c r="A310" s="2" t="s">
        <v>659</v>
      </c>
      <c r="B310" s="2" t="s">
        <v>660</v>
      </c>
      <c r="C310" s="2" t="s">
        <v>67</v>
      </c>
      <c r="D310" s="3">
        <v>47600</v>
      </c>
      <c r="E310" s="4">
        <v>0.05</v>
      </c>
      <c r="F310" s="5">
        <f t="shared" si="28"/>
        <v>2380</v>
      </c>
      <c r="G310" s="5">
        <f t="shared" si="29"/>
        <v>45220</v>
      </c>
      <c r="H310" s="6">
        <v>0.1474</v>
      </c>
      <c r="I310" s="7">
        <v>18</v>
      </c>
      <c r="J310" s="8">
        <f t="shared" si="30"/>
        <v>1.2283333333333334E-2</v>
      </c>
      <c r="K310" s="5">
        <f t="shared" si="31"/>
        <v>2815.5099124688754</v>
      </c>
      <c r="L310" s="5">
        <f t="shared" si="32"/>
        <v>50679.178424439757</v>
      </c>
      <c r="M310" s="5">
        <f t="shared" si="33"/>
        <v>5459.1784244397568</v>
      </c>
      <c r="N310" s="5">
        <v>499</v>
      </c>
      <c r="O310" s="5">
        <v>4408.9500000000007</v>
      </c>
      <c r="P310" s="2" t="s">
        <v>23</v>
      </c>
      <c r="Q310" s="5">
        <v>0</v>
      </c>
      <c r="R310" s="5">
        <f t="shared" si="34"/>
        <v>1549.2284244397561</v>
      </c>
      <c r="S310" s="2" t="s">
        <v>24</v>
      </c>
      <c r="T310" s="2" t="s">
        <v>184</v>
      </c>
    </row>
    <row r="311" spans="1:20" x14ac:dyDescent="0.3">
      <c r="A311" s="9" t="s">
        <v>661</v>
      </c>
      <c r="B311" s="9" t="s">
        <v>662</v>
      </c>
      <c r="C311" s="9" t="s">
        <v>28</v>
      </c>
      <c r="D311" s="10">
        <v>122400</v>
      </c>
      <c r="E311" s="11">
        <v>0.05</v>
      </c>
      <c r="F311" s="12">
        <f t="shared" si="28"/>
        <v>6120</v>
      </c>
      <c r="G311" s="12">
        <f t="shared" si="29"/>
        <v>116280</v>
      </c>
      <c r="H311" s="13">
        <v>0.17799999999999999</v>
      </c>
      <c r="I311" s="14">
        <v>24</v>
      </c>
      <c r="J311" s="15">
        <f t="shared" si="30"/>
        <v>1.4833333333333332E-2</v>
      </c>
      <c r="K311" s="12">
        <f t="shared" si="31"/>
        <v>5793.9440231711451</v>
      </c>
      <c r="L311" s="12">
        <f t="shared" si="32"/>
        <v>139054.65655610748</v>
      </c>
      <c r="M311" s="12">
        <f t="shared" si="33"/>
        <v>22774.656556107482</v>
      </c>
      <c r="N311" s="12">
        <v>1162.8</v>
      </c>
      <c r="O311" s="12">
        <v>15116.4</v>
      </c>
      <c r="P311" s="9" t="s">
        <v>23</v>
      </c>
      <c r="Q311" s="12">
        <v>0</v>
      </c>
      <c r="R311" s="12">
        <f t="shared" si="34"/>
        <v>8821.0565561074818</v>
      </c>
      <c r="S311" s="9" t="s">
        <v>30</v>
      </c>
      <c r="T311" s="9" t="s">
        <v>49</v>
      </c>
    </row>
    <row r="312" spans="1:20" x14ac:dyDescent="0.3">
      <c r="A312" s="2" t="s">
        <v>663</v>
      </c>
      <c r="B312" s="2" t="s">
        <v>664</v>
      </c>
      <c r="C312" s="2" t="s">
        <v>28</v>
      </c>
      <c r="D312" s="3">
        <v>42400</v>
      </c>
      <c r="E312" s="4">
        <v>0.05</v>
      </c>
      <c r="F312" s="5">
        <f t="shared" si="28"/>
        <v>2120</v>
      </c>
      <c r="G312" s="5">
        <f t="shared" si="29"/>
        <v>40280</v>
      </c>
      <c r="H312" s="6">
        <v>0.14410000000000001</v>
      </c>
      <c r="I312" s="7">
        <v>18</v>
      </c>
      <c r="J312" s="8">
        <f t="shared" si="30"/>
        <v>1.2008333333333334E-2</v>
      </c>
      <c r="K312" s="5">
        <f t="shared" si="31"/>
        <v>2501.6888865029327</v>
      </c>
      <c r="L312" s="5">
        <f t="shared" si="32"/>
        <v>45030.399957052789</v>
      </c>
      <c r="M312" s="5">
        <f t="shared" si="33"/>
        <v>4750.3999570527885</v>
      </c>
      <c r="N312" s="5">
        <v>499</v>
      </c>
      <c r="O312" s="5">
        <v>3927.3</v>
      </c>
      <c r="P312" s="2" t="s">
        <v>37</v>
      </c>
      <c r="Q312" s="5">
        <v>0</v>
      </c>
      <c r="R312" s="5">
        <f t="shared" si="34"/>
        <v>1322.0999570527883</v>
      </c>
      <c r="S312" s="2" t="s">
        <v>42</v>
      </c>
      <c r="T312" s="2" t="s">
        <v>184</v>
      </c>
    </row>
    <row r="313" spans="1:20" x14ac:dyDescent="0.3">
      <c r="A313" s="9" t="s">
        <v>665</v>
      </c>
      <c r="B313" s="9" t="s">
        <v>666</v>
      </c>
      <c r="C313" s="9" t="s">
        <v>28</v>
      </c>
      <c r="D313" s="10">
        <v>85500</v>
      </c>
      <c r="E313" s="11">
        <v>0.05</v>
      </c>
      <c r="F313" s="12">
        <f t="shared" si="28"/>
        <v>4275</v>
      </c>
      <c r="G313" s="12">
        <f t="shared" si="29"/>
        <v>81225</v>
      </c>
      <c r="H313" s="13">
        <v>0.12620000000000001</v>
      </c>
      <c r="I313" s="14">
        <v>12</v>
      </c>
      <c r="J313" s="15">
        <f t="shared" si="30"/>
        <v>1.0516666666666667E-2</v>
      </c>
      <c r="K313" s="12">
        <f t="shared" si="31"/>
        <v>7240.32266049598</v>
      </c>
      <c r="L313" s="12">
        <f t="shared" si="32"/>
        <v>86883.871925951767</v>
      </c>
      <c r="M313" s="12">
        <f t="shared" si="33"/>
        <v>5658.8719259517675</v>
      </c>
      <c r="N313" s="12">
        <v>812.25</v>
      </c>
      <c r="O313" s="12">
        <v>5279.625</v>
      </c>
      <c r="P313" s="9" t="s">
        <v>23</v>
      </c>
      <c r="Q313" s="12">
        <v>0</v>
      </c>
      <c r="R313" s="12">
        <f t="shared" si="34"/>
        <v>1191.4969259517675</v>
      </c>
      <c r="S313" s="9" t="s">
        <v>42</v>
      </c>
      <c r="T313" s="9" t="s">
        <v>25</v>
      </c>
    </row>
    <row r="314" spans="1:20" x14ac:dyDescent="0.3">
      <c r="A314" s="2" t="s">
        <v>667</v>
      </c>
      <c r="B314" s="2" t="s">
        <v>668</v>
      </c>
      <c r="C314" s="2" t="s">
        <v>22</v>
      </c>
      <c r="D314" s="3">
        <v>169900</v>
      </c>
      <c r="E314" s="4">
        <v>0.2</v>
      </c>
      <c r="F314" s="5">
        <f t="shared" si="28"/>
        <v>33980</v>
      </c>
      <c r="G314" s="5">
        <f t="shared" si="29"/>
        <v>135920</v>
      </c>
      <c r="H314" s="6">
        <v>0.1108</v>
      </c>
      <c r="I314" s="7">
        <v>12</v>
      </c>
      <c r="J314" s="8">
        <f t="shared" si="30"/>
        <v>9.233333333333333E-3</v>
      </c>
      <c r="K314" s="5">
        <f t="shared" si="31"/>
        <v>12017.907619442487</v>
      </c>
      <c r="L314" s="5">
        <f t="shared" si="32"/>
        <v>144214.89143330985</v>
      </c>
      <c r="M314" s="5">
        <f t="shared" si="33"/>
        <v>8294.891433309851</v>
      </c>
      <c r="N314" s="5">
        <v>1359.2</v>
      </c>
      <c r="O314" s="5">
        <v>8834.8000000000011</v>
      </c>
      <c r="P314" s="2" t="s">
        <v>37</v>
      </c>
      <c r="Q314" s="5">
        <v>0</v>
      </c>
      <c r="R314" s="5">
        <f t="shared" si="34"/>
        <v>819.29143330985062</v>
      </c>
      <c r="S314" s="2" t="s">
        <v>42</v>
      </c>
      <c r="T314" s="2" t="s">
        <v>38</v>
      </c>
    </row>
    <row r="315" spans="1:20" x14ac:dyDescent="0.3">
      <c r="A315" s="9" t="s">
        <v>669</v>
      </c>
      <c r="B315" s="9" t="s">
        <v>670</v>
      </c>
      <c r="C315" s="9" t="s">
        <v>28</v>
      </c>
      <c r="D315" s="10">
        <v>78800</v>
      </c>
      <c r="E315" s="11">
        <v>0.2</v>
      </c>
      <c r="F315" s="12">
        <f t="shared" si="28"/>
        <v>15760</v>
      </c>
      <c r="G315" s="12">
        <f t="shared" si="29"/>
        <v>63040</v>
      </c>
      <c r="H315" s="13">
        <v>0.18590000000000001</v>
      </c>
      <c r="I315" s="14">
        <v>36</v>
      </c>
      <c r="J315" s="15">
        <f t="shared" si="30"/>
        <v>1.5491666666666667E-2</v>
      </c>
      <c r="K315" s="12">
        <f t="shared" si="31"/>
        <v>2297.7485258268225</v>
      </c>
      <c r="L315" s="12">
        <f t="shared" si="32"/>
        <v>82718.946929765603</v>
      </c>
      <c r="M315" s="12">
        <f t="shared" si="33"/>
        <v>19678.946929765603</v>
      </c>
      <c r="N315" s="12">
        <v>630.4</v>
      </c>
      <c r="O315" s="12">
        <v>12292.800000000001</v>
      </c>
      <c r="P315" s="9" t="s">
        <v>37</v>
      </c>
      <c r="Q315" s="12">
        <v>0</v>
      </c>
      <c r="R315" s="12">
        <f t="shared" si="34"/>
        <v>8016.5469297656036</v>
      </c>
      <c r="S315" s="9" t="s">
        <v>58</v>
      </c>
      <c r="T315" s="9" t="s">
        <v>25</v>
      </c>
    </row>
    <row r="316" spans="1:20" x14ac:dyDescent="0.3">
      <c r="A316" s="2" t="s">
        <v>671</v>
      </c>
      <c r="B316" s="2" t="s">
        <v>672</v>
      </c>
      <c r="C316" s="2" t="s">
        <v>41</v>
      </c>
      <c r="D316" s="3">
        <v>620900</v>
      </c>
      <c r="E316" s="4">
        <v>0.2</v>
      </c>
      <c r="F316" s="5">
        <f t="shared" si="28"/>
        <v>124180</v>
      </c>
      <c r="G316" s="5">
        <f t="shared" si="29"/>
        <v>496720</v>
      </c>
      <c r="H316" s="6">
        <v>9.4399999999999998E-2</v>
      </c>
      <c r="I316" s="7">
        <v>72</v>
      </c>
      <c r="J316" s="8">
        <f t="shared" si="30"/>
        <v>7.8666666666666659E-3</v>
      </c>
      <c r="K316" s="5">
        <f t="shared" si="31"/>
        <v>9062.5009130103263</v>
      </c>
      <c r="L316" s="5">
        <f t="shared" si="32"/>
        <v>652500.06573674351</v>
      </c>
      <c r="M316" s="5">
        <f t="shared" si="33"/>
        <v>155780.06573674351</v>
      </c>
      <c r="N316" s="5">
        <v>4967.2</v>
      </c>
      <c r="O316" s="5">
        <v>193720.80000000002</v>
      </c>
      <c r="P316" s="2" t="s">
        <v>23</v>
      </c>
      <c r="Q316" s="5">
        <v>0</v>
      </c>
      <c r="R316" s="5">
        <f t="shared" si="34"/>
        <v>-32973.534263256501</v>
      </c>
      <c r="S316" s="2" t="s">
        <v>42</v>
      </c>
      <c r="T316" s="2" t="s">
        <v>25</v>
      </c>
    </row>
    <row r="317" spans="1:20" x14ac:dyDescent="0.3">
      <c r="A317" s="9" t="s">
        <v>673</v>
      </c>
      <c r="B317" s="9" t="s">
        <v>674</v>
      </c>
      <c r="C317" s="9" t="s">
        <v>41</v>
      </c>
      <c r="D317" s="10">
        <v>758500</v>
      </c>
      <c r="E317" s="11">
        <v>0.2</v>
      </c>
      <c r="F317" s="12">
        <f t="shared" si="28"/>
        <v>151700</v>
      </c>
      <c r="G317" s="12">
        <f t="shared" si="29"/>
        <v>606800</v>
      </c>
      <c r="H317" s="13">
        <v>9.3399999999999997E-2</v>
      </c>
      <c r="I317" s="14">
        <v>72</v>
      </c>
      <c r="J317" s="15">
        <f t="shared" si="30"/>
        <v>7.7833333333333331E-3</v>
      </c>
      <c r="K317" s="12">
        <f t="shared" si="31"/>
        <v>11040.570899152855</v>
      </c>
      <c r="L317" s="12">
        <f t="shared" si="32"/>
        <v>794921.10473900556</v>
      </c>
      <c r="M317" s="12">
        <f t="shared" si="33"/>
        <v>188121.10473900556</v>
      </c>
      <c r="N317" s="12">
        <v>6068</v>
      </c>
      <c r="O317" s="12">
        <v>236652</v>
      </c>
      <c r="P317" s="9" t="s">
        <v>37</v>
      </c>
      <c r="Q317" s="12">
        <v>0</v>
      </c>
      <c r="R317" s="12">
        <f t="shared" si="34"/>
        <v>-42462.895260994439</v>
      </c>
      <c r="S317" s="9" t="s">
        <v>30</v>
      </c>
      <c r="T317" s="9" t="s">
        <v>25</v>
      </c>
    </row>
    <row r="318" spans="1:20" x14ac:dyDescent="0.3">
      <c r="A318" s="2" t="s">
        <v>675</v>
      </c>
      <c r="B318" s="2" t="s">
        <v>676</v>
      </c>
      <c r="C318" s="2" t="s">
        <v>41</v>
      </c>
      <c r="D318" s="3">
        <v>597900</v>
      </c>
      <c r="E318" s="4">
        <v>0.25</v>
      </c>
      <c r="F318" s="5">
        <f t="shared" si="28"/>
        <v>149475</v>
      </c>
      <c r="G318" s="5">
        <f t="shared" si="29"/>
        <v>448425</v>
      </c>
      <c r="H318" s="6">
        <v>0.108</v>
      </c>
      <c r="I318" s="7">
        <v>36</v>
      </c>
      <c r="J318" s="8">
        <f t="shared" si="30"/>
        <v>8.9999999999999993E-3</v>
      </c>
      <c r="K318" s="5">
        <f t="shared" si="31"/>
        <v>14638.424128784922</v>
      </c>
      <c r="L318" s="5">
        <f t="shared" si="32"/>
        <v>526983.26863625715</v>
      </c>
      <c r="M318" s="5">
        <f t="shared" si="33"/>
        <v>78558.268636257155</v>
      </c>
      <c r="N318" s="5">
        <v>4484.25</v>
      </c>
      <c r="O318" s="5">
        <v>87442.875</v>
      </c>
      <c r="P318" s="2" t="s">
        <v>23</v>
      </c>
      <c r="Q318" s="5">
        <v>0</v>
      </c>
      <c r="R318" s="5">
        <f t="shared" si="34"/>
        <v>-4400.3563637428451</v>
      </c>
      <c r="S318" s="2" t="s">
        <v>30</v>
      </c>
      <c r="T318" s="2" t="s">
        <v>97</v>
      </c>
    </row>
    <row r="319" spans="1:20" x14ac:dyDescent="0.3">
      <c r="A319" s="9" t="s">
        <v>677</v>
      </c>
      <c r="B319" s="9" t="s">
        <v>678</v>
      </c>
      <c r="C319" s="9" t="s">
        <v>41</v>
      </c>
      <c r="D319" s="10">
        <v>1314400</v>
      </c>
      <c r="E319" s="11">
        <v>0.25</v>
      </c>
      <c r="F319" s="12">
        <f t="shared" si="28"/>
        <v>328600</v>
      </c>
      <c r="G319" s="12">
        <f t="shared" si="29"/>
        <v>985800</v>
      </c>
      <c r="H319" s="13">
        <v>8.7099999999999997E-2</v>
      </c>
      <c r="I319" s="14">
        <v>72</v>
      </c>
      <c r="J319" s="15">
        <f t="shared" si="30"/>
        <v>7.2583333333333328E-3</v>
      </c>
      <c r="K319" s="12">
        <f t="shared" si="31"/>
        <v>17628.020857397743</v>
      </c>
      <c r="L319" s="12">
        <f t="shared" si="32"/>
        <v>1269217.5017326376</v>
      </c>
      <c r="M319" s="12">
        <f t="shared" si="33"/>
        <v>283417.50173263764</v>
      </c>
      <c r="N319" s="12">
        <v>9858</v>
      </c>
      <c r="O319" s="12">
        <v>384462</v>
      </c>
      <c r="P319" s="9" t="s">
        <v>37</v>
      </c>
      <c r="Q319" s="12">
        <v>0</v>
      </c>
      <c r="R319" s="12">
        <f t="shared" si="34"/>
        <v>-91186.49826736236</v>
      </c>
      <c r="S319" s="9" t="s">
        <v>58</v>
      </c>
      <c r="T319" s="9" t="s">
        <v>55</v>
      </c>
    </row>
    <row r="320" spans="1:20" x14ac:dyDescent="0.3">
      <c r="A320" s="2" t="s">
        <v>679</v>
      </c>
      <c r="B320" s="2" t="s">
        <v>680</v>
      </c>
      <c r="C320" s="2" t="s">
        <v>67</v>
      </c>
      <c r="D320" s="3">
        <v>25300</v>
      </c>
      <c r="E320" s="4">
        <v>0</v>
      </c>
      <c r="F320" s="5">
        <f t="shared" si="28"/>
        <v>0</v>
      </c>
      <c r="G320" s="5">
        <f t="shared" si="29"/>
        <v>25300</v>
      </c>
      <c r="H320" s="6">
        <v>0.1739</v>
      </c>
      <c r="I320" s="7">
        <v>12</v>
      </c>
      <c r="J320" s="8">
        <f t="shared" si="30"/>
        <v>1.4491666666666667E-2</v>
      </c>
      <c r="K320" s="5">
        <f t="shared" si="31"/>
        <v>2312.1653792408533</v>
      </c>
      <c r="L320" s="5">
        <f t="shared" si="32"/>
        <v>27745.98455089024</v>
      </c>
      <c r="M320" s="5">
        <f t="shared" si="33"/>
        <v>2445.9845508902399</v>
      </c>
      <c r="N320" s="5">
        <v>499</v>
      </c>
      <c r="O320" s="5">
        <v>1644.5</v>
      </c>
      <c r="P320" s="2" t="s">
        <v>23</v>
      </c>
      <c r="Q320" s="5">
        <v>0</v>
      </c>
      <c r="R320" s="5">
        <f t="shared" si="34"/>
        <v>1300.4845508902399</v>
      </c>
      <c r="S320" s="2" t="s">
        <v>42</v>
      </c>
      <c r="T320" s="2" t="s">
        <v>25</v>
      </c>
    </row>
    <row r="321" spans="1:20" x14ac:dyDescent="0.3">
      <c r="A321" s="9" t="s">
        <v>681</v>
      </c>
      <c r="B321" s="9" t="s">
        <v>682</v>
      </c>
      <c r="C321" s="9" t="s">
        <v>28</v>
      </c>
      <c r="D321" s="10">
        <v>88300</v>
      </c>
      <c r="E321" s="11">
        <v>0.15</v>
      </c>
      <c r="F321" s="12">
        <f t="shared" si="28"/>
        <v>13245</v>
      </c>
      <c r="G321" s="12">
        <f t="shared" si="29"/>
        <v>75055</v>
      </c>
      <c r="H321" s="13">
        <v>0.19359999999999999</v>
      </c>
      <c r="I321" s="14">
        <v>36</v>
      </c>
      <c r="J321" s="15">
        <f t="shared" si="30"/>
        <v>1.6133333333333333E-2</v>
      </c>
      <c r="K321" s="12">
        <f t="shared" si="31"/>
        <v>2764.8978565418975</v>
      </c>
      <c r="L321" s="12">
        <f t="shared" si="32"/>
        <v>99536.322835508312</v>
      </c>
      <c r="M321" s="12">
        <f t="shared" si="33"/>
        <v>24481.322835508312</v>
      </c>
      <c r="N321" s="12">
        <v>750.55000000000007</v>
      </c>
      <c r="O321" s="12">
        <v>14635.724999999999</v>
      </c>
      <c r="P321" s="9" t="s">
        <v>23</v>
      </c>
      <c r="Q321" s="12">
        <v>0</v>
      </c>
      <c r="R321" s="12">
        <f t="shared" si="34"/>
        <v>10596.147835508313</v>
      </c>
      <c r="S321" s="9" t="s">
        <v>58</v>
      </c>
      <c r="T321" s="9" t="s">
        <v>31</v>
      </c>
    </row>
    <row r="322" spans="1:20" x14ac:dyDescent="0.3">
      <c r="A322" s="2" t="s">
        <v>683</v>
      </c>
      <c r="B322" s="2" t="s">
        <v>684</v>
      </c>
      <c r="C322" s="2" t="s">
        <v>41</v>
      </c>
      <c r="D322" s="3">
        <v>990600</v>
      </c>
      <c r="E322" s="4">
        <v>0.1</v>
      </c>
      <c r="F322" s="5">
        <f t="shared" ref="F322:F385" si="35">D322*E322</f>
        <v>99060</v>
      </c>
      <c r="G322" s="5">
        <f t="shared" ref="G322:G385" si="36">D322-F322</f>
        <v>891540</v>
      </c>
      <c r="H322" s="6">
        <v>0.1041</v>
      </c>
      <c r="I322" s="7">
        <v>36</v>
      </c>
      <c r="J322" s="8">
        <f t="shared" ref="J322:J385" si="37">H322/12</f>
        <v>8.6750000000000004E-3</v>
      </c>
      <c r="K322" s="5">
        <f t="shared" ref="K322:K385" si="38">-PMT(J322,I322,G322)</f>
        <v>28939.408233339105</v>
      </c>
      <c r="L322" s="5">
        <f t="shared" ref="L322:L385" si="39">K322*I322</f>
        <v>1041818.6964002078</v>
      </c>
      <c r="M322" s="5">
        <f t="shared" ref="M322:M385" si="40">L322-G322</f>
        <v>150278.69640020782</v>
      </c>
      <c r="N322" s="5">
        <v>8915.4</v>
      </c>
      <c r="O322" s="5">
        <v>173850.3</v>
      </c>
      <c r="P322" s="2" t="s">
        <v>23</v>
      </c>
      <c r="Q322" s="5">
        <v>0</v>
      </c>
      <c r="R322" s="5">
        <f t="shared" ref="R322:R385" si="41">M322+N322-O322-Q322</f>
        <v>-14656.203599792178</v>
      </c>
      <c r="S322" s="2" t="s">
        <v>58</v>
      </c>
      <c r="T322" s="2" t="s">
        <v>34</v>
      </c>
    </row>
    <row r="323" spans="1:20" x14ac:dyDescent="0.3">
      <c r="A323" s="9" t="s">
        <v>685</v>
      </c>
      <c r="B323" s="9" t="s">
        <v>686</v>
      </c>
      <c r="C323" s="9" t="s">
        <v>22</v>
      </c>
      <c r="D323" s="10">
        <v>70600</v>
      </c>
      <c r="E323" s="11">
        <v>0.15</v>
      </c>
      <c r="F323" s="12">
        <f t="shared" si="35"/>
        <v>10590</v>
      </c>
      <c r="G323" s="12">
        <f t="shared" si="36"/>
        <v>60010</v>
      </c>
      <c r="H323" s="13">
        <v>0.1787</v>
      </c>
      <c r="I323" s="14">
        <v>48</v>
      </c>
      <c r="J323" s="15">
        <f t="shared" si="37"/>
        <v>1.4891666666666666E-2</v>
      </c>
      <c r="K323" s="12">
        <f t="shared" si="38"/>
        <v>1758.7198234976083</v>
      </c>
      <c r="L323" s="12">
        <f t="shared" si="39"/>
        <v>84418.551527885196</v>
      </c>
      <c r="M323" s="12">
        <f t="shared" si="40"/>
        <v>24408.551527885196</v>
      </c>
      <c r="N323" s="12">
        <v>600.1</v>
      </c>
      <c r="O323" s="12">
        <v>15602.6</v>
      </c>
      <c r="P323" s="9" t="s">
        <v>23</v>
      </c>
      <c r="Q323" s="12">
        <v>0</v>
      </c>
      <c r="R323" s="12">
        <f t="shared" si="41"/>
        <v>9406.0515278851944</v>
      </c>
      <c r="S323" s="9" t="s">
        <v>42</v>
      </c>
      <c r="T323" s="9" t="s">
        <v>43</v>
      </c>
    </row>
    <row r="324" spans="1:20" x14ac:dyDescent="0.3">
      <c r="A324" s="2" t="s">
        <v>687</v>
      </c>
      <c r="B324" s="2" t="s">
        <v>688</v>
      </c>
      <c r="C324" s="2" t="s">
        <v>67</v>
      </c>
      <c r="D324" s="3">
        <v>37000</v>
      </c>
      <c r="E324" s="4">
        <v>0.15</v>
      </c>
      <c r="F324" s="5">
        <f t="shared" si="35"/>
        <v>5550</v>
      </c>
      <c r="G324" s="5">
        <f t="shared" si="36"/>
        <v>31450</v>
      </c>
      <c r="H324" s="6">
        <v>0.18090000000000001</v>
      </c>
      <c r="I324" s="7">
        <v>18</v>
      </c>
      <c r="J324" s="8">
        <f t="shared" si="37"/>
        <v>1.5075E-2</v>
      </c>
      <c r="K324" s="5">
        <f t="shared" si="38"/>
        <v>2008.041380368747</v>
      </c>
      <c r="L324" s="5">
        <f t="shared" si="39"/>
        <v>36144.744846637448</v>
      </c>
      <c r="M324" s="5">
        <f t="shared" si="40"/>
        <v>4694.7448466374481</v>
      </c>
      <c r="N324" s="5">
        <v>499</v>
      </c>
      <c r="O324" s="5">
        <v>3066.375</v>
      </c>
      <c r="P324" s="2" t="s">
        <v>23</v>
      </c>
      <c r="Q324" s="5">
        <v>0</v>
      </c>
      <c r="R324" s="5">
        <f t="shared" si="41"/>
        <v>2127.3698466374481</v>
      </c>
      <c r="S324" s="2" t="s">
        <v>30</v>
      </c>
      <c r="T324" s="2" t="s">
        <v>97</v>
      </c>
    </row>
    <row r="325" spans="1:20" x14ac:dyDescent="0.3">
      <c r="A325" s="9" t="s">
        <v>689</v>
      </c>
      <c r="B325" s="9" t="s">
        <v>690</v>
      </c>
      <c r="C325" s="9" t="s">
        <v>28</v>
      </c>
      <c r="D325" s="10">
        <v>82900</v>
      </c>
      <c r="E325" s="11">
        <v>0.2</v>
      </c>
      <c r="F325" s="12">
        <f t="shared" si="35"/>
        <v>16580</v>
      </c>
      <c r="G325" s="12">
        <f t="shared" si="36"/>
        <v>66320</v>
      </c>
      <c r="H325" s="13">
        <v>0.1744</v>
      </c>
      <c r="I325" s="14">
        <v>36</v>
      </c>
      <c r="J325" s="15">
        <f t="shared" si="37"/>
        <v>1.4533333333333334E-2</v>
      </c>
      <c r="K325" s="12">
        <f t="shared" si="38"/>
        <v>2379.037201607433</v>
      </c>
      <c r="L325" s="12">
        <f t="shared" si="39"/>
        <v>85645.339257867585</v>
      </c>
      <c r="M325" s="12">
        <f t="shared" si="40"/>
        <v>19325.339257867585</v>
      </c>
      <c r="N325" s="12">
        <v>663.2</v>
      </c>
      <c r="O325" s="12">
        <v>12932.400000000001</v>
      </c>
      <c r="P325" s="9" t="s">
        <v>37</v>
      </c>
      <c r="Q325" s="12">
        <v>0</v>
      </c>
      <c r="R325" s="12">
        <f t="shared" si="41"/>
        <v>7056.1392578675841</v>
      </c>
      <c r="S325" s="9" t="s">
        <v>24</v>
      </c>
      <c r="T325" s="9" t="s">
        <v>97</v>
      </c>
    </row>
    <row r="326" spans="1:20" x14ac:dyDescent="0.3">
      <c r="A326" s="2" t="s">
        <v>691</v>
      </c>
      <c r="B326" s="2" t="s">
        <v>692</v>
      </c>
      <c r="C326" s="2" t="s">
        <v>67</v>
      </c>
      <c r="D326" s="3">
        <v>54600</v>
      </c>
      <c r="E326" s="4">
        <v>0.2</v>
      </c>
      <c r="F326" s="5">
        <f t="shared" si="35"/>
        <v>10920</v>
      </c>
      <c r="G326" s="5">
        <f t="shared" si="36"/>
        <v>43680</v>
      </c>
      <c r="H326" s="6">
        <v>0.21690000000000001</v>
      </c>
      <c r="I326" s="7">
        <v>3</v>
      </c>
      <c r="J326" s="8">
        <f t="shared" si="37"/>
        <v>1.8075000000000001E-2</v>
      </c>
      <c r="K326" s="5">
        <f t="shared" si="38"/>
        <v>15089.486735333328</v>
      </c>
      <c r="L326" s="5">
        <f t="shared" si="39"/>
        <v>45268.460205999989</v>
      </c>
      <c r="M326" s="5">
        <f t="shared" si="40"/>
        <v>1588.4602059999888</v>
      </c>
      <c r="N326" s="5">
        <v>499</v>
      </c>
      <c r="O326" s="5">
        <v>709.80000000000007</v>
      </c>
      <c r="P326" s="2" t="s">
        <v>37</v>
      </c>
      <c r="Q326" s="5">
        <v>0</v>
      </c>
      <c r="R326" s="5">
        <f t="shared" si="41"/>
        <v>1377.6602059999886</v>
      </c>
      <c r="S326" s="2" t="s">
        <v>58</v>
      </c>
      <c r="T326" s="2" t="s">
        <v>38</v>
      </c>
    </row>
    <row r="327" spans="1:20" x14ac:dyDescent="0.3">
      <c r="A327" s="9" t="s">
        <v>693</v>
      </c>
      <c r="B327" s="9" t="s">
        <v>694</v>
      </c>
      <c r="C327" s="9" t="s">
        <v>28</v>
      </c>
      <c r="D327" s="10">
        <v>50900</v>
      </c>
      <c r="E327" s="11">
        <v>0</v>
      </c>
      <c r="F327" s="12">
        <f t="shared" si="35"/>
        <v>0</v>
      </c>
      <c r="G327" s="12">
        <f t="shared" si="36"/>
        <v>50900</v>
      </c>
      <c r="H327" s="13">
        <v>0.15859999999999999</v>
      </c>
      <c r="I327" s="14">
        <v>18</v>
      </c>
      <c r="J327" s="15">
        <f t="shared" si="37"/>
        <v>1.3216666666666666E-2</v>
      </c>
      <c r="K327" s="12">
        <f t="shared" si="38"/>
        <v>3196.0251048519185</v>
      </c>
      <c r="L327" s="12">
        <f t="shared" si="39"/>
        <v>57528.451887334537</v>
      </c>
      <c r="M327" s="12">
        <f t="shared" si="40"/>
        <v>6628.4518873345369</v>
      </c>
      <c r="N327" s="12">
        <v>509</v>
      </c>
      <c r="O327" s="12">
        <v>4962.75</v>
      </c>
      <c r="P327" s="9" t="s">
        <v>23</v>
      </c>
      <c r="Q327" s="12">
        <v>0</v>
      </c>
      <c r="R327" s="12">
        <f t="shared" si="41"/>
        <v>2174.7018873345369</v>
      </c>
      <c r="S327" s="9" t="s">
        <v>42</v>
      </c>
      <c r="T327" s="9" t="s">
        <v>38</v>
      </c>
    </row>
    <row r="328" spans="1:20" x14ac:dyDescent="0.3">
      <c r="A328" s="2" t="s">
        <v>695</v>
      </c>
      <c r="B328" s="2" t="s">
        <v>696</v>
      </c>
      <c r="C328" s="2" t="s">
        <v>67</v>
      </c>
      <c r="D328" s="3">
        <v>13000</v>
      </c>
      <c r="E328" s="4">
        <v>0.05</v>
      </c>
      <c r="F328" s="5">
        <f t="shared" si="35"/>
        <v>650</v>
      </c>
      <c r="G328" s="5">
        <f t="shared" si="36"/>
        <v>12350</v>
      </c>
      <c r="H328" s="6">
        <v>0.19689999999999999</v>
      </c>
      <c r="I328" s="7">
        <v>3</v>
      </c>
      <c r="J328" s="8">
        <f t="shared" si="37"/>
        <v>1.6408333333333334E-2</v>
      </c>
      <c r="K328" s="5">
        <f t="shared" si="38"/>
        <v>4252.4948116870592</v>
      </c>
      <c r="L328" s="5">
        <f t="shared" si="39"/>
        <v>12757.484435061178</v>
      </c>
      <c r="M328" s="5">
        <f t="shared" si="40"/>
        <v>407.48443506117837</v>
      </c>
      <c r="N328" s="5">
        <v>499</v>
      </c>
      <c r="O328" s="5">
        <v>200.6875</v>
      </c>
      <c r="P328" s="2" t="s">
        <v>23</v>
      </c>
      <c r="Q328" s="5">
        <v>0</v>
      </c>
      <c r="R328" s="5">
        <f t="shared" si="41"/>
        <v>705.79693506117837</v>
      </c>
      <c r="S328" s="2" t="s">
        <v>30</v>
      </c>
      <c r="T328" s="2" t="s">
        <v>31</v>
      </c>
    </row>
    <row r="329" spans="1:20" x14ac:dyDescent="0.3">
      <c r="A329" s="9" t="s">
        <v>697</v>
      </c>
      <c r="B329" s="9" t="s">
        <v>698</v>
      </c>
      <c r="C329" s="9" t="s">
        <v>67</v>
      </c>
      <c r="D329" s="10">
        <v>27500</v>
      </c>
      <c r="E329" s="11">
        <v>0.1</v>
      </c>
      <c r="F329" s="12">
        <f t="shared" si="35"/>
        <v>2750</v>
      </c>
      <c r="G329" s="12">
        <f t="shared" si="36"/>
        <v>24750</v>
      </c>
      <c r="H329" s="13">
        <v>0.15279999999999999</v>
      </c>
      <c r="I329" s="14">
        <v>18</v>
      </c>
      <c r="J329" s="15">
        <f t="shared" si="37"/>
        <v>1.2733333333333333E-2</v>
      </c>
      <c r="K329" s="12">
        <f t="shared" si="38"/>
        <v>1547.2869050173683</v>
      </c>
      <c r="L329" s="12">
        <f t="shared" si="39"/>
        <v>27851.16429031263</v>
      </c>
      <c r="M329" s="12">
        <f t="shared" si="40"/>
        <v>3101.1642903126303</v>
      </c>
      <c r="N329" s="12">
        <v>499</v>
      </c>
      <c r="O329" s="12">
        <v>2413.125</v>
      </c>
      <c r="P329" s="9" t="s">
        <v>23</v>
      </c>
      <c r="Q329" s="12">
        <v>0</v>
      </c>
      <c r="R329" s="12">
        <f t="shared" si="41"/>
        <v>1187.0392903126303</v>
      </c>
      <c r="S329" s="9" t="s">
        <v>30</v>
      </c>
      <c r="T329" s="9" t="s">
        <v>88</v>
      </c>
    </row>
    <row r="330" spans="1:20" x14ac:dyDescent="0.3">
      <c r="A330" s="2" t="s">
        <v>699</v>
      </c>
      <c r="B330" s="2" t="s">
        <v>700</v>
      </c>
      <c r="C330" s="2" t="s">
        <v>22</v>
      </c>
      <c r="D330" s="3">
        <v>104700</v>
      </c>
      <c r="E330" s="4">
        <v>0.05</v>
      </c>
      <c r="F330" s="5">
        <f t="shared" si="35"/>
        <v>5235</v>
      </c>
      <c r="G330" s="5">
        <f t="shared" si="36"/>
        <v>99465</v>
      </c>
      <c r="H330" s="6">
        <v>0.15260000000000001</v>
      </c>
      <c r="I330" s="7">
        <v>48</v>
      </c>
      <c r="J330" s="8">
        <f t="shared" si="37"/>
        <v>1.2716666666666668E-2</v>
      </c>
      <c r="K330" s="5">
        <f t="shared" si="38"/>
        <v>2781.3121339129716</v>
      </c>
      <c r="L330" s="5">
        <f t="shared" si="39"/>
        <v>133502.98242782263</v>
      </c>
      <c r="M330" s="5">
        <f t="shared" si="40"/>
        <v>34037.98242782263</v>
      </c>
      <c r="N330" s="5">
        <v>994.65</v>
      </c>
      <c r="O330" s="5">
        <v>25860.9</v>
      </c>
      <c r="P330" s="2" t="s">
        <v>23</v>
      </c>
      <c r="Q330" s="5">
        <v>0</v>
      </c>
      <c r="R330" s="5">
        <f t="shared" si="41"/>
        <v>9171.7324278226297</v>
      </c>
      <c r="S330" s="2" t="s">
        <v>30</v>
      </c>
      <c r="T330" s="2" t="s">
        <v>97</v>
      </c>
    </row>
    <row r="331" spans="1:20" x14ac:dyDescent="0.3">
      <c r="A331" s="9" t="s">
        <v>701</v>
      </c>
      <c r="B331" s="9" t="s">
        <v>702</v>
      </c>
      <c r="C331" s="9" t="s">
        <v>22</v>
      </c>
      <c r="D331" s="10">
        <v>153300</v>
      </c>
      <c r="E331" s="11">
        <v>0.15</v>
      </c>
      <c r="F331" s="12">
        <f t="shared" si="35"/>
        <v>22995</v>
      </c>
      <c r="G331" s="12">
        <f t="shared" si="36"/>
        <v>130305</v>
      </c>
      <c r="H331" s="13">
        <v>0.15640000000000001</v>
      </c>
      <c r="I331" s="14">
        <v>24</v>
      </c>
      <c r="J331" s="15">
        <f t="shared" si="37"/>
        <v>1.3033333333333334E-2</v>
      </c>
      <c r="K331" s="12">
        <f t="shared" si="38"/>
        <v>6357.7469149637855</v>
      </c>
      <c r="L331" s="12">
        <f t="shared" si="39"/>
        <v>152585.92595913087</v>
      </c>
      <c r="M331" s="12">
        <f t="shared" si="40"/>
        <v>22280.925959130866</v>
      </c>
      <c r="N331" s="12">
        <v>1303.05</v>
      </c>
      <c r="O331" s="12">
        <v>16939.650000000001</v>
      </c>
      <c r="P331" s="9" t="s">
        <v>23</v>
      </c>
      <c r="Q331" s="12">
        <v>0</v>
      </c>
      <c r="R331" s="12">
        <f t="shared" si="41"/>
        <v>6644.3259591308633</v>
      </c>
      <c r="S331" s="9" t="s">
        <v>24</v>
      </c>
      <c r="T331" s="9" t="s">
        <v>25</v>
      </c>
    </row>
    <row r="332" spans="1:20" x14ac:dyDescent="0.3">
      <c r="A332" s="2" t="s">
        <v>703</v>
      </c>
      <c r="B332" s="2" t="s">
        <v>704</v>
      </c>
      <c r="C332" s="2" t="s">
        <v>67</v>
      </c>
      <c r="D332" s="3">
        <v>105700</v>
      </c>
      <c r="E332" s="4">
        <v>0</v>
      </c>
      <c r="F332" s="5">
        <f t="shared" si="35"/>
        <v>0</v>
      </c>
      <c r="G332" s="5">
        <f t="shared" si="36"/>
        <v>105700</v>
      </c>
      <c r="H332" s="6">
        <v>0.155</v>
      </c>
      <c r="I332" s="7">
        <v>9</v>
      </c>
      <c r="J332" s="8">
        <f t="shared" si="37"/>
        <v>1.2916666666666667E-2</v>
      </c>
      <c r="K332" s="5">
        <f t="shared" si="38"/>
        <v>12515.91622432133</v>
      </c>
      <c r="L332" s="5">
        <f t="shared" si="39"/>
        <v>112643.24601889198</v>
      </c>
      <c r="M332" s="5">
        <f t="shared" si="40"/>
        <v>6943.2460188919795</v>
      </c>
      <c r="N332" s="5">
        <v>1057</v>
      </c>
      <c r="O332" s="5">
        <v>5152.875</v>
      </c>
      <c r="P332" s="2" t="s">
        <v>23</v>
      </c>
      <c r="Q332" s="5">
        <v>0</v>
      </c>
      <c r="R332" s="5">
        <f t="shared" si="41"/>
        <v>2847.3710188919795</v>
      </c>
      <c r="S332" s="2" t="s">
        <v>58</v>
      </c>
      <c r="T332" s="2" t="s">
        <v>49</v>
      </c>
    </row>
    <row r="333" spans="1:20" x14ac:dyDescent="0.3">
      <c r="A333" s="9" t="s">
        <v>705</v>
      </c>
      <c r="B333" s="9" t="s">
        <v>706</v>
      </c>
      <c r="C333" s="9" t="s">
        <v>41</v>
      </c>
      <c r="D333" s="10">
        <v>980500</v>
      </c>
      <c r="E333" s="11">
        <v>0.25</v>
      </c>
      <c r="F333" s="12">
        <f t="shared" si="35"/>
        <v>245125</v>
      </c>
      <c r="G333" s="12">
        <f t="shared" si="36"/>
        <v>735375</v>
      </c>
      <c r="H333" s="13">
        <v>0.1042</v>
      </c>
      <c r="I333" s="14">
        <v>84</v>
      </c>
      <c r="J333" s="15">
        <f t="shared" si="37"/>
        <v>8.6833333333333328E-3</v>
      </c>
      <c r="K333" s="12">
        <f t="shared" si="38"/>
        <v>12368.273398817053</v>
      </c>
      <c r="L333" s="12">
        <f t="shared" si="39"/>
        <v>1038934.9655006324</v>
      </c>
      <c r="M333" s="12">
        <f t="shared" si="40"/>
        <v>303559.96550063242</v>
      </c>
      <c r="N333" s="12">
        <v>7353.75</v>
      </c>
      <c r="O333" s="12">
        <v>334595.625</v>
      </c>
      <c r="P333" s="9" t="s">
        <v>23</v>
      </c>
      <c r="Q333" s="12">
        <v>0</v>
      </c>
      <c r="R333" s="12">
        <f t="shared" si="41"/>
        <v>-23681.909499367583</v>
      </c>
      <c r="S333" s="9" t="s">
        <v>24</v>
      </c>
      <c r="T333" s="9" t="s">
        <v>38</v>
      </c>
    </row>
    <row r="334" spans="1:20" x14ac:dyDescent="0.3">
      <c r="A334" s="2" t="s">
        <v>707</v>
      </c>
      <c r="B334" s="2" t="s">
        <v>708</v>
      </c>
      <c r="C334" s="2" t="s">
        <v>28</v>
      </c>
      <c r="D334" s="3">
        <v>82200</v>
      </c>
      <c r="E334" s="4">
        <v>0.1</v>
      </c>
      <c r="F334" s="5">
        <f t="shared" si="35"/>
        <v>8220</v>
      </c>
      <c r="G334" s="5">
        <f t="shared" si="36"/>
        <v>73980</v>
      </c>
      <c r="H334" s="6">
        <v>0.1338</v>
      </c>
      <c r="I334" s="7">
        <v>36</v>
      </c>
      <c r="J334" s="8">
        <f t="shared" si="37"/>
        <v>1.115E-2</v>
      </c>
      <c r="K334" s="5">
        <f t="shared" si="38"/>
        <v>2506.2407997868777</v>
      </c>
      <c r="L334" s="5">
        <f t="shared" si="39"/>
        <v>90224.668792327604</v>
      </c>
      <c r="M334" s="5">
        <f t="shared" si="40"/>
        <v>16244.668792327604</v>
      </c>
      <c r="N334" s="5">
        <v>739.80000000000007</v>
      </c>
      <c r="O334" s="5">
        <v>14426.099999999999</v>
      </c>
      <c r="P334" s="2" t="s">
        <v>23</v>
      </c>
      <c r="Q334" s="5">
        <v>0</v>
      </c>
      <c r="R334" s="5">
        <f t="shared" si="41"/>
        <v>2558.3687923276048</v>
      </c>
      <c r="S334" s="2" t="s">
        <v>24</v>
      </c>
      <c r="T334" s="2" t="s">
        <v>49</v>
      </c>
    </row>
    <row r="335" spans="1:20" x14ac:dyDescent="0.3">
      <c r="A335" s="9" t="s">
        <v>709</v>
      </c>
      <c r="B335" s="9" t="s">
        <v>710</v>
      </c>
      <c r="C335" s="9" t="s">
        <v>67</v>
      </c>
      <c r="D335" s="10">
        <v>21200</v>
      </c>
      <c r="E335" s="11">
        <v>0.05</v>
      </c>
      <c r="F335" s="12">
        <f t="shared" si="35"/>
        <v>1060</v>
      </c>
      <c r="G335" s="12">
        <f t="shared" si="36"/>
        <v>20140</v>
      </c>
      <c r="H335" s="13">
        <v>0.16439999999999999</v>
      </c>
      <c r="I335" s="14">
        <v>6</v>
      </c>
      <c r="J335" s="15">
        <f t="shared" si="37"/>
        <v>1.3699999999999999E-2</v>
      </c>
      <c r="K335" s="12">
        <f t="shared" si="38"/>
        <v>3519.4436888876803</v>
      </c>
      <c r="L335" s="12">
        <f t="shared" si="39"/>
        <v>21116.662133326081</v>
      </c>
      <c r="M335" s="12">
        <f t="shared" si="40"/>
        <v>976.66213332608095</v>
      </c>
      <c r="N335" s="12">
        <v>499</v>
      </c>
      <c r="O335" s="12">
        <v>654.55000000000007</v>
      </c>
      <c r="P335" s="9" t="s">
        <v>23</v>
      </c>
      <c r="Q335" s="12">
        <v>0</v>
      </c>
      <c r="R335" s="12">
        <f t="shared" si="41"/>
        <v>821.11213332608088</v>
      </c>
      <c r="S335" s="9" t="s">
        <v>42</v>
      </c>
      <c r="T335" s="9" t="s">
        <v>88</v>
      </c>
    </row>
    <row r="336" spans="1:20" x14ac:dyDescent="0.3">
      <c r="A336" s="2" t="s">
        <v>711</v>
      </c>
      <c r="B336" s="2" t="s">
        <v>712</v>
      </c>
      <c r="C336" s="2" t="s">
        <v>22</v>
      </c>
      <c r="D336" s="3">
        <v>198000</v>
      </c>
      <c r="E336" s="4">
        <v>0.25</v>
      </c>
      <c r="F336" s="5">
        <f t="shared" si="35"/>
        <v>49500</v>
      </c>
      <c r="G336" s="5">
        <f t="shared" si="36"/>
        <v>148500</v>
      </c>
      <c r="H336" s="6">
        <v>0.1338</v>
      </c>
      <c r="I336" s="7">
        <v>48</v>
      </c>
      <c r="J336" s="8">
        <f t="shared" si="37"/>
        <v>1.115E-2</v>
      </c>
      <c r="K336" s="5">
        <f t="shared" si="38"/>
        <v>4011.9477771414372</v>
      </c>
      <c r="L336" s="5">
        <f t="shared" si="39"/>
        <v>192573.49330278899</v>
      </c>
      <c r="M336" s="5">
        <f t="shared" si="40"/>
        <v>44073.493302788993</v>
      </c>
      <c r="N336" s="5">
        <v>1485</v>
      </c>
      <c r="O336" s="5">
        <v>38610</v>
      </c>
      <c r="P336" s="2" t="s">
        <v>23</v>
      </c>
      <c r="Q336" s="5">
        <v>0</v>
      </c>
      <c r="R336" s="5">
        <f t="shared" si="41"/>
        <v>6948.4933027889929</v>
      </c>
      <c r="S336" s="2" t="s">
        <v>30</v>
      </c>
      <c r="T336" s="2" t="s">
        <v>52</v>
      </c>
    </row>
    <row r="337" spans="1:20" x14ac:dyDescent="0.3">
      <c r="A337" s="9" t="s">
        <v>713</v>
      </c>
      <c r="B337" s="9" t="s">
        <v>714</v>
      </c>
      <c r="C337" s="9" t="s">
        <v>67</v>
      </c>
      <c r="D337" s="10">
        <v>40300</v>
      </c>
      <c r="E337" s="11">
        <v>0.15</v>
      </c>
      <c r="F337" s="12">
        <f t="shared" si="35"/>
        <v>6045</v>
      </c>
      <c r="G337" s="12">
        <f t="shared" si="36"/>
        <v>34255</v>
      </c>
      <c r="H337" s="13">
        <v>0.155</v>
      </c>
      <c r="I337" s="14">
        <v>12</v>
      </c>
      <c r="J337" s="15">
        <f t="shared" si="37"/>
        <v>1.2916666666666667E-2</v>
      </c>
      <c r="K337" s="12">
        <f t="shared" si="38"/>
        <v>3099.8862332285566</v>
      </c>
      <c r="L337" s="12">
        <f t="shared" si="39"/>
        <v>37198.634798742678</v>
      </c>
      <c r="M337" s="12">
        <f t="shared" si="40"/>
        <v>2943.634798742678</v>
      </c>
      <c r="N337" s="12">
        <v>499</v>
      </c>
      <c r="O337" s="12">
        <v>2226.5750000000003</v>
      </c>
      <c r="P337" s="9" t="s">
        <v>29</v>
      </c>
      <c r="Q337" s="12">
        <v>13702</v>
      </c>
      <c r="R337" s="12">
        <f t="shared" si="41"/>
        <v>-12485.940201257323</v>
      </c>
      <c r="S337" s="9" t="s">
        <v>58</v>
      </c>
      <c r="T337" s="9" t="s">
        <v>46</v>
      </c>
    </row>
    <row r="338" spans="1:20" x14ac:dyDescent="0.3">
      <c r="A338" s="2" t="s">
        <v>715</v>
      </c>
      <c r="B338" s="2" t="s">
        <v>716</v>
      </c>
      <c r="C338" s="2" t="s">
        <v>28</v>
      </c>
      <c r="D338" s="3">
        <v>49400</v>
      </c>
      <c r="E338" s="4">
        <v>0.2</v>
      </c>
      <c r="F338" s="5">
        <f t="shared" si="35"/>
        <v>9880</v>
      </c>
      <c r="G338" s="5">
        <f t="shared" si="36"/>
        <v>39520</v>
      </c>
      <c r="H338" s="6">
        <v>0.1507</v>
      </c>
      <c r="I338" s="7">
        <v>24</v>
      </c>
      <c r="J338" s="8">
        <f t="shared" si="37"/>
        <v>1.2558333333333333E-2</v>
      </c>
      <c r="K338" s="5">
        <f t="shared" si="38"/>
        <v>1917.5069493322399</v>
      </c>
      <c r="L338" s="5">
        <f t="shared" si="39"/>
        <v>46020.166783973757</v>
      </c>
      <c r="M338" s="5">
        <f t="shared" si="40"/>
        <v>6500.1667839737565</v>
      </c>
      <c r="N338" s="5">
        <v>499</v>
      </c>
      <c r="O338" s="5">
        <v>5137.6000000000004</v>
      </c>
      <c r="P338" s="2" t="s">
        <v>23</v>
      </c>
      <c r="Q338" s="5">
        <v>0</v>
      </c>
      <c r="R338" s="5">
        <f t="shared" si="41"/>
        <v>1861.5667839737562</v>
      </c>
      <c r="S338" s="2" t="s">
        <v>42</v>
      </c>
      <c r="T338" s="2" t="s">
        <v>49</v>
      </c>
    </row>
    <row r="339" spans="1:20" x14ac:dyDescent="0.3">
      <c r="A339" s="9" t="s">
        <v>717</v>
      </c>
      <c r="B339" s="9" t="s">
        <v>718</v>
      </c>
      <c r="C339" s="9" t="s">
        <v>28</v>
      </c>
      <c r="D339" s="10">
        <v>113800</v>
      </c>
      <c r="E339" s="11">
        <v>0</v>
      </c>
      <c r="F339" s="12">
        <f t="shared" si="35"/>
        <v>0</v>
      </c>
      <c r="G339" s="12">
        <f t="shared" si="36"/>
        <v>113800</v>
      </c>
      <c r="H339" s="13">
        <v>0.1555</v>
      </c>
      <c r="I339" s="14">
        <v>9</v>
      </c>
      <c r="J339" s="15">
        <f t="shared" si="37"/>
        <v>1.2958333333333334E-2</v>
      </c>
      <c r="K339" s="12">
        <f t="shared" si="38"/>
        <v>13477.759861054963</v>
      </c>
      <c r="L339" s="12">
        <f t="shared" si="39"/>
        <v>121299.83874949467</v>
      </c>
      <c r="M339" s="12">
        <f t="shared" si="40"/>
        <v>7499.8387494946655</v>
      </c>
      <c r="N339" s="12">
        <v>1138</v>
      </c>
      <c r="O339" s="12">
        <v>5547.75</v>
      </c>
      <c r="P339" s="9" t="s">
        <v>23</v>
      </c>
      <c r="Q339" s="12">
        <v>0</v>
      </c>
      <c r="R339" s="12">
        <f t="shared" si="41"/>
        <v>3090.0887494946655</v>
      </c>
      <c r="S339" s="9" t="s">
        <v>30</v>
      </c>
      <c r="T339" s="9" t="s">
        <v>184</v>
      </c>
    </row>
    <row r="340" spans="1:20" x14ac:dyDescent="0.3">
      <c r="A340" s="2" t="s">
        <v>719</v>
      </c>
      <c r="B340" s="2" t="s">
        <v>720</v>
      </c>
      <c r="C340" s="2" t="s">
        <v>67</v>
      </c>
      <c r="D340" s="3">
        <v>33200</v>
      </c>
      <c r="E340" s="4">
        <v>0.15</v>
      </c>
      <c r="F340" s="5">
        <f t="shared" si="35"/>
        <v>4980</v>
      </c>
      <c r="G340" s="5">
        <f t="shared" si="36"/>
        <v>28220</v>
      </c>
      <c r="H340" s="6">
        <v>0.16309999999999999</v>
      </c>
      <c r="I340" s="7">
        <v>12</v>
      </c>
      <c r="J340" s="8">
        <f t="shared" si="37"/>
        <v>1.3591666666666667E-2</v>
      </c>
      <c r="K340" s="5">
        <f t="shared" si="38"/>
        <v>2564.5664623800935</v>
      </c>
      <c r="L340" s="5">
        <f t="shared" si="39"/>
        <v>30774.797548561124</v>
      </c>
      <c r="M340" s="5">
        <f t="shared" si="40"/>
        <v>2554.7975485611241</v>
      </c>
      <c r="N340" s="5">
        <v>499</v>
      </c>
      <c r="O340" s="5">
        <v>1834.3</v>
      </c>
      <c r="P340" s="2" t="s">
        <v>23</v>
      </c>
      <c r="Q340" s="5">
        <v>0</v>
      </c>
      <c r="R340" s="5">
        <f t="shared" si="41"/>
        <v>1219.4975485611242</v>
      </c>
      <c r="S340" s="2" t="s">
        <v>42</v>
      </c>
      <c r="T340" s="2" t="s">
        <v>52</v>
      </c>
    </row>
    <row r="341" spans="1:20" x14ac:dyDescent="0.3">
      <c r="A341" s="9" t="s">
        <v>721</v>
      </c>
      <c r="B341" s="9" t="s">
        <v>722</v>
      </c>
      <c r="C341" s="9" t="s">
        <v>28</v>
      </c>
      <c r="D341" s="10">
        <v>96600</v>
      </c>
      <c r="E341" s="11">
        <v>0.1</v>
      </c>
      <c r="F341" s="12">
        <f t="shared" si="35"/>
        <v>9660</v>
      </c>
      <c r="G341" s="12">
        <f t="shared" si="36"/>
        <v>86940</v>
      </c>
      <c r="H341" s="13">
        <v>0.1414</v>
      </c>
      <c r="I341" s="14">
        <v>24</v>
      </c>
      <c r="J341" s="15">
        <f t="shared" si="37"/>
        <v>1.1783333333333333E-2</v>
      </c>
      <c r="K341" s="12">
        <f t="shared" si="38"/>
        <v>4179.9924066197609</v>
      </c>
      <c r="L341" s="12">
        <f t="shared" si="39"/>
        <v>100319.81775887427</v>
      </c>
      <c r="M341" s="12">
        <f t="shared" si="40"/>
        <v>13379.817758874269</v>
      </c>
      <c r="N341" s="12">
        <v>869.4</v>
      </c>
      <c r="O341" s="12">
        <v>11302.2</v>
      </c>
      <c r="P341" s="9" t="s">
        <v>23</v>
      </c>
      <c r="Q341" s="12">
        <v>0</v>
      </c>
      <c r="R341" s="12">
        <f t="shared" si="41"/>
        <v>2947.0177588742681</v>
      </c>
      <c r="S341" s="9" t="s">
        <v>24</v>
      </c>
      <c r="T341" s="9" t="s">
        <v>31</v>
      </c>
    </row>
    <row r="342" spans="1:20" x14ac:dyDescent="0.3">
      <c r="A342" s="2" t="s">
        <v>723</v>
      </c>
      <c r="B342" s="2" t="s">
        <v>724</v>
      </c>
      <c r="C342" s="2" t="s">
        <v>28</v>
      </c>
      <c r="D342" s="3">
        <v>52300</v>
      </c>
      <c r="E342" s="4">
        <v>0.05</v>
      </c>
      <c r="F342" s="5">
        <f t="shared" si="35"/>
        <v>2615</v>
      </c>
      <c r="G342" s="5">
        <f t="shared" si="36"/>
        <v>49685</v>
      </c>
      <c r="H342" s="6">
        <v>0.154</v>
      </c>
      <c r="I342" s="7">
        <v>36</v>
      </c>
      <c r="J342" s="8">
        <f t="shared" si="37"/>
        <v>1.2833333333333334E-2</v>
      </c>
      <c r="K342" s="5">
        <f t="shared" si="38"/>
        <v>1732.0951426572353</v>
      </c>
      <c r="L342" s="5">
        <f t="shared" si="39"/>
        <v>62355.425135660473</v>
      </c>
      <c r="M342" s="5">
        <f t="shared" si="40"/>
        <v>12670.425135660473</v>
      </c>
      <c r="N342" s="5">
        <v>499</v>
      </c>
      <c r="O342" s="5">
        <v>9688.5750000000007</v>
      </c>
      <c r="P342" s="2" t="s">
        <v>37</v>
      </c>
      <c r="Q342" s="5">
        <v>0</v>
      </c>
      <c r="R342" s="5">
        <f t="shared" si="41"/>
        <v>3480.850135660472</v>
      </c>
      <c r="S342" s="2" t="s">
        <v>24</v>
      </c>
      <c r="T342" s="2" t="s">
        <v>97</v>
      </c>
    </row>
    <row r="343" spans="1:20" x14ac:dyDescent="0.3">
      <c r="A343" s="9" t="s">
        <v>725</v>
      </c>
      <c r="B343" s="9" t="s">
        <v>726</v>
      </c>
      <c r="C343" s="9" t="s">
        <v>67</v>
      </c>
      <c r="D343" s="10">
        <v>104600</v>
      </c>
      <c r="E343" s="11">
        <v>0</v>
      </c>
      <c r="F343" s="12">
        <f t="shared" si="35"/>
        <v>0</v>
      </c>
      <c r="G343" s="12">
        <f t="shared" si="36"/>
        <v>104600</v>
      </c>
      <c r="H343" s="13">
        <v>0.14699999999999999</v>
      </c>
      <c r="I343" s="14">
        <v>3</v>
      </c>
      <c r="J343" s="15">
        <f t="shared" si="37"/>
        <v>1.2249999999999999E-2</v>
      </c>
      <c r="K343" s="12">
        <f t="shared" si="38"/>
        <v>35724.366841947856</v>
      </c>
      <c r="L343" s="12">
        <f t="shared" si="39"/>
        <v>107173.10052584356</v>
      </c>
      <c r="M343" s="12">
        <f t="shared" si="40"/>
        <v>2573.1005258435616</v>
      </c>
      <c r="N343" s="12">
        <v>1046</v>
      </c>
      <c r="O343" s="12">
        <v>1699.75</v>
      </c>
      <c r="P343" s="9" t="s">
        <v>37</v>
      </c>
      <c r="Q343" s="12">
        <v>0</v>
      </c>
      <c r="R343" s="12">
        <f t="shared" si="41"/>
        <v>1919.3505258435616</v>
      </c>
      <c r="S343" s="9" t="s">
        <v>58</v>
      </c>
      <c r="T343" s="9" t="s">
        <v>31</v>
      </c>
    </row>
    <row r="344" spans="1:20" x14ac:dyDescent="0.3">
      <c r="A344" s="2" t="s">
        <v>727</v>
      </c>
      <c r="B344" s="2" t="s">
        <v>728</v>
      </c>
      <c r="C344" s="2" t="s">
        <v>22</v>
      </c>
      <c r="D344" s="3">
        <v>162800</v>
      </c>
      <c r="E344" s="4">
        <v>0.1</v>
      </c>
      <c r="F344" s="5">
        <f t="shared" si="35"/>
        <v>16280</v>
      </c>
      <c r="G344" s="5">
        <f t="shared" si="36"/>
        <v>146520</v>
      </c>
      <c r="H344" s="6">
        <v>0.14929999999999999</v>
      </c>
      <c r="I344" s="7">
        <v>24</v>
      </c>
      <c r="J344" s="8">
        <f t="shared" si="37"/>
        <v>1.2441666666666665E-2</v>
      </c>
      <c r="K344" s="5">
        <f t="shared" si="38"/>
        <v>7099.391673808178</v>
      </c>
      <c r="L344" s="5">
        <f t="shared" si="39"/>
        <v>170385.40017139626</v>
      </c>
      <c r="M344" s="5">
        <f t="shared" si="40"/>
        <v>23865.400171396264</v>
      </c>
      <c r="N344" s="5">
        <v>1465.2</v>
      </c>
      <c r="O344" s="5">
        <v>19047.600000000002</v>
      </c>
      <c r="P344" s="2" t="s">
        <v>23</v>
      </c>
      <c r="Q344" s="5">
        <v>0</v>
      </c>
      <c r="R344" s="5">
        <f t="shared" si="41"/>
        <v>6283.0001713962629</v>
      </c>
      <c r="S344" s="2" t="s">
        <v>58</v>
      </c>
      <c r="T344" s="2" t="s">
        <v>52</v>
      </c>
    </row>
    <row r="345" spans="1:20" x14ac:dyDescent="0.3">
      <c r="A345" s="9" t="s">
        <v>729</v>
      </c>
      <c r="B345" s="9" t="s">
        <v>730</v>
      </c>
      <c r="C345" s="9" t="s">
        <v>67</v>
      </c>
      <c r="D345" s="10">
        <v>68300</v>
      </c>
      <c r="E345" s="11">
        <v>0.05</v>
      </c>
      <c r="F345" s="12">
        <f t="shared" si="35"/>
        <v>3415</v>
      </c>
      <c r="G345" s="12">
        <f t="shared" si="36"/>
        <v>64885</v>
      </c>
      <c r="H345" s="13">
        <v>0.16589999999999999</v>
      </c>
      <c r="I345" s="14">
        <v>24</v>
      </c>
      <c r="J345" s="15">
        <f t="shared" si="37"/>
        <v>1.3824999999999999E-2</v>
      </c>
      <c r="K345" s="12">
        <f t="shared" si="38"/>
        <v>3195.2933633250932</v>
      </c>
      <c r="L345" s="12">
        <f t="shared" si="39"/>
        <v>76687.040719802229</v>
      </c>
      <c r="M345" s="12">
        <f t="shared" si="40"/>
        <v>11802.040719802229</v>
      </c>
      <c r="N345" s="12">
        <v>648.85</v>
      </c>
      <c r="O345" s="12">
        <v>8435.0500000000011</v>
      </c>
      <c r="P345" s="9" t="s">
        <v>37</v>
      </c>
      <c r="Q345" s="12">
        <v>0</v>
      </c>
      <c r="R345" s="12">
        <f t="shared" si="41"/>
        <v>4015.8407198022287</v>
      </c>
      <c r="S345" s="9" t="s">
        <v>58</v>
      </c>
      <c r="T345" s="9" t="s">
        <v>52</v>
      </c>
    </row>
    <row r="346" spans="1:20" x14ac:dyDescent="0.3">
      <c r="A346" s="2" t="s">
        <v>731</v>
      </c>
      <c r="B346" s="2" t="s">
        <v>732</v>
      </c>
      <c r="C346" s="2" t="s">
        <v>41</v>
      </c>
      <c r="D346" s="3">
        <v>1147200</v>
      </c>
      <c r="E346" s="4">
        <v>0.1</v>
      </c>
      <c r="F346" s="5">
        <f t="shared" si="35"/>
        <v>114720</v>
      </c>
      <c r="G346" s="5">
        <f t="shared" si="36"/>
        <v>1032480</v>
      </c>
      <c r="H346" s="6">
        <v>8.7900000000000006E-2</v>
      </c>
      <c r="I346" s="7">
        <v>72</v>
      </c>
      <c r="J346" s="8">
        <f t="shared" si="37"/>
        <v>7.3250000000000008E-3</v>
      </c>
      <c r="K346" s="5">
        <f t="shared" si="38"/>
        <v>18503.578886093834</v>
      </c>
      <c r="L346" s="5">
        <f t="shared" si="39"/>
        <v>1332257.679798756</v>
      </c>
      <c r="M346" s="5">
        <f t="shared" si="40"/>
        <v>299777.67979875603</v>
      </c>
      <c r="N346" s="5">
        <v>10324.800000000001</v>
      </c>
      <c r="O346" s="5">
        <v>402667.19999999995</v>
      </c>
      <c r="P346" s="2" t="s">
        <v>23</v>
      </c>
      <c r="Q346" s="5">
        <v>0</v>
      </c>
      <c r="R346" s="5">
        <f t="shared" si="41"/>
        <v>-92564.720201243937</v>
      </c>
      <c r="S346" s="2" t="s">
        <v>30</v>
      </c>
      <c r="T346" s="2" t="s">
        <v>31</v>
      </c>
    </row>
    <row r="347" spans="1:20" x14ac:dyDescent="0.3">
      <c r="A347" s="9" t="s">
        <v>733</v>
      </c>
      <c r="B347" s="9" t="s">
        <v>734</v>
      </c>
      <c r="C347" s="9" t="s">
        <v>41</v>
      </c>
      <c r="D347" s="10">
        <v>674600</v>
      </c>
      <c r="E347" s="11">
        <v>0.25</v>
      </c>
      <c r="F347" s="12">
        <f t="shared" si="35"/>
        <v>168650</v>
      </c>
      <c r="G347" s="12">
        <f t="shared" si="36"/>
        <v>505950</v>
      </c>
      <c r="H347" s="13">
        <v>0.10630000000000001</v>
      </c>
      <c r="I347" s="14">
        <v>48</v>
      </c>
      <c r="J347" s="15">
        <f t="shared" si="37"/>
        <v>8.8583333333333344E-3</v>
      </c>
      <c r="K347" s="12">
        <f t="shared" si="38"/>
        <v>12985.817675454802</v>
      </c>
      <c r="L347" s="12">
        <f t="shared" si="39"/>
        <v>623319.24842183047</v>
      </c>
      <c r="M347" s="12">
        <f t="shared" si="40"/>
        <v>117369.24842183047</v>
      </c>
      <c r="N347" s="12">
        <v>5059.5</v>
      </c>
      <c r="O347" s="12">
        <v>131547</v>
      </c>
      <c r="P347" s="9" t="s">
        <v>23</v>
      </c>
      <c r="Q347" s="12">
        <v>0</v>
      </c>
      <c r="R347" s="12">
        <f t="shared" si="41"/>
        <v>-9118.2515781695256</v>
      </c>
      <c r="S347" s="9" t="s">
        <v>58</v>
      </c>
      <c r="T347" s="9" t="s">
        <v>49</v>
      </c>
    </row>
    <row r="348" spans="1:20" x14ac:dyDescent="0.3">
      <c r="A348" s="2" t="s">
        <v>735</v>
      </c>
      <c r="B348" s="2" t="s">
        <v>736</v>
      </c>
      <c r="C348" s="2" t="s">
        <v>28</v>
      </c>
      <c r="D348" s="3">
        <v>81500</v>
      </c>
      <c r="E348" s="4">
        <v>0.15</v>
      </c>
      <c r="F348" s="5">
        <f t="shared" si="35"/>
        <v>12225</v>
      </c>
      <c r="G348" s="5">
        <f t="shared" si="36"/>
        <v>69275</v>
      </c>
      <c r="H348" s="6">
        <v>0.17069999999999999</v>
      </c>
      <c r="I348" s="7">
        <v>6</v>
      </c>
      <c r="J348" s="8">
        <f t="shared" si="37"/>
        <v>1.4225E-2</v>
      </c>
      <c r="K348" s="5">
        <f t="shared" si="38"/>
        <v>12127.436894243443</v>
      </c>
      <c r="L348" s="5">
        <f t="shared" si="39"/>
        <v>72764.621365460654</v>
      </c>
      <c r="M348" s="5">
        <f t="shared" si="40"/>
        <v>3489.6213654606545</v>
      </c>
      <c r="N348" s="5">
        <v>692.75</v>
      </c>
      <c r="O348" s="5">
        <v>2251.4375</v>
      </c>
      <c r="P348" s="2" t="s">
        <v>23</v>
      </c>
      <c r="Q348" s="5">
        <v>0</v>
      </c>
      <c r="R348" s="5">
        <f t="shared" si="41"/>
        <v>1930.9338654606545</v>
      </c>
      <c r="S348" s="2" t="s">
        <v>58</v>
      </c>
      <c r="T348" s="2" t="s">
        <v>31</v>
      </c>
    </row>
    <row r="349" spans="1:20" x14ac:dyDescent="0.3">
      <c r="A349" s="9" t="s">
        <v>737</v>
      </c>
      <c r="B349" s="9" t="s">
        <v>738</v>
      </c>
      <c r="C349" s="9" t="s">
        <v>41</v>
      </c>
      <c r="D349" s="10">
        <v>806000</v>
      </c>
      <c r="E349" s="11">
        <v>0.3</v>
      </c>
      <c r="F349" s="12">
        <f t="shared" si="35"/>
        <v>241800</v>
      </c>
      <c r="G349" s="12">
        <f t="shared" si="36"/>
        <v>564200</v>
      </c>
      <c r="H349" s="13">
        <v>0.1135</v>
      </c>
      <c r="I349" s="14">
        <v>60</v>
      </c>
      <c r="J349" s="15">
        <f t="shared" si="37"/>
        <v>9.4583333333333342E-3</v>
      </c>
      <c r="K349" s="12">
        <f t="shared" si="38"/>
        <v>12365.784636644665</v>
      </c>
      <c r="L349" s="12">
        <f t="shared" si="39"/>
        <v>741947.07819867984</v>
      </c>
      <c r="M349" s="12">
        <f t="shared" si="40"/>
        <v>177747.07819867984</v>
      </c>
      <c r="N349" s="12">
        <v>5642</v>
      </c>
      <c r="O349" s="12">
        <v>183365</v>
      </c>
      <c r="P349" s="9" t="s">
        <v>29</v>
      </c>
      <c r="Q349" s="12">
        <v>225680</v>
      </c>
      <c r="R349" s="12">
        <f t="shared" si="41"/>
        <v>-225655.92180132016</v>
      </c>
      <c r="S349" s="9" t="s">
        <v>24</v>
      </c>
      <c r="T349" s="9" t="s">
        <v>31</v>
      </c>
    </row>
    <row r="350" spans="1:20" x14ac:dyDescent="0.3">
      <c r="A350" s="2" t="s">
        <v>739</v>
      </c>
      <c r="B350" s="2" t="s">
        <v>740</v>
      </c>
      <c r="C350" s="2" t="s">
        <v>41</v>
      </c>
      <c r="D350" s="3">
        <v>1098300</v>
      </c>
      <c r="E350" s="4">
        <v>0.3</v>
      </c>
      <c r="F350" s="5">
        <f t="shared" si="35"/>
        <v>329490</v>
      </c>
      <c r="G350" s="5">
        <f t="shared" si="36"/>
        <v>768810</v>
      </c>
      <c r="H350" s="6">
        <v>0.10589999999999999</v>
      </c>
      <c r="I350" s="7">
        <v>36</v>
      </c>
      <c r="J350" s="8">
        <f t="shared" si="37"/>
        <v>8.8249999999999995E-3</v>
      </c>
      <c r="K350" s="5">
        <f t="shared" si="38"/>
        <v>25020.842819106005</v>
      </c>
      <c r="L350" s="5">
        <f t="shared" si="39"/>
        <v>900750.34148781619</v>
      </c>
      <c r="M350" s="5">
        <f t="shared" si="40"/>
        <v>131940.34148781619</v>
      </c>
      <c r="N350" s="5">
        <v>7688.1</v>
      </c>
      <c r="O350" s="5">
        <v>149917.95000000001</v>
      </c>
      <c r="P350" s="2" t="s">
        <v>23</v>
      </c>
      <c r="Q350" s="5">
        <v>0</v>
      </c>
      <c r="R350" s="5">
        <f t="shared" si="41"/>
        <v>-10289.50851218382</v>
      </c>
      <c r="S350" s="2" t="s">
        <v>42</v>
      </c>
      <c r="T350" s="2" t="s">
        <v>55</v>
      </c>
    </row>
    <row r="351" spans="1:20" x14ac:dyDescent="0.3">
      <c r="A351" s="9" t="s">
        <v>741</v>
      </c>
      <c r="B351" s="9" t="s">
        <v>742</v>
      </c>
      <c r="C351" s="9" t="s">
        <v>28</v>
      </c>
      <c r="D351" s="10">
        <v>65400</v>
      </c>
      <c r="E351" s="11">
        <v>0.2</v>
      </c>
      <c r="F351" s="12">
        <f t="shared" si="35"/>
        <v>13080</v>
      </c>
      <c r="G351" s="12">
        <f t="shared" si="36"/>
        <v>52320</v>
      </c>
      <c r="H351" s="13">
        <v>0.14269999999999999</v>
      </c>
      <c r="I351" s="14">
        <v>24</v>
      </c>
      <c r="J351" s="15">
        <f t="shared" si="37"/>
        <v>1.1891666666666667E-2</v>
      </c>
      <c r="K351" s="12">
        <f t="shared" si="38"/>
        <v>2518.7127144747556</v>
      </c>
      <c r="L351" s="12">
        <f t="shared" si="39"/>
        <v>60449.105147394133</v>
      </c>
      <c r="M351" s="12">
        <f t="shared" si="40"/>
        <v>8129.1051473941334</v>
      </c>
      <c r="N351" s="12">
        <v>523.20000000000005</v>
      </c>
      <c r="O351" s="12">
        <v>6801.6</v>
      </c>
      <c r="P351" s="9" t="s">
        <v>37</v>
      </c>
      <c r="Q351" s="12">
        <v>0</v>
      </c>
      <c r="R351" s="12">
        <f t="shared" si="41"/>
        <v>1850.7051473941337</v>
      </c>
      <c r="S351" s="9" t="s">
        <v>42</v>
      </c>
      <c r="T351" s="9" t="s">
        <v>38</v>
      </c>
    </row>
    <row r="352" spans="1:20" x14ac:dyDescent="0.3">
      <c r="A352" s="2" t="s">
        <v>743</v>
      </c>
      <c r="B352" s="2" t="s">
        <v>744</v>
      </c>
      <c r="C352" s="2" t="s">
        <v>41</v>
      </c>
      <c r="D352" s="3">
        <v>1238500</v>
      </c>
      <c r="E352" s="4">
        <v>0.1</v>
      </c>
      <c r="F352" s="5">
        <f t="shared" si="35"/>
        <v>123850</v>
      </c>
      <c r="G352" s="5">
        <f t="shared" si="36"/>
        <v>1114650</v>
      </c>
      <c r="H352" s="6">
        <v>8.6400000000000005E-2</v>
      </c>
      <c r="I352" s="7">
        <v>72</v>
      </c>
      <c r="J352" s="8">
        <f t="shared" si="37"/>
        <v>7.2000000000000007E-3</v>
      </c>
      <c r="K352" s="5">
        <f t="shared" si="38"/>
        <v>19893.587894378816</v>
      </c>
      <c r="L352" s="5">
        <f t="shared" si="39"/>
        <v>1432338.3283952747</v>
      </c>
      <c r="M352" s="5">
        <f t="shared" si="40"/>
        <v>317688.3283952747</v>
      </c>
      <c r="N352" s="5">
        <v>11146.5</v>
      </c>
      <c r="O352" s="5">
        <v>434713.5</v>
      </c>
      <c r="P352" s="2" t="s">
        <v>37</v>
      </c>
      <c r="Q352" s="5">
        <v>0</v>
      </c>
      <c r="R352" s="5">
        <f t="shared" si="41"/>
        <v>-105878.6716047253</v>
      </c>
      <c r="S352" s="2" t="s">
        <v>30</v>
      </c>
      <c r="T352" s="2" t="s">
        <v>97</v>
      </c>
    </row>
    <row r="353" spans="1:20" x14ac:dyDescent="0.3">
      <c r="A353" s="9" t="s">
        <v>745</v>
      </c>
      <c r="B353" s="9" t="s">
        <v>746</v>
      </c>
      <c r="C353" s="9" t="s">
        <v>28</v>
      </c>
      <c r="D353" s="10">
        <v>149000</v>
      </c>
      <c r="E353" s="11">
        <v>0.05</v>
      </c>
      <c r="F353" s="12">
        <f t="shared" si="35"/>
        <v>7450</v>
      </c>
      <c r="G353" s="12">
        <f t="shared" si="36"/>
        <v>141550</v>
      </c>
      <c r="H353" s="13">
        <v>0.1542</v>
      </c>
      <c r="I353" s="14">
        <v>36</v>
      </c>
      <c r="J353" s="15">
        <f t="shared" si="37"/>
        <v>1.285E-2</v>
      </c>
      <c r="K353" s="12">
        <f t="shared" si="38"/>
        <v>4936.0406401698192</v>
      </c>
      <c r="L353" s="12">
        <f t="shared" si="39"/>
        <v>177697.46304611349</v>
      </c>
      <c r="M353" s="12">
        <f t="shared" si="40"/>
        <v>36147.463046113495</v>
      </c>
      <c r="N353" s="12">
        <v>1415.5</v>
      </c>
      <c r="O353" s="12">
        <v>27602.25</v>
      </c>
      <c r="P353" s="9" t="s">
        <v>23</v>
      </c>
      <c r="Q353" s="12">
        <v>0</v>
      </c>
      <c r="R353" s="12">
        <f t="shared" si="41"/>
        <v>9960.7130461134948</v>
      </c>
      <c r="S353" s="9" t="s">
        <v>58</v>
      </c>
      <c r="T353" s="9" t="s">
        <v>34</v>
      </c>
    </row>
    <row r="354" spans="1:20" x14ac:dyDescent="0.3">
      <c r="A354" s="2" t="s">
        <v>747</v>
      </c>
      <c r="B354" s="2" t="s">
        <v>748</v>
      </c>
      <c r="C354" s="2" t="s">
        <v>41</v>
      </c>
      <c r="D354" s="3">
        <v>1364300</v>
      </c>
      <c r="E354" s="4">
        <v>0.2</v>
      </c>
      <c r="F354" s="5">
        <f t="shared" si="35"/>
        <v>272860</v>
      </c>
      <c r="G354" s="5">
        <f t="shared" si="36"/>
        <v>1091440</v>
      </c>
      <c r="H354" s="6">
        <v>8.7800000000000003E-2</v>
      </c>
      <c r="I354" s="7">
        <v>60</v>
      </c>
      <c r="J354" s="8">
        <f t="shared" si="37"/>
        <v>7.3166666666666666E-3</v>
      </c>
      <c r="K354" s="5">
        <f t="shared" si="38"/>
        <v>22540.140764322761</v>
      </c>
      <c r="L354" s="5">
        <f t="shared" si="39"/>
        <v>1352408.4458593656</v>
      </c>
      <c r="M354" s="5">
        <f t="shared" si="40"/>
        <v>260968.44585936563</v>
      </c>
      <c r="N354" s="5">
        <v>10914.4</v>
      </c>
      <c r="O354" s="5">
        <v>354718</v>
      </c>
      <c r="P354" s="2" t="s">
        <v>37</v>
      </c>
      <c r="Q354" s="5">
        <v>0</v>
      </c>
      <c r="R354" s="5">
        <f t="shared" si="41"/>
        <v>-82835.154140634346</v>
      </c>
      <c r="S354" s="2" t="s">
        <v>30</v>
      </c>
      <c r="T354" s="2" t="s">
        <v>46</v>
      </c>
    </row>
    <row r="355" spans="1:20" x14ac:dyDescent="0.3">
      <c r="A355" s="9" t="s">
        <v>749</v>
      </c>
      <c r="B355" s="9" t="s">
        <v>750</v>
      </c>
      <c r="C355" s="9" t="s">
        <v>28</v>
      </c>
      <c r="D355" s="10">
        <v>63200</v>
      </c>
      <c r="E355" s="11">
        <v>0.15</v>
      </c>
      <c r="F355" s="12">
        <f t="shared" si="35"/>
        <v>9480</v>
      </c>
      <c r="G355" s="12">
        <f t="shared" si="36"/>
        <v>53720</v>
      </c>
      <c r="H355" s="13">
        <v>0.17599999999999999</v>
      </c>
      <c r="I355" s="14">
        <v>9</v>
      </c>
      <c r="J355" s="15">
        <f t="shared" si="37"/>
        <v>1.4666666666666666E-2</v>
      </c>
      <c r="K355" s="12">
        <f t="shared" si="38"/>
        <v>6415.1026102072929</v>
      </c>
      <c r="L355" s="12">
        <f t="shared" si="39"/>
        <v>57735.923491865637</v>
      </c>
      <c r="M355" s="12">
        <f t="shared" si="40"/>
        <v>4015.9234918656366</v>
      </c>
      <c r="N355" s="12">
        <v>537.20000000000005</v>
      </c>
      <c r="O355" s="12">
        <v>2618.8500000000004</v>
      </c>
      <c r="P355" s="9" t="s">
        <v>23</v>
      </c>
      <c r="Q355" s="12">
        <v>0</v>
      </c>
      <c r="R355" s="12">
        <f t="shared" si="41"/>
        <v>1934.2734918656361</v>
      </c>
      <c r="S355" s="9" t="s">
        <v>24</v>
      </c>
      <c r="T355" s="9" t="s">
        <v>46</v>
      </c>
    </row>
    <row r="356" spans="1:20" x14ac:dyDescent="0.3">
      <c r="A356" s="2" t="s">
        <v>751</v>
      </c>
      <c r="B356" s="2" t="s">
        <v>752</v>
      </c>
      <c r="C356" s="2" t="s">
        <v>67</v>
      </c>
      <c r="D356" s="3">
        <v>16700</v>
      </c>
      <c r="E356" s="4">
        <v>0.2</v>
      </c>
      <c r="F356" s="5">
        <f t="shared" si="35"/>
        <v>3340</v>
      </c>
      <c r="G356" s="5">
        <f t="shared" si="36"/>
        <v>13360</v>
      </c>
      <c r="H356" s="6">
        <v>0.1875</v>
      </c>
      <c r="I356" s="7">
        <v>18</v>
      </c>
      <c r="J356" s="8">
        <f t="shared" si="37"/>
        <v>1.5625E-2</v>
      </c>
      <c r="K356" s="5">
        <f t="shared" si="38"/>
        <v>857.22930796333083</v>
      </c>
      <c r="L356" s="5">
        <f t="shared" si="39"/>
        <v>15430.127543339955</v>
      </c>
      <c r="M356" s="5">
        <f t="shared" si="40"/>
        <v>2070.1275433399551</v>
      </c>
      <c r="N356" s="5">
        <v>499</v>
      </c>
      <c r="O356" s="5">
        <v>1302.5999999999999</v>
      </c>
      <c r="P356" s="2" t="s">
        <v>23</v>
      </c>
      <c r="Q356" s="5">
        <v>0</v>
      </c>
      <c r="R356" s="5">
        <f t="shared" si="41"/>
        <v>1266.5275433399552</v>
      </c>
      <c r="S356" s="2" t="s">
        <v>24</v>
      </c>
      <c r="T356" s="2" t="s">
        <v>31</v>
      </c>
    </row>
    <row r="357" spans="1:20" x14ac:dyDescent="0.3">
      <c r="A357" s="9" t="s">
        <v>753</v>
      </c>
      <c r="B357" s="9" t="s">
        <v>754</v>
      </c>
      <c r="C357" s="9" t="s">
        <v>28</v>
      </c>
      <c r="D357" s="10">
        <v>40100</v>
      </c>
      <c r="E357" s="11">
        <v>0.05</v>
      </c>
      <c r="F357" s="12">
        <f t="shared" si="35"/>
        <v>2005</v>
      </c>
      <c r="G357" s="12">
        <f t="shared" si="36"/>
        <v>38095</v>
      </c>
      <c r="H357" s="13">
        <v>0.1888</v>
      </c>
      <c r="I357" s="14">
        <v>36</v>
      </c>
      <c r="J357" s="15">
        <f t="shared" si="37"/>
        <v>1.5733333333333332E-2</v>
      </c>
      <c r="K357" s="12">
        <f t="shared" si="38"/>
        <v>1394.1008777075403</v>
      </c>
      <c r="L357" s="12">
        <f t="shared" si="39"/>
        <v>50187.631597471453</v>
      </c>
      <c r="M357" s="12">
        <f t="shared" si="40"/>
        <v>12092.631597471453</v>
      </c>
      <c r="N357" s="12">
        <v>499</v>
      </c>
      <c r="O357" s="12">
        <v>7428.5250000000005</v>
      </c>
      <c r="P357" s="9" t="s">
        <v>23</v>
      </c>
      <c r="Q357" s="12">
        <v>0</v>
      </c>
      <c r="R357" s="12">
        <f t="shared" si="41"/>
        <v>5163.106597471452</v>
      </c>
      <c r="S357" s="9" t="s">
        <v>30</v>
      </c>
      <c r="T357" s="9" t="s">
        <v>88</v>
      </c>
    </row>
    <row r="358" spans="1:20" x14ac:dyDescent="0.3">
      <c r="A358" s="2" t="s">
        <v>755</v>
      </c>
      <c r="B358" s="2" t="s">
        <v>756</v>
      </c>
      <c r="C358" s="2" t="s">
        <v>67</v>
      </c>
      <c r="D358" s="3">
        <v>98300</v>
      </c>
      <c r="E358" s="4">
        <v>0.05</v>
      </c>
      <c r="F358" s="5">
        <f t="shared" si="35"/>
        <v>4915</v>
      </c>
      <c r="G358" s="5">
        <f t="shared" si="36"/>
        <v>93385</v>
      </c>
      <c r="H358" s="6">
        <v>0.14829999999999999</v>
      </c>
      <c r="I358" s="7">
        <v>9</v>
      </c>
      <c r="J358" s="8">
        <f t="shared" si="37"/>
        <v>1.2358333333333332E-2</v>
      </c>
      <c r="K358" s="5">
        <f t="shared" si="38"/>
        <v>11027.766242742096</v>
      </c>
      <c r="L358" s="5">
        <f t="shared" si="39"/>
        <v>99249.896184678873</v>
      </c>
      <c r="M358" s="5">
        <f t="shared" si="40"/>
        <v>5864.8961846788734</v>
      </c>
      <c r="N358" s="5">
        <v>933.85</v>
      </c>
      <c r="O358" s="5">
        <v>4552.5187500000002</v>
      </c>
      <c r="P358" s="2" t="s">
        <v>37</v>
      </c>
      <c r="Q358" s="5">
        <v>0</v>
      </c>
      <c r="R358" s="5">
        <f t="shared" si="41"/>
        <v>2246.2274346788736</v>
      </c>
      <c r="S358" s="2" t="s">
        <v>30</v>
      </c>
      <c r="T358" s="2" t="s">
        <v>49</v>
      </c>
    </row>
    <row r="359" spans="1:20" x14ac:dyDescent="0.3">
      <c r="A359" s="9" t="s">
        <v>757</v>
      </c>
      <c r="B359" s="9" t="s">
        <v>758</v>
      </c>
      <c r="C359" s="9" t="s">
        <v>41</v>
      </c>
      <c r="D359" s="10">
        <v>557100</v>
      </c>
      <c r="E359" s="11">
        <v>0.3</v>
      </c>
      <c r="F359" s="12">
        <f t="shared" si="35"/>
        <v>167130</v>
      </c>
      <c r="G359" s="12">
        <f t="shared" si="36"/>
        <v>389970</v>
      </c>
      <c r="H359" s="13">
        <v>0.1009</v>
      </c>
      <c r="I359" s="14">
        <v>36</v>
      </c>
      <c r="J359" s="15">
        <f t="shared" si="37"/>
        <v>8.4083333333333336E-3</v>
      </c>
      <c r="K359" s="12">
        <f t="shared" si="38"/>
        <v>12599.719407511569</v>
      </c>
      <c r="L359" s="12">
        <f t="shared" si="39"/>
        <v>453589.8986704165</v>
      </c>
      <c r="M359" s="12">
        <f t="shared" si="40"/>
        <v>63619.8986704165</v>
      </c>
      <c r="N359" s="12">
        <v>3899.7000000000003</v>
      </c>
      <c r="O359" s="12">
        <v>76044.149999999994</v>
      </c>
      <c r="P359" s="9" t="s">
        <v>23</v>
      </c>
      <c r="Q359" s="12">
        <v>0</v>
      </c>
      <c r="R359" s="12">
        <f t="shared" si="41"/>
        <v>-8524.5513295834971</v>
      </c>
      <c r="S359" s="9" t="s">
        <v>42</v>
      </c>
      <c r="T359" s="9" t="s">
        <v>38</v>
      </c>
    </row>
    <row r="360" spans="1:20" x14ac:dyDescent="0.3">
      <c r="A360" s="2" t="s">
        <v>759</v>
      </c>
      <c r="B360" s="2" t="s">
        <v>760</v>
      </c>
      <c r="C360" s="2" t="s">
        <v>22</v>
      </c>
      <c r="D360" s="3">
        <v>210700</v>
      </c>
      <c r="E360" s="4">
        <v>0.25</v>
      </c>
      <c r="F360" s="5">
        <f t="shared" si="35"/>
        <v>52675</v>
      </c>
      <c r="G360" s="5">
        <f t="shared" si="36"/>
        <v>158025</v>
      </c>
      <c r="H360" s="6">
        <v>0.11210000000000001</v>
      </c>
      <c r="I360" s="7">
        <v>48</v>
      </c>
      <c r="J360" s="8">
        <f t="shared" si="37"/>
        <v>9.3416666666666665E-3</v>
      </c>
      <c r="K360" s="5">
        <f t="shared" si="38"/>
        <v>4100.3731889290539</v>
      </c>
      <c r="L360" s="5">
        <f t="shared" si="39"/>
        <v>196817.91306859459</v>
      </c>
      <c r="M360" s="5">
        <f t="shared" si="40"/>
        <v>38792.913068594586</v>
      </c>
      <c r="N360" s="5">
        <v>1580.25</v>
      </c>
      <c r="O360" s="5">
        <v>41086.5</v>
      </c>
      <c r="P360" s="2" t="s">
        <v>23</v>
      </c>
      <c r="Q360" s="5">
        <v>0</v>
      </c>
      <c r="R360" s="5">
        <f t="shared" si="41"/>
        <v>-713.33693140541436</v>
      </c>
      <c r="S360" s="2" t="s">
        <v>30</v>
      </c>
      <c r="T360" s="2" t="s">
        <v>43</v>
      </c>
    </row>
    <row r="361" spans="1:20" x14ac:dyDescent="0.3">
      <c r="A361" s="9" t="s">
        <v>761</v>
      </c>
      <c r="B361" s="9" t="s">
        <v>762</v>
      </c>
      <c r="C361" s="9" t="s">
        <v>41</v>
      </c>
      <c r="D361" s="10">
        <v>554000</v>
      </c>
      <c r="E361" s="11">
        <v>0.2</v>
      </c>
      <c r="F361" s="12">
        <f t="shared" si="35"/>
        <v>110800</v>
      </c>
      <c r="G361" s="12">
        <f t="shared" si="36"/>
        <v>443200</v>
      </c>
      <c r="H361" s="13">
        <v>8.8700000000000001E-2</v>
      </c>
      <c r="I361" s="14">
        <v>72</v>
      </c>
      <c r="J361" s="15">
        <f t="shared" si="37"/>
        <v>7.391666666666667E-3</v>
      </c>
      <c r="K361" s="12">
        <f t="shared" si="38"/>
        <v>7960.3527357212488</v>
      </c>
      <c r="L361" s="12">
        <f t="shared" si="39"/>
        <v>573145.39697192993</v>
      </c>
      <c r="M361" s="12">
        <f t="shared" si="40"/>
        <v>129945.39697192993</v>
      </c>
      <c r="N361" s="12">
        <v>4432</v>
      </c>
      <c r="O361" s="12">
        <v>172848</v>
      </c>
      <c r="P361" s="9" t="s">
        <v>23</v>
      </c>
      <c r="Q361" s="12">
        <v>0</v>
      </c>
      <c r="R361" s="12">
        <f t="shared" si="41"/>
        <v>-38470.603028070065</v>
      </c>
      <c r="S361" s="9" t="s">
        <v>58</v>
      </c>
      <c r="T361" s="9" t="s">
        <v>34</v>
      </c>
    </row>
    <row r="362" spans="1:20" x14ac:dyDescent="0.3">
      <c r="A362" s="2" t="s">
        <v>763</v>
      </c>
      <c r="B362" s="2" t="s">
        <v>764</v>
      </c>
      <c r="C362" s="2" t="s">
        <v>67</v>
      </c>
      <c r="D362" s="3">
        <v>80200</v>
      </c>
      <c r="E362" s="4">
        <v>0.15</v>
      </c>
      <c r="F362" s="5">
        <f t="shared" si="35"/>
        <v>12030</v>
      </c>
      <c r="G362" s="5">
        <f t="shared" si="36"/>
        <v>68170</v>
      </c>
      <c r="H362" s="6">
        <v>0.15989999999999999</v>
      </c>
      <c r="I362" s="7">
        <v>18</v>
      </c>
      <c r="J362" s="8">
        <f t="shared" si="37"/>
        <v>1.3324999999999998E-2</v>
      </c>
      <c r="K362" s="5">
        <f t="shared" si="38"/>
        <v>4284.6005566812082</v>
      </c>
      <c r="L362" s="5">
        <f t="shared" si="39"/>
        <v>77122.81002026175</v>
      </c>
      <c r="M362" s="5">
        <f t="shared" si="40"/>
        <v>8952.8100202617497</v>
      </c>
      <c r="N362" s="5">
        <v>681.7</v>
      </c>
      <c r="O362" s="5">
        <v>6646.5750000000007</v>
      </c>
      <c r="P362" s="2" t="s">
        <v>23</v>
      </c>
      <c r="Q362" s="5">
        <v>0</v>
      </c>
      <c r="R362" s="5">
        <f t="shared" si="41"/>
        <v>2987.9350202617497</v>
      </c>
      <c r="S362" s="2" t="s">
        <v>58</v>
      </c>
      <c r="T362" s="2" t="s">
        <v>31</v>
      </c>
    </row>
    <row r="363" spans="1:20" x14ac:dyDescent="0.3">
      <c r="A363" s="9" t="s">
        <v>765</v>
      </c>
      <c r="B363" s="9" t="s">
        <v>766</v>
      </c>
      <c r="C363" s="9" t="s">
        <v>67</v>
      </c>
      <c r="D363" s="10">
        <v>102900</v>
      </c>
      <c r="E363" s="11">
        <v>0.15</v>
      </c>
      <c r="F363" s="12">
        <f t="shared" si="35"/>
        <v>15435</v>
      </c>
      <c r="G363" s="12">
        <f t="shared" si="36"/>
        <v>87465</v>
      </c>
      <c r="H363" s="13">
        <v>0.21010000000000001</v>
      </c>
      <c r="I363" s="14">
        <v>6</v>
      </c>
      <c r="J363" s="15">
        <f t="shared" si="37"/>
        <v>1.7508333333333334E-2</v>
      </c>
      <c r="K363" s="12">
        <f t="shared" si="38"/>
        <v>15483.71532197944</v>
      </c>
      <c r="L363" s="12">
        <f t="shared" si="39"/>
        <v>92902.291931876636</v>
      </c>
      <c r="M363" s="12">
        <f t="shared" si="40"/>
        <v>5437.2919318766362</v>
      </c>
      <c r="N363" s="12">
        <v>874.65</v>
      </c>
      <c r="O363" s="12">
        <v>2842.6125000000002</v>
      </c>
      <c r="P363" s="9" t="s">
        <v>23</v>
      </c>
      <c r="Q363" s="12">
        <v>0</v>
      </c>
      <c r="R363" s="12">
        <f t="shared" si="41"/>
        <v>3469.3294318766357</v>
      </c>
      <c r="S363" s="9" t="s">
        <v>30</v>
      </c>
      <c r="T363" s="9" t="s">
        <v>31</v>
      </c>
    </row>
    <row r="364" spans="1:20" x14ac:dyDescent="0.3">
      <c r="A364" s="2" t="s">
        <v>767</v>
      </c>
      <c r="B364" s="2" t="s">
        <v>768</v>
      </c>
      <c r="C364" s="2" t="s">
        <v>28</v>
      </c>
      <c r="D364" s="3">
        <v>105800</v>
      </c>
      <c r="E364" s="4">
        <v>0.15</v>
      </c>
      <c r="F364" s="5">
        <f t="shared" si="35"/>
        <v>15870</v>
      </c>
      <c r="G364" s="5">
        <f t="shared" si="36"/>
        <v>89930</v>
      </c>
      <c r="H364" s="6">
        <v>0.1827</v>
      </c>
      <c r="I364" s="7">
        <v>9</v>
      </c>
      <c r="J364" s="8">
        <f t="shared" si="37"/>
        <v>1.5225000000000001E-2</v>
      </c>
      <c r="K364" s="5">
        <f t="shared" si="38"/>
        <v>10768.200347057998</v>
      </c>
      <c r="L364" s="5">
        <f t="shared" si="39"/>
        <v>96913.803123521982</v>
      </c>
      <c r="M364" s="5">
        <f t="shared" si="40"/>
        <v>6983.8031235219823</v>
      </c>
      <c r="N364" s="5">
        <v>899.30000000000007</v>
      </c>
      <c r="O364" s="5">
        <v>4384.0874999999996</v>
      </c>
      <c r="P364" s="2" t="s">
        <v>23</v>
      </c>
      <c r="Q364" s="5">
        <v>0</v>
      </c>
      <c r="R364" s="5">
        <f t="shared" si="41"/>
        <v>3499.0156235219829</v>
      </c>
      <c r="S364" s="2" t="s">
        <v>30</v>
      </c>
      <c r="T364" s="2" t="s">
        <v>97</v>
      </c>
    </row>
    <row r="365" spans="1:20" x14ac:dyDescent="0.3">
      <c r="A365" s="9" t="s">
        <v>769</v>
      </c>
      <c r="B365" s="9" t="s">
        <v>770</v>
      </c>
      <c r="C365" s="9" t="s">
        <v>22</v>
      </c>
      <c r="D365" s="10">
        <v>77000</v>
      </c>
      <c r="E365" s="11">
        <v>0.15</v>
      </c>
      <c r="F365" s="12">
        <f t="shared" si="35"/>
        <v>11550</v>
      </c>
      <c r="G365" s="12">
        <f t="shared" si="36"/>
        <v>65450</v>
      </c>
      <c r="H365" s="13">
        <v>0.1711</v>
      </c>
      <c r="I365" s="14">
        <v>12</v>
      </c>
      <c r="J365" s="15">
        <f t="shared" si="37"/>
        <v>1.4258333333333333E-2</v>
      </c>
      <c r="K365" s="12">
        <f t="shared" si="38"/>
        <v>5972.7682081335988</v>
      </c>
      <c r="L365" s="12">
        <f t="shared" si="39"/>
        <v>71673.218497603186</v>
      </c>
      <c r="M365" s="12">
        <f t="shared" si="40"/>
        <v>6223.2184976031858</v>
      </c>
      <c r="N365" s="12">
        <v>654.5</v>
      </c>
      <c r="O365" s="12">
        <v>4254.25</v>
      </c>
      <c r="P365" s="9" t="s">
        <v>23</v>
      </c>
      <c r="Q365" s="12">
        <v>0</v>
      </c>
      <c r="R365" s="12">
        <f t="shared" si="41"/>
        <v>2623.4684976031858</v>
      </c>
      <c r="S365" s="9" t="s">
        <v>30</v>
      </c>
      <c r="T365" s="9" t="s">
        <v>88</v>
      </c>
    </row>
    <row r="366" spans="1:20" x14ac:dyDescent="0.3">
      <c r="A366" s="2" t="s">
        <v>771</v>
      </c>
      <c r="B366" s="2" t="s">
        <v>772</v>
      </c>
      <c r="C366" s="2" t="s">
        <v>41</v>
      </c>
      <c r="D366" s="3">
        <v>1025200</v>
      </c>
      <c r="E366" s="4">
        <v>0.25</v>
      </c>
      <c r="F366" s="5">
        <f t="shared" si="35"/>
        <v>256300</v>
      </c>
      <c r="G366" s="5">
        <f t="shared" si="36"/>
        <v>768900</v>
      </c>
      <c r="H366" s="6">
        <v>9.6000000000000002E-2</v>
      </c>
      <c r="I366" s="7">
        <v>48</v>
      </c>
      <c r="J366" s="8">
        <f t="shared" si="37"/>
        <v>8.0000000000000002E-3</v>
      </c>
      <c r="K366" s="5">
        <f t="shared" si="38"/>
        <v>19353.918787283255</v>
      </c>
      <c r="L366" s="5">
        <f t="shared" si="39"/>
        <v>928988.10178959626</v>
      </c>
      <c r="M366" s="5">
        <f t="shared" si="40"/>
        <v>160088.10178959626</v>
      </c>
      <c r="N366" s="5">
        <v>7689</v>
      </c>
      <c r="O366" s="5">
        <v>199914</v>
      </c>
      <c r="P366" s="2" t="s">
        <v>23</v>
      </c>
      <c r="Q366" s="5">
        <v>0</v>
      </c>
      <c r="R366" s="5">
        <f t="shared" si="41"/>
        <v>-32136.898210403742</v>
      </c>
      <c r="S366" s="2" t="s">
        <v>24</v>
      </c>
      <c r="T366" s="2" t="s">
        <v>46</v>
      </c>
    </row>
    <row r="367" spans="1:20" x14ac:dyDescent="0.3">
      <c r="A367" s="9" t="s">
        <v>773</v>
      </c>
      <c r="B367" s="9" t="s">
        <v>774</v>
      </c>
      <c r="C367" s="9" t="s">
        <v>22</v>
      </c>
      <c r="D367" s="10">
        <v>63300</v>
      </c>
      <c r="E367" s="11">
        <v>0.2</v>
      </c>
      <c r="F367" s="12">
        <f t="shared" si="35"/>
        <v>12660</v>
      </c>
      <c r="G367" s="12">
        <f t="shared" si="36"/>
        <v>50640</v>
      </c>
      <c r="H367" s="13">
        <v>0.1173</v>
      </c>
      <c r="I367" s="14">
        <v>12</v>
      </c>
      <c r="J367" s="15">
        <f t="shared" si="37"/>
        <v>9.7750000000000007E-3</v>
      </c>
      <c r="K367" s="12">
        <f t="shared" si="38"/>
        <v>4492.9089056523489</v>
      </c>
      <c r="L367" s="12">
        <f t="shared" si="39"/>
        <v>53914.906867828191</v>
      </c>
      <c r="M367" s="12">
        <f t="shared" si="40"/>
        <v>3274.906867828191</v>
      </c>
      <c r="N367" s="12">
        <v>506.40000000000003</v>
      </c>
      <c r="O367" s="12">
        <v>3291.6</v>
      </c>
      <c r="P367" s="9" t="s">
        <v>23</v>
      </c>
      <c r="Q367" s="12">
        <v>0</v>
      </c>
      <c r="R367" s="12">
        <f t="shared" si="41"/>
        <v>489.70686782819121</v>
      </c>
      <c r="S367" s="9" t="s">
        <v>42</v>
      </c>
      <c r="T367" s="9" t="s">
        <v>88</v>
      </c>
    </row>
    <row r="368" spans="1:20" x14ac:dyDescent="0.3">
      <c r="A368" s="2" t="s">
        <v>775</v>
      </c>
      <c r="B368" s="2" t="s">
        <v>776</v>
      </c>
      <c r="C368" s="2" t="s">
        <v>22</v>
      </c>
      <c r="D368" s="3">
        <v>79800</v>
      </c>
      <c r="E368" s="4">
        <v>0.1</v>
      </c>
      <c r="F368" s="5">
        <f t="shared" si="35"/>
        <v>7980</v>
      </c>
      <c r="G368" s="5">
        <f t="shared" si="36"/>
        <v>71820</v>
      </c>
      <c r="H368" s="6">
        <v>0.1429</v>
      </c>
      <c r="I368" s="7">
        <v>60</v>
      </c>
      <c r="J368" s="8">
        <f t="shared" si="37"/>
        <v>1.1908333333333333E-2</v>
      </c>
      <c r="K368" s="5">
        <f t="shared" si="38"/>
        <v>1681.9433031053525</v>
      </c>
      <c r="L368" s="5">
        <f t="shared" si="39"/>
        <v>100916.59818632115</v>
      </c>
      <c r="M368" s="5">
        <f t="shared" si="40"/>
        <v>29096.598186321149</v>
      </c>
      <c r="N368" s="5">
        <v>718.2</v>
      </c>
      <c r="O368" s="5">
        <v>23341.5</v>
      </c>
      <c r="P368" s="2" t="s">
        <v>37</v>
      </c>
      <c r="Q368" s="5">
        <v>0</v>
      </c>
      <c r="R368" s="5">
        <f t="shared" si="41"/>
        <v>6473.2981863211498</v>
      </c>
      <c r="S368" s="2" t="s">
        <v>58</v>
      </c>
      <c r="T368" s="2" t="s">
        <v>43</v>
      </c>
    </row>
    <row r="369" spans="1:20" x14ac:dyDescent="0.3">
      <c r="A369" s="9" t="s">
        <v>777</v>
      </c>
      <c r="B369" s="9" t="s">
        <v>778</v>
      </c>
      <c r="C369" s="9" t="s">
        <v>28</v>
      </c>
      <c r="D369" s="10">
        <v>50400</v>
      </c>
      <c r="E369" s="11">
        <v>0.1</v>
      </c>
      <c r="F369" s="12">
        <f t="shared" si="35"/>
        <v>5040</v>
      </c>
      <c r="G369" s="12">
        <f t="shared" si="36"/>
        <v>45360</v>
      </c>
      <c r="H369" s="13">
        <v>0.18459999999999999</v>
      </c>
      <c r="I369" s="14">
        <v>24</v>
      </c>
      <c r="J369" s="15">
        <f t="shared" si="37"/>
        <v>1.5383333333333332E-2</v>
      </c>
      <c r="K369" s="12">
        <f t="shared" si="38"/>
        <v>2274.651902403743</v>
      </c>
      <c r="L369" s="12">
        <f t="shared" si="39"/>
        <v>54591.645657689834</v>
      </c>
      <c r="M369" s="12">
        <f t="shared" si="40"/>
        <v>9231.6456576898345</v>
      </c>
      <c r="N369" s="12">
        <v>499</v>
      </c>
      <c r="O369" s="12">
        <v>5896.8</v>
      </c>
      <c r="P369" s="9" t="s">
        <v>23</v>
      </c>
      <c r="Q369" s="12">
        <v>0</v>
      </c>
      <c r="R369" s="12">
        <f t="shared" si="41"/>
        <v>3833.8456576898343</v>
      </c>
      <c r="S369" s="9" t="s">
        <v>24</v>
      </c>
      <c r="T369" s="9" t="s">
        <v>184</v>
      </c>
    </row>
    <row r="370" spans="1:20" x14ac:dyDescent="0.3">
      <c r="A370" s="2" t="s">
        <v>779</v>
      </c>
      <c r="B370" s="2" t="s">
        <v>780</v>
      </c>
      <c r="C370" s="2" t="s">
        <v>22</v>
      </c>
      <c r="D370" s="3">
        <v>235200</v>
      </c>
      <c r="E370" s="4">
        <v>0.1</v>
      </c>
      <c r="F370" s="5">
        <f t="shared" si="35"/>
        <v>23520</v>
      </c>
      <c r="G370" s="5">
        <f t="shared" si="36"/>
        <v>211680</v>
      </c>
      <c r="H370" s="6">
        <v>0.16769999999999999</v>
      </c>
      <c r="I370" s="7">
        <v>12</v>
      </c>
      <c r="J370" s="8">
        <f t="shared" si="37"/>
        <v>1.3975E-2</v>
      </c>
      <c r="K370" s="5">
        <f t="shared" si="38"/>
        <v>19283.12445906665</v>
      </c>
      <c r="L370" s="5">
        <f t="shared" si="39"/>
        <v>231397.49350879982</v>
      </c>
      <c r="M370" s="5">
        <f t="shared" si="40"/>
        <v>19717.493508799816</v>
      </c>
      <c r="N370" s="5">
        <v>2116.8000000000002</v>
      </c>
      <c r="O370" s="5">
        <v>13759.2</v>
      </c>
      <c r="P370" s="2" t="s">
        <v>29</v>
      </c>
      <c r="Q370" s="5">
        <v>84672</v>
      </c>
      <c r="R370" s="5">
        <f t="shared" si="41"/>
        <v>-76596.906491200178</v>
      </c>
      <c r="S370" s="2" t="s">
        <v>42</v>
      </c>
      <c r="T370" s="2" t="s">
        <v>43</v>
      </c>
    </row>
    <row r="371" spans="1:20" x14ac:dyDescent="0.3">
      <c r="A371" s="9" t="s">
        <v>781</v>
      </c>
      <c r="B371" s="9" t="s">
        <v>782</v>
      </c>
      <c r="C371" s="9" t="s">
        <v>28</v>
      </c>
      <c r="D371" s="10">
        <v>101100</v>
      </c>
      <c r="E371" s="11">
        <v>0.05</v>
      </c>
      <c r="F371" s="12">
        <f t="shared" si="35"/>
        <v>5055</v>
      </c>
      <c r="G371" s="12">
        <f t="shared" si="36"/>
        <v>96045</v>
      </c>
      <c r="H371" s="13">
        <v>0.1447</v>
      </c>
      <c r="I371" s="14">
        <v>36</v>
      </c>
      <c r="J371" s="15">
        <f t="shared" si="37"/>
        <v>1.2058333333333332E-2</v>
      </c>
      <c r="K371" s="12">
        <f t="shared" si="38"/>
        <v>3304.5577193590088</v>
      </c>
      <c r="L371" s="12">
        <f t="shared" si="39"/>
        <v>118964.07789692431</v>
      </c>
      <c r="M371" s="12">
        <f t="shared" si="40"/>
        <v>22919.077896924311</v>
      </c>
      <c r="N371" s="12">
        <v>960.45</v>
      </c>
      <c r="O371" s="12">
        <v>18728.775000000001</v>
      </c>
      <c r="P371" s="9" t="s">
        <v>37</v>
      </c>
      <c r="Q371" s="12">
        <v>0</v>
      </c>
      <c r="R371" s="12">
        <f t="shared" si="41"/>
        <v>5150.7528969243103</v>
      </c>
      <c r="S371" s="9" t="s">
        <v>30</v>
      </c>
      <c r="T371" s="9" t="s">
        <v>31</v>
      </c>
    </row>
    <row r="372" spans="1:20" x14ac:dyDescent="0.3">
      <c r="A372" s="2" t="s">
        <v>783</v>
      </c>
      <c r="B372" s="2" t="s">
        <v>784</v>
      </c>
      <c r="C372" s="2" t="s">
        <v>67</v>
      </c>
      <c r="D372" s="3">
        <v>63600</v>
      </c>
      <c r="E372" s="4">
        <v>0.2</v>
      </c>
      <c r="F372" s="5">
        <f t="shared" si="35"/>
        <v>12720</v>
      </c>
      <c r="G372" s="5">
        <f t="shared" si="36"/>
        <v>50880</v>
      </c>
      <c r="H372" s="6">
        <v>0.16769999999999999</v>
      </c>
      <c r="I372" s="7">
        <v>18</v>
      </c>
      <c r="J372" s="8">
        <f t="shared" si="37"/>
        <v>1.3975E-2</v>
      </c>
      <c r="K372" s="5">
        <f t="shared" si="38"/>
        <v>3216.6830949257983</v>
      </c>
      <c r="L372" s="5">
        <f t="shared" si="39"/>
        <v>57900.295708664373</v>
      </c>
      <c r="M372" s="5">
        <f t="shared" si="40"/>
        <v>7020.2957086643728</v>
      </c>
      <c r="N372" s="5">
        <v>508.8</v>
      </c>
      <c r="O372" s="5">
        <v>4960.8</v>
      </c>
      <c r="P372" s="2" t="s">
        <v>37</v>
      </c>
      <c r="Q372" s="5">
        <v>0</v>
      </c>
      <c r="R372" s="5">
        <f t="shared" si="41"/>
        <v>2568.2957086643728</v>
      </c>
      <c r="S372" s="2" t="s">
        <v>58</v>
      </c>
      <c r="T372" s="2" t="s">
        <v>34</v>
      </c>
    </row>
    <row r="373" spans="1:20" x14ac:dyDescent="0.3">
      <c r="A373" s="9" t="s">
        <v>785</v>
      </c>
      <c r="B373" s="9" t="s">
        <v>786</v>
      </c>
      <c r="C373" s="9" t="s">
        <v>22</v>
      </c>
      <c r="D373" s="10">
        <v>269600</v>
      </c>
      <c r="E373" s="11">
        <v>0.05</v>
      </c>
      <c r="F373" s="12">
        <f t="shared" si="35"/>
        <v>13480</v>
      </c>
      <c r="G373" s="12">
        <f t="shared" si="36"/>
        <v>256120</v>
      </c>
      <c r="H373" s="13">
        <v>0.15859999999999999</v>
      </c>
      <c r="I373" s="14">
        <v>12</v>
      </c>
      <c r="J373" s="15">
        <f t="shared" si="37"/>
        <v>1.3216666666666666E-2</v>
      </c>
      <c r="K373" s="12">
        <f t="shared" si="38"/>
        <v>23221.022537788147</v>
      </c>
      <c r="L373" s="12">
        <f t="shared" si="39"/>
        <v>278652.27045345778</v>
      </c>
      <c r="M373" s="12">
        <f t="shared" si="40"/>
        <v>22532.270453457779</v>
      </c>
      <c r="N373" s="12">
        <v>2561.2000000000003</v>
      </c>
      <c r="O373" s="12">
        <v>16647.8</v>
      </c>
      <c r="P373" s="9" t="s">
        <v>37</v>
      </c>
      <c r="Q373" s="12">
        <v>0</v>
      </c>
      <c r="R373" s="12">
        <f t="shared" si="41"/>
        <v>8445.6704534577802</v>
      </c>
      <c r="S373" s="9" t="s">
        <v>42</v>
      </c>
      <c r="T373" s="9" t="s">
        <v>184</v>
      </c>
    </row>
    <row r="374" spans="1:20" x14ac:dyDescent="0.3">
      <c r="A374" s="2" t="s">
        <v>787</v>
      </c>
      <c r="B374" s="2" t="s">
        <v>788</v>
      </c>
      <c r="C374" s="2" t="s">
        <v>28</v>
      </c>
      <c r="D374" s="3">
        <v>57900</v>
      </c>
      <c r="E374" s="4">
        <v>0</v>
      </c>
      <c r="F374" s="5">
        <f t="shared" si="35"/>
        <v>0</v>
      </c>
      <c r="G374" s="5">
        <f t="shared" si="36"/>
        <v>57900</v>
      </c>
      <c r="H374" s="6">
        <v>0.19800000000000001</v>
      </c>
      <c r="I374" s="7">
        <v>36</v>
      </c>
      <c r="J374" s="8">
        <f t="shared" si="37"/>
        <v>1.6500000000000001E-2</v>
      </c>
      <c r="K374" s="5">
        <f t="shared" si="38"/>
        <v>2145.8756984774272</v>
      </c>
      <c r="L374" s="5">
        <f t="shared" si="39"/>
        <v>77251.525145187377</v>
      </c>
      <c r="M374" s="5">
        <f t="shared" si="40"/>
        <v>19351.525145187377</v>
      </c>
      <c r="N374" s="5">
        <v>579</v>
      </c>
      <c r="O374" s="5">
        <v>11290.5</v>
      </c>
      <c r="P374" s="2" t="s">
        <v>23</v>
      </c>
      <c r="Q374" s="5">
        <v>0</v>
      </c>
      <c r="R374" s="5">
        <f t="shared" si="41"/>
        <v>8640.0251451873773</v>
      </c>
      <c r="S374" s="2" t="s">
        <v>58</v>
      </c>
      <c r="T374" s="2" t="s">
        <v>46</v>
      </c>
    </row>
    <row r="375" spans="1:20" x14ac:dyDescent="0.3">
      <c r="A375" s="9" t="s">
        <v>789</v>
      </c>
      <c r="B375" s="9" t="s">
        <v>790</v>
      </c>
      <c r="C375" s="9" t="s">
        <v>28</v>
      </c>
      <c r="D375" s="10">
        <v>95900</v>
      </c>
      <c r="E375" s="11">
        <v>0</v>
      </c>
      <c r="F375" s="12">
        <f t="shared" si="35"/>
        <v>0</v>
      </c>
      <c r="G375" s="12">
        <f t="shared" si="36"/>
        <v>95900</v>
      </c>
      <c r="H375" s="13">
        <v>0.14940000000000001</v>
      </c>
      <c r="I375" s="14">
        <v>12</v>
      </c>
      <c r="J375" s="15">
        <f t="shared" si="37"/>
        <v>1.2450000000000001E-2</v>
      </c>
      <c r="K375" s="12">
        <f t="shared" si="38"/>
        <v>8653.0572444069057</v>
      </c>
      <c r="L375" s="12">
        <f t="shared" si="39"/>
        <v>103836.68693288288</v>
      </c>
      <c r="M375" s="12">
        <f t="shared" si="40"/>
        <v>7936.6869328828761</v>
      </c>
      <c r="N375" s="12">
        <v>959</v>
      </c>
      <c r="O375" s="12">
        <v>6233.5</v>
      </c>
      <c r="P375" s="9" t="s">
        <v>23</v>
      </c>
      <c r="Q375" s="12">
        <v>0</v>
      </c>
      <c r="R375" s="12">
        <f t="shared" si="41"/>
        <v>2662.1869328828761</v>
      </c>
      <c r="S375" s="9" t="s">
        <v>24</v>
      </c>
      <c r="T375" s="9" t="s">
        <v>55</v>
      </c>
    </row>
    <row r="376" spans="1:20" x14ac:dyDescent="0.3">
      <c r="A376" s="2" t="s">
        <v>791</v>
      </c>
      <c r="B376" s="2" t="s">
        <v>792</v>
      </c>
      <c r="C376" s="2" t="s">
        <v>22</v>
      </c>
      <c r="D376" s="3">
        <v>60600</v>
      </c>
      <c r="E376" s="4">
        <v>0.1</v>
      </c>
      <c r="F376" s="5">
        <f t="shared" si="35"/>
        <v>6060</v>
      </c>
      <c r="G376" s="5">
        <f t="shared" si="36"/>
        <v>54540</v>
      </c>
      <c r="H376" s="6">
        <v>0.16869999999999999</v>
      </c>
      <c r="I376" s="7">
        <v>12</v>
      </c>
      <c r="J376" s="8">
        <f t="shared" si="37"/>
        <v>1.4058333333333332E-2</v>
      </c>
      <c r="K376" s="5">
        <f t="shared" si="38"/>
        <v>4970.9430178546172</v>
      </c>
      <c r="L376" s="5">
        <f t="shared" si="39"/>
        <v>59651.316214255407</v>
      </c>
      <c r="M376" s="5">
        <f t="shared" si="40"/>
        <v>5111.3162142554065</v>
      </c>
      <c r="N376" s="5">
        <v>545.4</v>
      </c>
      <c r="O376" s="5">
        <v>3545.1</v>
      </c>
      <c r="P376" s="2" t="s">
        <v>29</v>
      </c>
      <c r="Q376" s="5">
        <v>21816</v>
      </c>
      <c r="R376" s="5">
        <f t="shared" si="41"/>
        <v>-19704.383785744594</v>
      </c>
      <c r="S376" s="2" t="s">
        <v>58</v>
      </c>
      <c r="T376" s="2" t="s">
        <v>88</v>
      </c>
    </row>
    <row r="377" spans="1:20" x14ac:dyDescent="0.3">
      <c r="A377" s="9" t="s">
        <v>793</v>
      </c>
      <c r="B377" s="9" t="s">
        <v>794</v>
      </c>
      <c r="C377" s="9" t="s">
        <v>41</v>
      </c>
      <c r="D377" s="10">
        <v>596900</v>
      </c>
      <c r="E377" s="11">
        <v>0.3</v>
      </c>
      <c r="F377" s="12">
        <f t="shared" si="35"/>
        <v>179070</v>
      </c>
      <c r="G377" s="12">
        <f t="shared" si="36"/>
        <v>417830</v>
      </c>
      <c r="H377" s="13">
        <v>0.1138</v>
      </c>
      <c r="I377" s="14">
        <v>36</v>
      </c>
      <c r="J377" s="15">
        <f t="shared" si="37"/>
        <v>9.4833333333333332E-3</v>
      </c>
      <c r="K377" s="12">
        <f t="shared" si="38"/>
        <v>13754.530916934795</v>
      </c>
      <c r="L377" s="12">
        <f t="shared" si="39"/>
        <v>495163.11300965259</v>
      </c>
      <c r="M377" s="12">
        <f t="shared" si="40"/>
        <v>77333.113009652589</v>
      </c>
      <c r="N377" s="12">
        <v>4178.3</v>
      </c>
      <c r="O377" s="12">
        <v>81476.850000000006</v>
      </c>
      <c r="P377" s="9" t="s">
        <v>23</v>
      </c>
      <c r="Q377" s="12">
        <v>0</v>
      </c>
      <c r="R377" s="12">
        <f t="shared" si="41"/>
        <v>34.563009652585606</v>
      </c>
      <c r="S377" s="9" t="s">
        <v>42</v>
      </c>
      <c r="T377" s="9" t="s">
        <v>55</v>
      </c>
    </row>
    <row r="378" spans="1:20" x14ac:dyDescent="0.3">
      <c r="A378" s="2" t="s">
        <v>795</v>
      </c>
      <c r="B378" s="2" t="s">
        <v>796</v>
      </c>
      <c r="C378" s="2" t="s">
        <v>28</v>
      </c>
      <c r="D378" s="3">
        <v>77000</v>
      </c>
      <c r="E378" s="4">
        <v>0</v>
      </c>
      <c r="F378" s="5">
        <f t="shared" si="35"/>
        <v>0</v>
      </c>
      <c r="G378" s="5">
        <f t="shared" si="36"/>
        <v>77000</v>
      </c>
      <c r="H378" s="6">
        <v>0.17760000000000001</v>
      </c>
      <c r="I378" s="7">
        <v>12</v>
      </c>
      <c r="J378" s="8">
        <f t="shared" si="37"/>
        <v>1.4800000000000001E-2</v>
      </c>
      <c r="K378" s="5">
        <f t="shared" si="38"/>
        <v>7050.5675555530206</v>
      </c>
      <c r="L378" s="5">
        <f t="shared" si="39"/>
        <v>84606.810666636244</v>
      </c>
      <c r="M378" s="5">
        <f t="shared" si="40"/>
        <v>7606.8106666362437</v>
      </c>
      <c r="N378" s="5">
        <v>770</v>
      </c>
      <c r="O378" s="5">
        <v>5005</v>
      </c>
      <c r="P378" s="2" t="s">
        <v>23</v>
      </c>
      <c r="Q378" s="5">
        <v>0</v>
      </c>
      <c r="R378" s="5">
        <f t="shared" si="41"/>
        <v>3371.8106666362437</v>
      </c>
      <c r="S378" s="2" t="s">
        <v>24</v>
      </c>
      <c r="T378" s="2" t="s">
        <v>52</v>
      </c>
    </row>
    <row r="379" spans="1:20" x14ac:dyDescent="0.3">
      <c r="A379" s="9" t="s">
        <v>797</v>
      </c>
      <c r="B379" s="9" t="s">
        <v>798</v>
      </c>
      <c r="C379" s="9" t="s">
        <v>22</v>
      </c>
      <c r="D379" s="10">
        <v>72600</v>
      </c>
      <c r="E379" s="11">
        <v>0.05</v>
      </c>
      <c r="F379" s="12">
        <f t="shared" si="35"/>
        <v>3630</v>
      </c>
      <c r="G379" s="12">
        <f t="shared" si="36"/>
        <v>68970</v>
      </c>
      <c r="H379" s="13">
        <v>0.1179</v>
      </c>
      <c r="I379" s="14">
        <v>60</v>
      </c>
      <c r="J379" s="15">
        <f t="shared" si="37"/>
        <v>9.8250000000000004E-3</v>
      </c>
      <c r="K379" s="12">
        <f t="shared" si="38"/>
        <v>1526.8905117450547</v>
      </c>
      <c r="L379" s="12">
        <f t="shared" si="39"/>
        <v>91613.430704703278</v>
      </c>
      <c r="M379" s="12">
        <f t="shared" si="40"/>
        <v>22643.430704703278</v>
      </c>
      <c r="N379" s="12">
        <v>689.7</v>
      </c>
      <c r="O379" s="12">
        <v>22415.25</v>
      </c>
      <c r="P379" s="9" t="s">
        <v>23</v>
      </c>
      <c r="Q379" s="12">
        <v>0</v>
      </c>
      <c r="R379" s="12">
        <f t="shared" si="41"/>
        <v>917.88070470327875</v>
      </c>
      <c r="S379" s="9" t="s">
        <v>24</v>
      </c>
      <c r="T379" s="9" t="s">
        <v>97</v>
      </c>
    </row>
    <row r="380" spans="1:20" x14ac:dyDescent="0.3">
      <c r="A380" s="2" t="s">
        <v>799</v>
      </c>
      <c r="B380" s="2" t="s">
        <v>800</v>
      </c>
      <c r="C380" s="2" t="s">
        <v>41</v>
      </c>
      <c r="D380" s="3">
        <v>1250900</v>
      </c>
      <c r="E380" s="4">
        <v>0.3</v>
      </c>
      <c r="F380" s="5">
        <f t="shared" si="35"/>
        <v>375270</v>
      </c>
      <c r="G380" s="5">
        <f t="shared" si="36"/>
        <v>875630</v>
      </c>
      <c r="H380" s="6">
        <v>9.4299999999999995E-2</v>
      </c>
      <c r="I380" s="7">
        <v>36</v>
      </c>
      <c r="J380" s="8">
        <f t="shared" si="37"/>
        <v>7.8583333333333335E-3</v>
      </c>
      <c r="K380" s="5">
        <f t="shared" si="38"/>
        <v>28020.368302681771</v>
      </c>
      <c r="L380" s="5">
        <f t="shared" si="39"/>
        <v>1008733.2588965438</v>
      </c>
      <c r="M380" s="5">
        <f t="shared" si="40"/>
        <v>133103.25889654376</v>
      </c>
      <c r="N380" s="5">
        <v>8756.2999999999993</v>
      </c>
      <c r="O380" s="5">
        <v>170747.85</v>
      </c>
      <c r="P380" s="2" t="s">
        <v>23</v>
      </c>
      <c r="Q380" s="5">
        <v>0</v>
      </c>
      <c r="R380" s="5">
        <f t="shared" si="41"/>
        <v>-28888.291103456257</v>
      </c>
      <c r="S380" s="2" t="s">
        <v>58</v>
      </c>
      <c r="T380" s="2" t="s">
        <v>55</v>
      </c>
    </row>
    <row r="381" spans="1:20" x14ac:dyDescent="0.3">
      <c r="A381" s="9" t="s">
        <v>801</v>
      </c>
      <c r="B381" s="9" t="s">
        <v>802</v>
      </c>
      <c r="C381" s="9" t="s">
        <v>67</v>
      </c>
      <c r="D381" s="10">
        <v>95900</v>
      </c>
      <c r="E381" s="11">
        <v>0.1</v>
      </c>
      <c r="F381" s="12">
        <f t="shared" si="35"/>
        <v>9590</v>
      </c>
      <c r="G381" s="12">
        <f t="shared" si="36"/>
        <v>86310</v>
      </c>
      <c r="H381" s="13">
        <v>0.19919999999999999</v>
      </c>
      <c r="I381" s="14">
        <v>6</v>
      </c>
      <c r="J381" s="15">
        <f t="shared" si="37"/>
        <v>1.66E-2</v>
      </c>
      <c r="K381" s="12">
        <f t="shared" si="38"/>
        <v>15232.233136817174</v>
      </c>
      <c r="L381" s="12">
        <f t="shared" si="39"/>
        <v>91393.39882090305</v>
      </c>
      <c r="M381" s="12">
        <f t="shared" si="40"/>
        <v>5083.3988209030504</v>
      </c>
      <c r="N381" s="12">
        <v>863.1</v>
      </c>
      <c r="O381" s="12">
        <v>2805.0750000000003</v>
      </c>
      <c r="P381" s="9" t="s">
        <v>23</v>
      </c>
      <c r="Q381" s="12">
        <v>0</v>
      </c>
      <c r="R381" s="12">
        <f t="shared" si="41"/>
        <v>3141.4238209030505</v>
      </c>
      <c r="S381" s="9" t="s">
        <v>42</v>
      </c>
      <c r="T381" s="9" t="s">
        <v>55</v>
      </c>
    </row>
    <row r="382" spans="1:20" x14ac:dyDescent="0.3">
      <c r="A382" s="2" t="s">
        <v>803</v>
      </c>
      <c r="B382" s="2" t="s">
        <v>804</v>
      </c>
      <c r="C382" s="2" t="s">
        <v>22</v>
      </c>
      <c r="D382" s="3">
        <v>191200</v>
      </c>
      <c r="E382" s="4">
        <v>0.05</v>
      </c>
      <c r="F382" s="5">
        <f t="shared" si="35"/>
        <v>9560</v>
      </c>
      <c r="G382" s="5">
        <f t="shared" si="36"/>
        <v>181640</v>
      </c>
      <c r="H382" s="6">
        <v>0.16370000000000001</v>
      </c>
      <c r="I382" s="7">
        <v>24</v>
      </c>
      <c r="J382" s="8">
        <f t="shared" si="37"/>
        <v>1.3641666666666668E-2</v>
      </c>
      <c r="K382" s="5">
        <f t="shared" si="38"/>
        <v>8925.8048663424215</v>
      </c>
      <c r="L382" s="5">
        <f t="shared" si="39"/>
        <v>214219.31679221813</v>
      </c>
      <c r="M382" s="5">
        <f t="shared" si="40"/>
        <v>32579.316792218131</v>
      </c>
      <c r="N382" s="5">
        <v>1816.4</v>
      </c>
      <c r="O382" s="5">
        <v>23613.200000000001</v>
      </c>
      <c r="P382" s="2" t="s">
        <v>23</v>
      </c>
      <c r="Q382" s="5">
        <v>0</v>
      </c>
      <c r="R382" s="5">
        <f t="shared" si="41"/>
        <v>10782.516792218132</v>
      </c>
      <c r="S382" s="2" t="s">
        <v>24</v>
      </c>
      <c r="T382" s="2" t="s">
        <v>55</v>
      </c>
    </row>
    <row r="383" spans="1:20" x14ac:dyDescent="0.3">
      <c r="A383" s="9" t="s">
        <v>805</v>
      </c>
      <c r="B383" s="9" t="s">
        <v>806</v>
      </c>
      <c r="C383" s="9" t="s">
        <v>28</v>
      </c>
      <c r="D383" s="10">
        <v>104500</v>
      </c>
      <c r="E383" s="11">
        <v>0.1</v>
      </c>
      <c r="F383" s="12">
        <f t="shared" si="35"/>
        <v>10450</v>
      </c>
      <c r="G383" s="12">
        <f t="shared" si="36"/>
        <v>94050</v>
      </c>
      <c r="H383" s="13">
        <v>0.17549999999999999</v>
      </c>
      <c r="I383" s="14">
        <v>6</v>
      </c>
      <c r="J383" s="15">
        <f t="shared" si="37"/>
        <v>1.4624999999999999E-2</v>
      </c>
      <c r="K383" s="12">
        <f t="shared" si="38"/>
        <v>16487.070794819152</v>
      </c>
      <c r="L383" s="12">
        <f t="shared" si="39"/>
        <v>98922.424768914905</v>
      </c>
      <c r="M383" s="12">
        <f t="shared" si="40"/>
        <v>4872.4247689149051</v>
      </c>
      <c r="N383" s="12">
        <v>940.5</v>
      </c>
      <c r="O383" s="12">
        <v>3056.625</v>
      </c>
      <c r="P383" s="9" t="s">
        <v>29</v>
      </c>
      <c r="Q383" s="12">
        <v>37620</v>
      </c>
      <c r="R383" s="12">
        <f t="shared" si="41"/>
        <v>-34863.700231085095</v>
      </c>
      <c r="S383" s="9" t="s">
        <v>42</v>
      </c>
      <c r="T383" s="9" t="s">
        <v>31</v>
      </c>
    </row>
    <row r="384" spans="1:20" x14ac:dyDescent="0.3">
      <c r="A384" s="2" t="s">
        <v>807</v>
      </c>
      <c r="B384" s="2" t="s">
        <v>808</v>
      </c>
      <c r="C384" s="2" t="s">
        <v>22</v>
      </c>
      <c r="D384" s="3">
        <v>84900</v>
      </c>
      <c r="E384" s="4">
        <v>0.2</v>
      </c>
      <c r="F384" s="5">
        <f t="shared" si="35"/>
        <v>16980</v>
      </c>
      <c r="G384" s="5">
        <f t="shared" si="36"/>
        <v>67920</v>
      </c>
      <c r="H384" s="6">
        <v>0.1424</v>
      </c>
      <c r="I384" s="7">
        <v>24</v>
      </c>
      <c r="J384" s="8">
        <f t="shared" si="37"/>
        <v>1.1866666666666666E-2</v>
      </c>
      <c r="K384" s="5">
        <f t="shared" si="38"/>
        <v>3268.7410426716365</v>
      </c>
      <c r="L384" s="5">
        <f t="shared" si="39"/>
        <v>78449.785024119279</v>
      </c>
      <c r="M384" s="5">
        <f t="shared" si="40"/>
        <v>10529.785024119279</v>
      </c>
      <c r="N384" s="5">
        <v>679.2</v>
      </c>
      <c r="O384" s="5">
        <v>8829.6</v>
      </c>
      <c r="P384" s="2" t="s">
        <v>23</v>
      </c>
      <c r="Q384" s="5">
        <v>0</v>
      </c>
      <c r="R384" s="5">
        <f t="shared" si="41"/>
        <v>2379.3850241192795</v>
      </c>
      <c r="S384" s="2" t="s">
        <v>24</v>
      </c>
      <c r="T384" s="2" t="s">
        <v>34</v>
      </c>
    </row>
    <row r="385" spans="1:20" x14ac:dyDescent="0.3">
      <c r="A385" s="9" t="s">
        <v>809</v>
      </c>
      <c r="B385" s="9" t="s">
        <v>810</v>
      </c>
      <c r="C385" s="9" t="s">
        <v>22</v>
      </c>
      <c r="D385" s="10">
        <v>82300</v>
      </c>
      <c r="E385" s="11">
        <v>0.2</v>
      </c>
      <c r="F385" s="12">
        <f t="shared" si="35"/>
        <v>16460</v>
      </c>
      <c r="G385" s="12">
        <f t="shared" si="36"/>
        <v>65840</v>
      </c>
      <c r="H385" s="13">
        <v>0.17369999999999999</v>
      </c>
      <c r="I385" s="14">
        <v>60</v>
      </c>
      <c r="J385" s="15">
        <f t="shared" si="37"/>
        <v>1.4475E-2</v>
      </c>
      <c r="K385" s="12">
        <f t="shared" si="38"/>
        <v>1649.4207806402931</v>
      </c>
      <c r="L385" s="12">
        <f t="shared" si="39"/>
        <v>98965.246838417588</v>
      </c>
      <c r="M385" s="12">
        <f t="shared" si="40"/>
        <v>33125.246838417588</v>
      </c>
      <c r="N385" s="12">
        <v>658.4</v>
      </c>
      <c r="O385" s="12">
        <v>21398</v>
      </c>
      <c r="P385" s="9" t="s">
        <v>23</v>
      </c>
      <c r="Q385" s="12">
        <v>0</v>
      </c>
      <c r="R385" s="12">
        <f t="shared" si="41"/>
        <v>12385.64683841759</v>
      </c>
      <c r="S385" s="9" t="s">
        <v>58</v>
      </c>
      <c r="T385" s="9" t="s">
        <v>97</v>
      </c>
    </row>
    <row r="386" spans="1:20" x14ac:dyDescent="0.3">
      <c r="A386" s="2" t="s">
        <v>811</v>
      </c>
      <c r="B386" s="2" t="s">
        <v>812</v>
      </c>
      <c r="C386" s="2" t="s">
        <v>41</v>
      </c>
      <c r="D386" s="3">
        <v>493400</v>
      </c>
      <c r="E386" s="4">
        <v>0.25</v>
      </c>
      <c r="F386" s="5">
        <f t="shared" ref="F386:F449" si="42">D386*E386</f>
        <v>123350</v>
      </c>
      <c r="G386" s="5">
        <f t="shared" ref="G386:G449" si="43">D386-F386</f>
        <v>370050</v>
      </c>
      <c r="H386" s="6">
        <v>8.7900000000000006E-2</v>
      </c>
      <c r="I386" s="7">
        <v>48</v>
      </c>
      <c r="J386" s="8">
        <f t="shared" ref="J386:J449" si="44">H386/12</f>
        <v>7.3250000000000008E-3</v>
      </c>
      <c r="K386" s="5">
        <f t="shared" ref="K386:K449" si="45">-PMT(J386,I386,G386)</f>
        <v>9171.8545718406203</v>
      </c>
      <c r="L386" s="5">
        <f t="shared" ref="L386:L449" si="46">K386*I386</f>
        <v>440249.01944834978</v>
      </c>
      <c r="M386" s="5">
        <f t="shared" ref="M386:M449" si="47">L386-G386</f>
        <v>70199.019448349776</v>
      </c>
      <c r="N386" s="5">
        <v>3700.5</v>
      </c>
      <c r="O386" s="5">
        <v>96213</v>
      </c>
      <c r="P386" s="2" t="s">
        <v>37</v>
      </c>
      <c r="Q386" s="5">
        <v>0</v>
      </c>
      <c r="R386" s="5">
        <f t="shared" ref="R386:R449" si="48">M386+N386-O386-Q386</f>
        <v>-22313.480551650224</v>
      </c>
      <c r="S386" s="2" t="s">
        <v>24</v>
      </c>
      <c r="T386" s="2" t="s">
        <v>88</v>
      </c>
    </row>
    <row r="387" spans="1:20" x14ac:dyDescent="0.3">
      <c r="A387" s="9" t="s">
        <v>813</v>
      </c>
      <c r="B387" s="9" t="s">
        <v>814</v>
      </c>
      <c r="C387" s="9" t="s">
        <v>22</v>
      </c>
      <c r="D387" s="10">
        <v>91400</v>
      </c>
      <c r="E387" s="11">
        <v>0.2</v>
      </c>
      <c r="F387" s="12">
        <f t="shared" si="42"/>
        <v>18280</v>
      </c>
      <c r="G387" s="12">
        <f t="shared" si="43"/>
        <v>73120</v>
      </c>
      <c r="H387" s="13">
        <v>0.12330000000000001</v>
      </c>
      <c r="I387" s="14">
        <v>36</v>
      </c>
      <c r="J387" s="15">
        <f t="shared" si="44"/>
        <v>1.0275000000000001E-2</v>
      </c>
      <c r="K387" s="12">
        <f t="shared" si="45"/>
        <v>2440.1712229168534</v>
      </c>
      <c r="L387" s="12">
        <f t="shared" si="46"/>
        <v>87846.164025006728</v>
      </c>
      <c r="M387" s="12">
        <f t="shared" si="47"/>
        <v>14726.164025006728</v>
      </c>
      <c r="N387" s="12">
        <v>731.2</v>
      </c>
      <c r="O387" s="12">
        <v>14258.400000000001</v>
      </c>
      <c r="P387" s="9" t="s">
        <v>23</v>
      </c>
      <c r="Q387" s="12">
        <v>0</v>
      </c>
      <c r="R387" s="12">
        <f t="shared" si="48"/>
        <v>1198.9640250067278</v>
      </c>
      <c r="S387" s="9" t="s">
        <v>58</v>
      </c>
      <c r="T387" s="9" t="s">
        <v>38</v>
      </c>
    </row>
    <row r="388" spans="1:20" x14ac:dyDescent="0.3">
      <c r="A388" s="2" t="s">
        <v>815</v>
      </c>
      <c r="B388" s="2" t="s">
        <v>816</v>
      </c>
      <c r="C388" s="2" t="s">
        <v>28</v>
      </c>
      <c r="D388" s="3">
        <v>54200</v>
      </c>
      <c r="E388" s="4">
        <v>0.2</v>
      </c>
      <c r="F388" s="5">
        <f t="shared" si="42"/>
        <v>10840</v>
      </c>
      <c r="G388" s="5">
        <f t="shared" si="43"/>
        <v>43360</v>
      </c>
      <c r="H388" s="6">
        <v>0.19550000000000001</v>
      </c>
      <c r="I388" s="7">
        <v>9</v>
      </c>
      <c r="J388" s="8">
        <f t="shared" si="44"/>
        <v>1.6291666666666666E-2</v>
      </c>
      <c r="K388" s="5">
        <f t="shared" si="45"/>
        <v>5218.6790583428792</v>
      </c>
      <c r="L388" s="5">
        <f t="shared" si="46"/>
        <v>46968.111525085915</v>
      </c>
      <c r="M388" s="5">
        <f t="shared" si="47"/>
        <v>3608.1115250859148</v>
      </c>
      <c r="N388" s="5">
        <v>499</v>
      </c>
      <c r="O388" s="5">
        <v>2113.8000000000002</v>
      </c>
      <c r="P388" s="2" t="s">
        <v>37</v>
      </c>
      <c r="Q388" s="5">
        <v>0</v>
      </c>
      <c r="R388" s="5">
        <f t="shared" si="48"/>
        <v>1993.3115250859146</v>
      </c>
      <c r="S388" s="2" t="s">
        <v>24</v>
      </c>
      <c r="T388" s="2" t="s">
        <v>34</v>
      </c>
    </row>
    <row r="389" spans="1:20" x14ac:dyDescent="0.3">
      <c r="A389" s="9" t="s">
        <v>817</v>
      </c>
      <c r="B389" s="9" t="s">
        <v>818</v>
      </c>
      <c r="C389" s="9" t="s">
        <v>28</v>
      </c>
      <c r="D389" s="10">
        <v>64300</v>
      </c>
      <c r="E389" s="11">
        <v>0.05</v>
      </c>
      <c r="F389" s="12">
        <f t="shared" si="42"/>
        <v>3215</v>
      </c>
      <c r="G389" s="12">
        <f t="shared" si="43"/>
        <v>61085</v>
      </c>
      <c r="H389" s="13">
        <v>0.12970000000000001</v>
      </c>
      <c r="I389" s="14">
        <v>12</v>
      </c>
      <c r="J389" s="15">
        <f t="shared" si="44"/>
        <v>1.0808333333333335E-2</v>
      </c>
      <c r="K389" s="12">
        <f t="shared" si="45"/>
        <v>5455.0860561351792</v>
      </c>
      <c r="L389" s="12">
        <f t="shared" si="46"/>
        <v>65461.032673622147</v>
      </c>
      <c r="M389" s="12">
        <f t="shared" si="47"/>
        <v>4376.0326736221468</v>
      </c>
      <c r="N389" s="12">
        <v>610.85</v>
      </c>
      <c r="O389" s="12">
        <v>3970.5250000000001</v>
      </c>
      <c r="P389" s="9" t="s">
        <v>23</v>
      </c>
      <c r="Q389" s="12">
        <v>0</v>
      </c>
      <c r="R389" s="12">
        <f t="shared" si="48"/>
        <v>1016.3576736221471</v>
      </c>
      <c r="S389" s="9" t="s">
        <v>42</v>
      </c>
      <c r="T389" s="9" t="s">
        <v>184</v>
      </c>
    </row>
    <row r="390" spans="1:20" x14ac:dyDescent="0.3">
      <c r="A390" s="2" t="s">
        <v>819</v>
      </c>
      <c r="B390" s="2" t="s">
        <v>820</v>
      </c>
      <c r="C390" s="2" t="s">
        <v>41</v>
      </c>
      <c r="D390" s="3">
        <v>499500</v>
      </c>
      <c r="E390" s="4">
        <v>0.3</v>
      </c>
      <c r="F390" s="5">
        <f t="shared" si="42"/>
        <v>149850</v>
      </c>
      <c r="G390" s="5">
        <f t="shared" si="43"/>
        <v>349650</v>
      </c>
      <c r="H390" s="6">
        <v>0.10920000000000001</v>
      </c>
      <c r="I390" s="7">
        <v>60</v>
      </c>
      <c r="J390" s="8">
        <f t="shared" si="44"/>
        <v>9.1000000000000004E-3</v>
      </c>
      <c r="K390" s="5">
        <f t="shared" si="45"/>
        <v>7588.2957817965435</v>
      </c>
      <c r="L390" s="5">
        <f t="shared" si="46"/>
        <v>455297.74690779264</v>
      </c>
      <c r="M390" s="5">
        <f t="shared" si="47"/>
        <v>105647.74690779264</v>
      </c>
      <c r="N390" s="5">
        <v>3496.5</v>
      </c>
      <c r="O390" s="5">
        <v>113636.25</v>
      </c>
      <c r="P390" s="2" t="s">
        <v>37</v>
      </c>
      <c r="Q390" s="5">
        <v>0</v>
      </c>
      <c r="R390" s="5">
        <f t="shared" si="48"/>
        <v>-4492.0030922073638</v>
      </c>
      <c r="S390" s="2" t="s">
        <v>58</v>
      </c>
      <c r="T390" s="2" t="s">
        <v>34</v>
      </c>
    </row>
    <row r="391" spans="1:20" x14ac:dyDescent="0.3">
      <c r="A391" s="9" t="s">
        <v>821</v>
      </c>
      <c r="B391" s="9" t="s">
        <v>822</v>
      </c>
      <c r="C391" s="9" t="s">
        <v>67</v>
      </c>
      <c r="D391" s="10">
        <v>35800</v>
      </c>
      <c r="E391" s="11">
        <v>0</v>
      </c>
      <c r="F391" s="12">
        <f t="shared" si="42"/>
        <v>0</v>
      </c>
      <c r="G391" s="12">
        <f t="shared" si="43"/>
        <v>35800</v>
      </c>
      <c r="H391" s="13">
        <v>0.16850000000000001</v>
      </c>
      <c r="I391" s="14">
        <v>18</v>
      </c>
      <c r="J391" s="15">
        <f t="shared" si="44"/>
        <v>1.4041666666666668E-2</v>
      </c>
      <c r="K391" s="12">
        <f t="shared" si="45"/>
        <v>2264.6692009288695</v>
      </c>
      <c r="L391" s="12">
        <f t="shared" si="46"/>
        <v>40764.045616719653</v>
      </c>
      <c r="M391" s="12">
        <f t="shared" si="47"/>
        <v>4964.0456167196535</v>
      </c>
      <c r="N391" s="12">
        <v>499</v>
      </c>
      <c r="O391" s="12">
        <v>3490.5</v>
      </c>
      <c r="P391" s="9" t="s">
        <v>23</v>
      </c>
      <c r="Q391" s="12">
        <v>0</v>
      </c>
      <c r="R391" s="12">
        <f t="shared" si="48"/>
        <v>1972.5456167196535</v>
      </c>
      <c r="S391" s="9" t="s">
        <v>58</v>
      </c>
      <c r="T391" s="9" t="s">
        <v>34</v>
      </c>
    </row>
    <row r="392" spans="1:20" x14ac:dyDescent="0.3">
      <c r="A392" s="2" t="s">
        <v>823</v>
      </c>
      <c r="B392" s="2" t="s">
        <v>824</v>
      </c>
      <c r="C392" s="2" t="s">
        <v>67</v>
      </c>
      <c r="D392" s="3">
        <v>53300</v>
      </c>
      <c r="E392" s="4">
        <v>0.15</v>
      </c>
      <c r="F392" s="5">
        <f t="shared" si="42"/>
        <v>7995</v>
      </c>
      <c r="G392" s="5">
        <f t="shared" si="43"/>
        <v>45305</v>
      </c>
      <c r="H392" s="6">
        <v>0.1762</v>
      </c>
      <c r="I392" s="7">
        <v>24</v>
      </c>
      <c r="J392" s="8">
        <f t="shared" si="44"/>
        <v>1.4683333333333333E-2</v>
      </c>
      <c r="K392" s="5">
        <f t="shared" si="45"/>
        <v>2253.5018607880215</v>
      </c>
      <c r="L392" s="5">
        <f t="shared" si="46"/>
        <v>54084.04465891252</v>
      </c>
      <c r="M392" s="5">
        <f t="shared" si="47"/>
        <v>8779.0446589125204</v>
      </c>
      <c r="N392" s="5">
        <v>499</v>
      </c>
      <c r="O392" s="5">
        <v>5889.6500000000005</v>
      </c>
      <c r="P392" s="2" t="s">
        <v>37</v>
      </c>
      <c r="Q392" s="5">
        <v>0</v>
      </c>
      <c r="R392" s="5">
        <f t="shared" si="48"/>
        <v>3388.3946589125198</v>
      </c>
      <c r="S392" s="2" t="s">
        <v>42</v>
      </c>
      <c r="T392" s="2" t="s">
        <v>43</v>
      </c>
    </row>
    <row r="393" spans="1:20" x14ac:dyDescent="0.3">
      <c r="A393" s="9" t="s">
        <v>825</v>
      </c>
      <c r="B393" s="9" t="s">
        <v>826</v>
      </c>
      <c r="C393" s="9" t="s">
        <v>41</v>
      </c>
      <c r="D393" s="10">
        <v>553800</v>
      </c>
      <c r="E393" s="11">
        <v>0.15</v>
      </c>
      <c r="F393" s="12">
        <f t="shared" si="42"/>
        <v>83070</v>
      </c>
      <c r="G393" s="12">
        <f t="shared" si="43"/>
        <v>470730</v>
      </c>
      <c r="H393" s="13">
        <v>8.5400000000000004E-2</v>
      </c>
      <c r="I393" s="14">
        <v>48</v>
      </c>
      <c r="J393" s="15">
        <f t="shared" si="44"/>
        <v>7.116666666666667E-3</v>
      </c>
      <c r="K393" s="12">
        <f t="shared" si="45"/>
        <v>11611.58754485855</v>
      </c>
      <c r="L393" s="12">
        <f t="shared" si="46"/>
        <v>557356.20215321041</v>
      </c>
      <c r="M393" s="12">
        <f t="shared" si="47"/>
        <v>86626.202153210412</v>
      </c>
      <c r="N393" s="12">
        <v>4707.3</v>
      </c>
      <c r="O393" s="12">
        <v>122389.8</v>
      </c>
      <c r="P393" s="9" t="s">
        <v>37</v>
      </c>
      <c r="Q393" s="12">
        <v>0</v>
      </c>
      <c r="R393" s="12">
        <f t="shared" si="48"/>
        <v>-31056.297846789588</v>
      </c>
      <c r="S393" s="9" t="s">
        <v>42</v>
      </c>
      <c r="T393" s="9" t="s">
        <v>38</v>
      </c>
    </row>
    <row r="394" spans="1:20" x14ac:dyDescent="0.3">
      <c r="A394" s="2" t="s">
        <v>827</v>
      </c>
      <c r="B394" s="2" t="s">
        <v>828</v>
      </c>
      <c r="C394" s="2" t="s">
        <v>22</v>
      </c>
      <c r="D394" s="3">
        <v>285000</v>
      </c>
      <c r="E394" s="4">
        <v>0.15</v>
      </c>
      <c r="F394" s="5">
        <f t="shared" si="42"/>
        <v>42750</v>
      </c>
      <c r="G394" s="5">
        <f t="shared" si="43"/>
        <v>242250</v>
      </c>
      <c r="H394" s="6">
        <v>0.1067</v>
      </c>
      <c r="I394" s="7">
        <v>60</v>
      </c>
      <c r="J394" s="8">
        <f t="shared" si="44"/>
        <v>8.8916666666666675E-3</v>
      </c>
      <c r="K394" s="5">
        <f t="shared" si="45"/>
        <v>5227.3216926598216</v>
      </c>
      <c r="L394" s="5">
        <f t="shared" si="46"/>
        <v>313639.30155958928</v>
      </c>
      <c r="M394" s="5">
        <f t="shared" si="47"/>
        <v>71389.301559589279</v>
      </c>
      <c r="N394" s="5">
        <v>2422.5</v>
      </c>
      <c r="O394" s="5">
        <v>78731.25</v>
      </c>
      <c r="P394" s="2" t="s">
        <v>23</v>
      </c>
      <c r="Q394" s="5">
        <v>0</v>
      </c>
      <c r="R394" s="5">
        <f t="shared" si="48"/>
        <v>-4919.4484404107207</v>
      </c>
      <c r="S394" s="2" t="s">
        <v>24</v>
      </c>
      <c r="T394" s="2" t="s">
        <v>46</v>
      </c>
    </row>
    <row r="395" spans="1:20" x14ac:dyDescent="0.3">
      <c r="A395" s="9" t="s">
        <v>829</v>
      </c>
      <c r="B395" s="9" t="s">
        <v>830</v>
      </c>
      <c r="C395" s="9" t="s">
        <v>41</v>
      </c>
      <c r="D395" s="10">
        <v>617500</v>
      </c>
      <c r="E395" s="11">
        <v>0.1</v>
      </c>
      <c r="F395" s="12">
        <f t="shared" si="42"/>
        <v>61750</v>
      </c>
      <c r="G395" s="12">
        <f t="shared" si="43"/>
        <v>555750</v>
      </c>
      <c r="H395" s="13">
        <v>0.10440000000000001</v>
      </c>
      <c r="I395" s="14">
        <v>48</v>
      </c>
      <c r="J395" s="15">
        <f t="shared" si="44"/>
        <v>8.7000000000000011E-3</v>
      </c>
      <c r="K395" s="12">
        <f t="shared" si="45"/>
        <v>14212.980044844029</v>
      </c>
      <c r="L395" s="12">
        <f t="shared" si="46"/>
        <v>682223.0421525134</v>
      </c>
      <c r="M395" s="12">
        <f t="shared" si="47"/>
        <v>126473.0421525134</v>
      </c>
      <c r="N395" s="12">
        <v>5557.5</v>
      </c>
      <c r="O395" s="12">
        <v>144495</v>
      </c>
      <c r="P395" s="9" t="s">
        <v>23</v>
      </c>
      <c r="Q395" s="12">
        <v>0</v>
      </c>
      <c r="R395" s="12">
        <f t="shared" si="48"/>
        <v>-12464.457847486599</v>
      </c>
      <c r="S395" s="9" t="s">
        <v>58</v>
      </c>
      <c r="T395" s="9" t="s">
        <v>43</v>
      </c>
    </row>
    <row r="396" spans="1:20" x14ac:dyDescent="0.3">
      <c r="A396" s="2" t="s">
        <v>831</v>
      </c>
      <c r="B396" s="2" t="s">
        <v>832</v>
      </c>
      <c r="C396" s="2" t="s">
        <v>67</v>
      </c>
      <c r="D396" s="3">
        <v>59600</v>
      </c>
      <c r="E396" s="4">
        <v>0.1</v>
      </c>
      <c r="F396" s="5">
        <f t="shared" si="42"/>
        <v>5960</v>
      </c>
      <c r="G396" s="5">
        <f t="shared" si="43"/>
        <v>53640</v>
      </c>
      <c r="H396" s="6">
        <v>0.15340000000000001</v>
      </c>
      <c r="I396" s="7">
        <v>18</v>
      </c>
      <c r="J396" s="8">
        <f t="shared" si="44"/>
        <v>1.2783333333333334E-2</v>
      </c>
      <c r="K396" s="5">
        <f t="shared" si="45"/>
        <v>3354.9094030739311</v>
      </c>
      <c r="L396" s="5">
        <f t="shared" si="46"/>
        <v>60388.369255330763</v>
      </c>
      <c r="M396" s="5">
        <f t="shared" si="47"/>
        <v>6748.3692553307628</v>
      </c>
      <c r="N396" s="5">
        <v>536.4</v>
      </c>
      <c r="O396" s="5">
        <v>5229.8999999999996</v>
      </c>
      <c r="P396" s="2" t="s">
        <v>23</v>
      </c>
      <c r="Q396" s="5">
        <v>0</v>
      </c>
      <c r="R396" s="5">
        <f t="shared" si="48"/>
        <v>2054.8692553307628</v>
      </c>
      <c r="S396" s="2" t="s">
        <v>42</v>
      </c>
      <c r="T396" s="2" t="s">
        <v>97</v>
      </c>
    </row>
    <row r="397" spans="1:20" x14ac:dyDescent="0.3">
      <c r="A397" s="9" t="s">
        <v>833</v>
      </c>
      <c r="B397" s="9" t="s">
        <v>834</v>
      </c>
      <c r="C397" s="9" t="s">
        <v>67</v>
      </c>
      <c r="D397" s="10">
        <v>84500</v>
      </c>
      <c r="E397" s="11">
        <v>0</v>
      </c>
      <c r="F397" s="12">
        <f t="shared" si="42"/>
        <v>0</v>
      </c>
      <c r="G397" s="12">
        <f t="shared" si="43"/>
        <v>84500</v>
      </c>
      <c r="H397" s="13">
        <v>0.15379999999999999</v>
      </c>
      <c r="I397" s="14">
        <v>6</v>
      </c>
      <c r="J397" s="15">
        <f t="shared" si="44"/>
        <v>1.2816666666666665E-2</v>
      </c>
      <c r="K397" s="12">
        <f t="shared" si="45"/>
        <v>14721.792142633014</v>
      </c>
      <c r="L397" s="12">
        <f t="shared" si="46"/>
        <v>88330.752855798084</v>
      </c>
      <c r="M397" s="12">
        <f t="shared" si="47"/>
        <v>3830.7528557980841</v>
      </c>
      <c r="N397" s="12">
        <v>845</v>
      </c>
      <c r="O397" s="12">
        <v>2746.25</v>
      </c>
      <c r="P397" s="9" t="s">
        <v>37</v>
      </c>
      <c r="Q397" s="12">
        <v>0</v>
      </c>
      <c r="R397" s="12">
        <f t="shared" si="48"/>
        <v>1929.5028557980841</v>
      </c>
      <c r="S397" s="9" t="s">
        <v>42</v>
      </c>
      <c r="T397" s="9" t="s">
        <v>34</v>
      </c>
    </row>
    <row r="398" spans="1:20" x14ac:dyDescent="0.3">
      <c r="A398" s="2" t="s">
        <v>835</v>
      </c>
      <c r="B398" s="2" t="s">
        <v>836</v>
      </c>
      <c r="C398" s="2" t="s">
        <v>67</v>
      </c>
      <c r="D398" s="3">
        <v>77300</v>
      </c>
      <c r="E398" s="4">
        <v>0.1</v>
      </c>
      <c r="F398" s="5">
        <f t="shared" si="42"/>
        <v>7730</v>
      </c>
      <c r="G398" s="5">
        <f t="shared" si="43"/>
        <v>69570</v>
      </c>
      <c r="H398" s="6">
        <v>0.15970000000000001</v>
      </c>
      <c r="I398" s="7">
        <v>9</v>
      </c>
      <c r="J398" s="8">
        <f t="shared" si="44"/>
        <v>1.3308333333333333E-2</v>
      </c>
      <c r="K398" s="5">
        <f t="shared" si="45"/>
        <v>8253.4318762604526</v>
      </c>
      <c r="L398" s="5">
        <f t="shared" si="46"/>
        <v>74280.886886344073</v>
      </c>
      <c r="M398" s="5">
        <f t="shared" si="47"/>
        <v>4710.886886344073</v>
      </c>
      <c r="N398" s="5">
        <v>695.7</v>
      </c>
      <c r="O398" s="5">
        <v>3391.5375000000004</v>
      </c>
      <c r="P398" s="2" t="s">
        <v>23</v>
      </c>
      <c r="Q398" s="5">
        <v>0</v>
      </c>
      <c r="R398" s="5">
        <f t="shared" si="48"/>
        <v>2015.0493863440724</v>
      </c>
      <c r="S398" s="2" t="s">
        <v>42</v>
      </c>
      <c r="T398" s="2" t="s">
        <v>46</v>
      </c>
    </row>
    <row r="399" spans="1:20" x14ac:dyDescent="0.3">
      <c r="A399" s="9" t="s">
        <v>837</v>
      </c>
      <c r="B399" s="9" t="s">
        <v>838</v>
      </c>
      <c r="C399" s="9" t="s">
        <v>67</v>
      </c>
      <c r="D399" s="10">
        <v>50900</v>
      </c>
      <c r="E399" s="11">
        <v>0.15</v>
      </c>
      <c r="F399" s="12">
        <f t="shared" si="42"/>
        <v>7635</v>
      </c>
      <c r="G399" s="12">
        <f t="shared" si="43"/>
        <v>43265</v>
      </c>
      <c r="H399" s="13">
        <v>0.17349999999999999</v>
      </c>
      <c r="I399" s="14">
        <v>24</v>
      </c>
      <c r="J399" s="15">
        <f t="shared" si="44"/>
        <v>1.4458333333333332E-2</v>
      </c>
      <c r="K399" s="12">
        <f t="shared" si="45"/>
        <v>2146.4027109585918</v>
      </c>
      <c r="L399" s="12">
        <f t="shared" si="46"/>
        <v>51513.665063006207</v>
      </c>
      <c r="M399" s="12">
        <f t="shared" si="47"/>
        <v>8248.6650630062068</v>
      </c>
      <c r="N399" s="12">
        <v>499</v>
      </c>
      <c r="O399" s="12">
        <v>5624.45</v>
      </c>
      <c r="P399" s="9" t="s">
        <v>37</v>
      </c>
      <c r="Q399" s="12">
        <v>0</v>
      </c>
      <c r="R399" s="12">
        <f t="shared" si="48"/>
        <v>3123.2150630062069</v>
      </c>
      <c r="S399" s="9" t="s">
        <v>24</v>
      </c>
      <c r="T399" s="9" t="s">
        <v>88</v>
      </c>
    </row>
    <row r="400" spans="1:20" x14ac:dyDescent="0.3">
      <c r="A400" s="2" t="s">
        <v>839</v>
      </c>
      <c r="B400" s="2" t="s">
        <v>840</v>
      </c>
      <c r="C400" s="2" t="s">
        <v>41</v>
      </c>
      <c r="D400" s="3">
        <v>795000</v>
      </c>
      <c r="E400" s="4">
        <v>0.2</v>
      </c>
      <c r="F400" s="5">
        <f t="shared" si="42"/>
        <v>159000</v>
      </c>
      <c r="G400" s="5">
        <f t="shared" si="43"/>
        <v>636000</v>
      </c>
      <c r="H400" s="6">
        <v>0.1013</v>
      </c>
      <c r="I400" s="7">
        <v>72</v>
      </c>
      <c r="J400" s="8">
        <f t="shared" si="44"/>
        <v>8.4416666666666668E-3</v>
      </c>
      <c r="K400" s="5">
        <f t="shared" si="45"/>
        <v>11824.16951440029</v>
      </c>
      <c r="L400" s="5">
        <f t="shared" si="46"/>
        <v>851340.20503682084</v>
      </c>
      <c r="M400" s="5">
        <f t="shared" si="47"/>
        <v>215340.20503682084</v>
      </c>
      <c r="N400" s="5">
        <v>6360</v>
      </c>
      <c r="O400" s="5">
        <v>248040</v>
      </c>
      <c r="P400" s="2" t="s">
        <v>23</v>
      </c>
      <c r="Q400" s="5">
        <v>0</v>
      </c>
      <c r="R400" s="5">
        <f t="shared" si="48"/>
        <v>-26339.794963179156</v>
      </c>
      <c r="S400" s="2" t="s">
        <v>58</v>
      </c>
      <c r="T400" s="2" t="s">
        <v>88</v>
      </c>
    </row>
    <row r="401" spans="1:20" x14ac:dyDescent="0.3">
      <c r="A401" s="9" t="s">
        <v>841</v>
      </c>
      <c r="B401" s="9" t="s">
        <v>842</v>
      </c>
      <c r="C401" s="9" t="s">
        <v>67</v>
      </c>
      <c r="D401" s="10">
        <v>10900</v>
      </c>
      <c r="E401" s="11">
        <v>0.05</v>
      </c>
      <c r="F401" s="12">
        <f t="shared" si="42"/>
        <v>545</v>
      </c>
      <c r="G401" s="12">
        <f t="shared" si="43"/>
        <v>10355</v>
      </c>
      <c r="H401" s="13">
        <v>0.18779999999999999</v>
      </c>
      <c r="I401" s="14">
        <v>3</v>
      </c>
      <c r="J401" s="15">
        <f t="shared" si="44"/>
        <v>1.5650000000000001E-2</v>
      </c>
      <c r="K401" s="12">
        <f t="shared" si="45"/>
        <v>3560.2630401015736</v>
      </c>
      <c r="L401" s="12">
        <f t="shared" si="46"/>
        <v>10680.78912030472</v>
      </c>
      <c r="M401" s="12">
        <f t="shared" si="47"/>
        <v>325.7891203047202</v>
      </c>
      <c r="N401" s="12">
        <v>499</v>
      </c>
      <c r="O401" s="12">
        <v>168.26875000000001</v>
      </c>
      <c r="P401" s="9" t="s">
        <v>29</v>
      </c>
      <c r="Q401" s="12">
        <v>4142</v>
      </c>
      <c r="R401" s="12">
        <f t="shared" si="48"/>
        <v>-3485.47962969528</v>
      </c>
      <c r="S401" s="9" t="s">
        <v>42</v>
      </c>
      <c r="T401" s="9" t="s">
        <v>52</v>
      </c>
    </row>
    <row r="402" spans="1:20" x14ac:dyDescent="0.3">
      <c r="A402" s="2" t="s">
        <v>843</v>
      </c>
      <c r="B402" s="2" t="s">
        <v>844</v>
      </c>
      <c r="C402" s="2" t="s">
        <v>28</v>
      </c>
      <c r="D402" s="3">
        <v>98000</v>
      </c>
      <c r="E402" s="4">
        <v>0</v>
      </c>
      <c r="F402" s="5">
        <f t="shared" si="42"/>
        <v>0</v>
      </c>
      <c r="G402" s="5">
        <f t="shared" si="43"/>
        <v>98000</v>
      </c>
      <c r="H402" s="6">
        <v>0.1386</v>
      </c>
      <c r="I402" s="7">
        <v>9</v>
      </c>
      <c r="J402" s="8">
        <f t="shared" si="44"/>
        <v>1.155E-2</v>
      </c>
      <c r="K402" s="5">
        <f t="shared" si="45"/>
        <v>11527.349022252711</v>
      </c>
      <c r="L402" s="5">
        <f t="shared" si="46"/>
        <v>103746.1412002744</v>
      </c>
      <c r="M402" s="5">
        <f t="shared" si="47"/>
        <v>5746.1412002744037</v>
      </c>
      <c r="N402" s="5">
        <v>980</v>
      </c>
      <c r="O402" s="5">
        <v>4777.5</v>
      </c>
      <c r="P402" s="2" t="s">
        <v>37</v>
      </c>
      <c r="Q402" s="5">
        <v>0</v>
      </c>
      <c r="R402" s="5">
        <f t="shared" si="48"/>
        <v>1948.6412002744037</v>
      </c>
      <c r="S402" s="2" t="s">
        <v>30</v>
      </c>
      <c r="T402" s="2" t="s">
        <v>184</v>
      </c>
    </row>
    <row r="403" spans="1:20" x14ac:dyDescent="0.3">
      <c r="A403" s="9" t="s">
        <v>845</v>
      </c>
      <c r="B403" s="9" t="s">
        <v>846</v>
      </c>
      <c r="C403" s="9" t="s">
        <v>28</v>
      </c>
      <c r="D403" s="10">
        <v>123900</v>
      </c>
      <c r="E403" s="11">
        <v>0.2</v>
      </c>
      <c r="F403" s="12">
        <f t="shared" si="42"/>
        <v>24780</v>
      </c>
      <c r="G403" s="12">
        <f t="shared" si="43"/>
        <v>99120</v>
      </c>
      <c r="H403" s="13">
        <v>0.17899999999999999</v>
      </c>
      <c r="I403" s="14">
        <v>9</v>
      </c>
      <c r="J403" s="15">
        <f t="shared" si="44"/>
        <v>1.4916666666666667E-2</v>
      </c>
      <c r="K403" s="12">
        <f t="shared" si="45"/>
        <v>11850.955893970648</v>
      </c>
      <c r="L403" s="12">
        <f t="shared" si="46"/>
        <v>106658.60304573583</v>
      </c>
      <c r="M403" s="12">
        <f t="shared" si="47"/>
        <v>7538.6030457358283</v>
      </c>
      <c r="N403" s="12">
        <v>991.2</v>
      </c>
      <c r="O403" s="12">
        <v>4832.1000000000004</v>
      </c>
      <c r="P403" s="9" t="s">
        <v>23</v>
      </c>
      <c r="Q403" s="12">
        <v>0</v>
      </c>
      <c r="R403" s="12">
        <f t="shared" si="48"/>
        <v>3697.7030457358287</v>
      </c>
      <c r="S403" s="9" t="s">
        <v>42</v>
      </c>
      <c r="T403" s="9" t="s">
        <v>38</v>
      </c>
    </row>
    <row r="404" spans="1:20" x14ac:dyDescent="0.3">
      <c r="A404" s="2" t="s">
        <v>847</v>
      </c>
      <c r="B404" s="2" t="s">
        <v>848</v>
      </c>
      <c r="C404" s="2" t="s">
        <v>41</v>
      </c>
      <c r="D404" s="3">
        <v>1490700</v>
      </c>
      <c r="E404" s="4">
        <v>0.3</v>
      </c>
      <c r="F404" s="5">
        <f t="shared" si="42"/>
        <v>447210</v>
      </c>
      <c r="G404" s="5">
        <f t="shared" si="43"/>
        <v>1043490</v>
      </c>
      <c r="H404" s="6">
        <v>9.0200000000000002E-2</v>
      </c>
      <c r="I404" s="7">
        <v>48</v>
      </c>
      <c r="J404" s="8">
        <f t="shared" si="44"/>
        <v>7.5166666666666672E-3</v>
      </c>
      <c r="K404" s="5">
        <f t="shared" si="45"/>
        <v>25977.203693627576</v>
      </c>
      <c r="L404" s="5">
        <f t="shared" si="46"/>
        <v>1246905.7772941235</v>
      </c>
      <c r="M404" s="5">
        <f t="shared" si="47"/>
        <v>203415.77729412355</v>
      </c>
      <c r="N404" s="5">
        <v>10434.9</v>
      </c>
      <c r="O404" s="5">
        <v>271307.40000000002</v>
      </c>
      <c r="P404" s="2" t="s">
        <v>23</v>
      </c>
      <c r="Q404" s="5">
        <v>0</v>
      </c>
      <c r="R404" s="5">
        <f t="shared" si="48"/>
        <v>-57456.722705876484</v>
      </c>
      <c r="S404" s="2" t="s">
        <v>58</v>
      </c>
      <c r="T404" s="2" t="s">
        <v>25</v>
      </c>
    </row>
    <row r="405" spans="1:20" x14ac:dyDescent="0.3">
      <c r="A405" s="9" t="s">
        <v>849</v>
      </c>
      <c r="B405" s="9" t="s">
        <v>850</v>
      </c>
      <c r="C405" s="9" t="s">
        <v>67</v>
      </c>
      <c r="D405" s="10">
        <v>86500</v>
      </c>
      <c r="E405" s="11">
        <v>0</v>
      </c>
      <c r="F405" s="12">
        <f t="shared" si="42"/>
        <v>0</v>
      </c>
      <c r="G405" s="12">
        <f t="shared" si="43"/>
        <v>86500</v>
      </c>
      <c r="H405" s="13">
        <v>0.21579999999999999</v>
      </c>
      <c r="I405" s="14">
        <v>18</v>
      </c>
      <c r="J405" s="15">
        <f t="shared" si="44"/>
        <v>1.7983333333333334E-2</v>
      </c>
      <c r="K405" s="12">
        <f t="shared" si="45"/>
        <v>5667.9334968385374</v>
      </c>
      <c r="L405" s="12">
        <f t="shared" si="46"/>
        <v>102022.80294309367</v>
      </c>
      <c r="M405" s="12">
        <f t="shared" si="47"/>
        <v>15522.802943093673</v>
      </c>
      <c r="N405" s="12">
        <v>865</v>
      </c>
      <c r="O405" s="12">
        <v>8433.75</v>
      </c>
      <c r="P405" s="9" t="s">
        <v>23</v>
      </c>
      <c r="Q405" s="12">
        <v>0</v>
      </c>
      <c r="R405" s="12">
        <f t="shared" si="48"/>
        <v>7954.0529430936731</v>
      </c>
      <c r="S405" s="9" t="s">
        <v>30</v>
      </c>
      <c r="T405" s="9" t="s">
        <v>97</v>
      </c>
    </row>
    <row r="406" spans="1:20" x14ac:dyDescent="0.3">
      <c r="A406" s="2" t="s">
        <v>851</v>
      </c>
      <c r="B406" s="2" t="s">
        <v>852</v>
      </c>
      <c r="C406" s="2" t="s">
        <v>28</v>
      </c>
      <c r="D406" s="3">
        <v>46900</v>
      </c>
      <c r="E406" s="4">
        <v>0.05</v>
      </c>
      <c r="F406" s="5">
        <f t="shared" si="42"/>
        <v>2345</v>
      </c>
      <c r="G406" s="5">
        <f t="shared" si="43"/>
        <v>44555</v>
      </c>
      <c r="H406" s="6">
        <v>0.123</v>
      </c>
      <c r="I406" s="7">
        <v>6</v>
      </c>
      <c r="J406" s="8">
        <f t="shared" si="44"/>
        <v>1.025E-2</v>
      </c>
      <c r="K406" s="5">
        <f t="shared" si="45"/>
        <v>7694.49889118584</v>
      </c>
      <c r="L406" s="5">
        <f t="shared" si="46"/>
        <v>46166.993347115043</v>
      </c>
      <c r="M406" s="5">
        <f t="shared" si="47"/>
        <v>1611.9933471150434</v>
      </c>
      <c r="N406" s="5">
        <v>499</v>
      </c>
      <c r="O406" s="5">
        <v>1448.0375000000001</v>
      </c>
      <c r="P406" s="2" t="s">
        <v>23</v>
      </c>
      <c r="Q406" s="5">
        <v>0</v>
      </c>
      <c r="R406" s="5">
        <f t="shared" si="48"/>
        <v>662.9558471150433</v>
      </c>
      <c r="S406" s="2" t="s">
        <v>24</v>
      </c>
      <c r="T406" s="2" t="s">
        <v>52</v>
      </c>
    </row>
    <row r="407" spans="1:20" x14ac:dyDescent="0.3">
      <c r="A407" s="9" t="s">
        <v>853</v>
      </c>
      <c r="B407" s="9" t="s">
        <v>854</v>
      </c>
      <c r="C407" s="9" t="s">
        <v>28</v>
      </c>
      <c r="D407" s="10">
        <v>66500</v>
      </c>
      <c r="E407" s="11">
        <v>0.1</v>
      </c>
      <c r="F407" s="12">
        <f t="shared" si="42"/>
        <v>6650</v>
      </c>
      <c r="G407" s="12">
        <f t="shared" si="43"/>
        <v>59850</v>
      </c>
      <c r="H407" s="13">
        <v>0.1691</v>
      </c>
      <c r="I407" s="14">
        <v>9</v>
      </c>
      <c r="J407" s="15">
        <f t="shared" si="44"/>
        <v>1.4091666666666667E-2</v>
      </c>
      <c r="K407" s="12">
        <f t="shared" si="45"/>
        <v>7127.2876215048409</v>
      </c>
      <c r="L407" s="12">
        <f t="shared" si="46"/>
        <v>64145.588593543565</v>
      </c>
      <c r="M407" s="12">
        <f t="shared" si="47"/>
        <v>4295.5885935435654</v>
      </c>
      <c r="N407" s="12">
        <v>598.5</v>
      </c>
      <c r="O407" s="12">
        <v>2917.6875</v>
      </c>
      <c r="P407" s="9" t="s">
        <v>23</v>
      </c>
      <c r="Q407" s="12">
        <v>0</v>
      </c>
      <c r="R407" s="12">
        <f t="shared" si="48"/>
        <v>1976.4010935435654</v>
      </c>
      <c r="S407" s="9" t="s">
        <v>58</v>
      </c>
      <c r="T407" s="9" t="s">
        <v>46</v>
      </c>
    </row>
    <row r="408" spans="1:20" x14ac:dyDescent="0.3">
      <c r="A408" s="2" t="s">
        <v>855</v>
      </c>
      <c r="B408" s="2" t="s">
        <v>856</v>
      </c>
      <c r="C408" s="2" t="s">
        <v>67</v>
      </c>
      <c r="D408" s="3">
        <v>73700</v>
      </c>
      <c r="E408" s="4">
        <v>0.15</v>
      </c>
      <c r="F408" s="5">
        <f t="shared" si="42"/>
        <v>11055</v>
      </c>
      <c r="G408" s="5">
        <f t="shared" si="43"/>
        <v>62645</v>
      </c>
      <c r="H408" s="6">
        <v>0.21340000000000001</v>
      </c>
      <c r="I408" s="7">
        <v>3</v>
      </c>
      <c r="J408" s="8">
        <f t="shared" si="44"/>
        <v>1.7783333333333335E-2</v>
      </c>
      <c r="K408" s="5">
        <f t="shared" si="45"/>
        <v>21628.721539678027</v>
      </c>
      <c r="L408" s="5">
        <f t="shared" si="46"/>
        <v>64886.164619034083</v>
      </c>
      <c r="M408" s="5">
        <f t="shared" si="47"/>
        <v>2241.1646190340834</v>
      </c>
      <c r="N408" s="5">
        <v>626.45000000000005</v>
      </c>
      <c r="O408" s="5">
        <v>1017.98125</v>
      </c>
      <c r="P408" s="2" t="s">
        <v>23</v>
      </c>
      <c r="Q408" s="5">
        <v>0</v>
      </c>
      <c r="R408" s="5">
        <f t="shared" si="48"/>
        <v>1849.6333690340832</v>
      </c>
      <c r="S408" s="2" t="s">
        <v>24</v>
      </c>
      <c r="T408" s="2" t="s">
        <v>38</v>
      </c>
    </row>
    <row r="409" spans="1:20" x14ac:dyDescent="0.3">
      <c r="A409" s="9" t="s">
        <v>857</v>
      </c>
      <c r="B409" s="9" t="s">
        <v>858</v>
      </c>
      <c r="C409" s="9" t="s">
        <v>22</v>
      </c>
      <c r="D409" s="10">
        <v>218900</v>
      </c>
      <c r="E409" s="11">
        <v>0.15</v>
      </c>
      <c r="F409" s="12">
        <f t="shared" si="42"/>
        <v>32835</v>
      </c>
      <c r="G409" s="12">
        <f t="shared" si="43"/>
        <v>186065</v>
      </c>
      <c r="H409" s="13">
        <v>0.1469</v>
      </c>
      <c r="I409" s="14">
        <v>36</v>
      </c>
      <c r="J409" s="15">
        <f t="shared" si="44"/>
        <v>1.2241666666666666E-2</v>
      </c>
      <c r="K409" s="12">
        <f t="shared" si="45"/>
        <v>6421.7939631226272</v>
      </c>
      <c r="L409" s="12">
        <f t="shared" si="46"/>
        <v>231184.58267241457</v>
      </c>
      <c r="M409" s="12">
        <f t="shared" si="47"/>
        <v>45119.582672414574</v>
      </c>
      <c r="N409" s="12">
        <v>1860.65</v>
      </c>
      <c r="O409" s="12">
        <v>36282.675000000003</v>
      </c>
      <c r="P409" s="9" t="s">
        <v>37</v>
      </c>
      <c r="Q409" s="12">
        <v>0</v>
      </c>
      <c r="R409" s="12">
        <f t="shared" si="48"/>
        <v>10697.557672414572</v>
      </c>
      <c r="S409" s="9" t="s">
        <v>30</v>
      </c>
      <c r="T409" s="9" t="s">
        <v>31</v>
      </c>
    </row>
    <row r="410" spans="1:20" x14ac:dyDescent="0.3">
      <c r="A410" s="2" t="s">
        <v>859</v>
      </c>
      <c r="B410" s="2" t="s">
        <v>860</v>
      </c>
      <c r="C410" s="2" t="s">
        <v>41</v>
      </c>
      <c r="D410" s="3">
        <v>1271000</v>
      </c>
      <c r="E410" s="4">
        <v>0.15</v>
      </c>
      <c r="F410" s="5">
        <f t="shared" si="42"/>
        <v>190650</v>
      </c>
      <c r="G410" s="5">
        <f t="shared" si="43"/>
        <v>1080350</v>
      </c>
      <c r="H410" s="6">
        <v>0.1138</v>
      </c>
      <c r="I410" s="7">
        <v>60</v>
      </c>
      <c r="J410" s="8">
        <f t="shared" si="44"/>
        <v>9.4833333333333332E-3</v>
      </c>
      <c r="K410" s="5">
        <f t="shared" si="45"/>
        <v>23694.681196563499</v>
      </c>
      <c r="L410" s="5">
        <f t="shared" si="46"/>
        <v>1421680.8717938098</v>
      </c>
      <c r="M410" s="5">
        <f t="shared" si="47"/>
        <v>341330.87179380981</v>
      </c>
      <c r="N410" s="5">
        <v>10803.5</v>
      </c>
      <c r="O410" s="5">
        <v>351113.75</v>
      </c>
      <c r="P410" s="2" t="s">
        <v>23</v>
      </c>
      <c r="Q410" s="5">
        <v>0</v>
      </c>
      <c r="R410" s="5">
        <f t="shared" si="48"/>
        <v>1020.6217938098125</v>
      </c>
      <c r="S410" s="2" t="s">
        <v>58</v>
      </c>
      <c r="T410" s="2" t="s">
        <v>55</v>
      </c>
    </row>
    <row r="411" spans="1:20" x14ac:dyDescent="0.3">
      <c r="A411" s="9" t="s">
        <v>861</v>
      </c>
      <c r="B411" s="9" t="s">
        <v>862</v>
      </c>
      <c r="C411" s="9" t="s">
        <v>22</v>
      </c>
      <c r="D411" s="10">
        <v>255500</v>
      </c>
      <c r="E411" s="11">
        <v>0.1</v>
      </c>
      <c r="F411" s="12">
        <f t="shared" si="42"/>
        <v>25550</v>
      </c>
      <c r="G411" s="12">
        <f t="shared" si="43"/>
        <v>229950</v>
      </c>
      <c r="H411" s="13">
        <v>0.1303</v>
      </c>
      <c r="I411" s="14">
        <v>36</v>
      </c>
      <c r="J411" s="15">
        <f t="shared" si="44"/>
        <v>1.0858333333333333E-2</v>
      </c>
      <c r="K411" s="12">
        <f t="shared" si="45"/>
        <v>7751.2474284467326</v>
      </c>
      <c r="L411" s="12">
        <f t="shared" si="46"/>
        <v>279044.9074240824</v>
      </c>
      <c r="M411" s="12">
        <f t="shared" si="47"/>
        <v>49094.907424082397</v>
      </c>
      <c r="N411" s="12">
        <v>2299.5</v>
      </c>
      <c r="O411" s="12">
        <v>44840.25</v>
      </c>
      <c r="P411" s="9" t="s">
        <v>37</v>
      </c>
      <c r="Q411" s="12">
        <v>0</v>
      </c>
      <c r="R411" s="12">
        <f t="shared" si="48"/>
        <v>6554.1574240823975</v>
      </c>
      <c r="S411" s="9" t="s">
        <v>24</v>
      </c>
      <c r="T411" s="9" t="s">
        <v>31</v>
      </c>
    </row>
    <row r="412" spans="1:20" x14ac:dyDescent="0.3">
      <c r="A412" s="2" t="s">
        <v>863</v>
      </c>
      <c r="B412" s="2" t="s">
        <v>864</v>
      </c>
      <c r="C412" s="2" t="s">
        <v>41</v>
      </c>
      <c r="D412" s="3">
        <v>830800</v>
      </c>
      <c r="E412" s="4">
        <v>0.1</v>
      </c>
      <c r="F412" s="5">
        <f t="shared" si="42"/>
        <v>83080</v>
      </c>
      <c r="G412" s="5">
        <f t="shared" si="43"/>
        <v>747720</v>
      </c>
      <c r="H412" s="6">
        <v>0.1148</v>
      </c>
      <c r="I412" s="7">
        <v>84</v>
      </c>
      <c r="J412" s="8">
        <f t="shared" si="44"/>
        <v>9.566666666666666E-3</v>
      </c>
      <c r="K412" s="5">
        <f t="shared" si="45"/>
        <v>12992.275496758231</v>
      </c>
      <c r="L412" s="5">
        <f t="shared" si="46"/>
        <v>1091351.1417276915</v>
      </c>
      <c r="M412" s="5">
        <f t="shared" si="47"/>
        <v>343631.14172769152</v>
      </c>
      <c r="N412" s="5">
        <v>7477.2</v>
      </c>
      <c r="O412" s="5">
        <v>340212.60000000003</v>
      </c>
      <c r="P412" s="2" t="s">
        <v>37</v>
      </c>
      <c r="Q412" s="5">
        <v>0</v>
      </c>
      <c r="R412" s="5">
        <f t="shared" si="48"/>
        <v>10895.741727691493</v>
      </c>
      <c r="S412" s="2" t="s">
        <v>58</v>
      </c>
      <c r="T412" s="2" t="s">
        <v>25</v>
      </c>
    </row>
    <row r="413" spans="1:20" x14ac:dyDescent="0.3">
      <c r="A413" s="9" t="s">
        <v>865</v>
      </c>
      <c r="B413" s="9" t="s">
        <v>866</v>
      </c>
      <c r="C413" s="9" t="s">
        <v>67</v>
      </c>
      <c r="D413" s="10">
        <v>71300</v>
      </c>
      <c r="E413" s="11">
        <v>0.05</v>
      </c>
      <c r="F413" s="12">
        <f t="shared" si="42"/>
        <v>3565</v>
      </c>
      <c r="G413" s="12">
        <f t="shared" si="43"/>
        <v>67735</v>
      </c>
      <c r="H413" s="13">
        <v>0.21490000000000001</v>
      </c>
      <c r="I413" s="14">
        <v>6</v>
      </c>
      <c r="J413" s="15">
        <f t="shared" si="44"/>
        <v>1.7908333333333335E-2</v>
      </c>
      <c r="K413" s="12">
        <f t="shared" si="45"/>
        <v>12007.226632710182</v>
      </c>
      <c r="L413" s="12">
        <f t="shared" si="46"/>
        <v>72043.359796261095</v>
      </c>
      <c r="M413" s="12">
        <f t="shared" si="47"/>
        <v>4308.3597962610947</v>
      </c>
      <c r="N413" s="12">
        <v>677.35</v>
      </c>
      <c r="O413" s="12">
        <v>2201.3875000000003</v>
      </c>
      <c r="P413" s="9" t="s">
        <v>23</v>
      </c>
      <c r="Q413" s="12">
        <v>0</v>
      </c>
      <c r="R413" s="12">
        <f t="shared" si="48"/>
        <v>2784.3222962610948</v>
      </c>
      <c r="S413" s="9" t="s">
        <v>30</v>
      </c>
      <c r="T413" s="9" t="s">
        <v>38</v>
      </c>
    </row>
    <row r="414" spans="1:20" x14ac:dyDescent="0.3">
      <c r="A414" s="2" t="s">
        <v>867</v>
      </c>
      <c r="B414" s="2" t="s">
        <v>868</v>
      </c>
      <c r="C414" s="2" t="s">
        <v>41</v>
      </c>
      <c r="D414" s="3">
        <v>584700</v>
      </c>
      <c r="E414" s="4">
        <v>0.2</v>
      </c>
      <c r="F414" s="5">
        <f t="shared" si="42"/>
        <v>116940</v>
      </c>
      <c r="G414" s="5">
        <f t="shared" si="43"/>
        <v>467760</v>
      </c>
      <c r="H414" s="6">
        <v>0.1116</v>
      </c>
      <c r="I414" s="7">
        <v>36</v>
      </c>
      <c r="J414" s="8">
        <f t="shared" si="44"/>
        <v>9.300000000000001E-3</v>
      </c>
      <c r="K414" s="5">
        <f t="shared" si="45"/>
        <v>15349.328887612321</v>
      </c>
      <c r="L414" s="5">
        <f t="shared" si="46"/>
        <v>552575.83995404351</v>
      </c>
      <c r="M414" s="5">
        <f t="shared" si="47"/>
        <v>84815.839954043506</v>
      </c>
      <c r="N414" s="5">
        <v>4677.6000000000004</v>
      </c>
      <c r="O414" s="5">
        <v>91213.200000000012</v>
      </c>
      <c r="P414" s="2" t="s">
        <v>23</v>
      </c>
      <c r="Q414" s="5">
        <v>0</v>
      </c>
      <c r="R414" s="5">
        <f t="shared" si="48"/>
        <v>-1719.7600459565001</v>
      </c>
      <c r="S414" s="2" t="s">
        <v>58</v>
      </c>
      <c r="T414" s="2" t="s">
        <v>55</v>
      </c>
    </row>
    <row r="415" spans="1:20" x14ac:dyDescent="0.3">
      <c r="A415" s="9" t="s">
        <v>869</v>
      </c>
      <c r="B415" s="9" t="s">
        <v>870</v>
      </c>
      <c r="C415" s="9" t="s">
        <v>67</v>
      </c>
      <c r="D415" s="10">
        <v>15600</v>
      </c>
      <c r="E415" s="11">
        <v>0.2</v>
      </c>
      <c r="F415" s="12">
        <f t="shared" si="42"/>
        <v>3120</v>
      </c>
      <c r="G415" s="12">
        <f t="shared" si="43"/>
        <v>12480</v>
      </c>
      <c r="H415" s="13">
        <v>0.1605</v>
      </c>
      <c r="I415" s="14">
        <v>3</v>
      </c>
      <c r="J415" s="15">
        <f t="shared" si="44"/>
        <v>1.3375E-2</v>
      </c>
      <c r="K415" s="12">
        <f t="shared" si="45"/>
        <v>4271.7728202996395</v>
      </c>
      <c r="L415" s="12">
        <f t="shared" si="46"/>
        <v>12815.318460898918</v>
      </c>
      <c r="M415" s="12">
        <f t="shared" si="47"/>
        <v>335.31846089891769</v>
      </c>
      <c r="N415" s="12">
        <v>499</v>
      </c>
      <c r="O415" s="12">
        <v>202.8</v>
      </c>
      <c r="P415" s="9" t="s">
        <v>29</v>
      </c>
      <c r="Q415" s="12">
        <v>4992</v>
      </c>
      <c r="R415" s="12">
        <f t="shared" si="48"/>
        <v>-4360.4815391010825</v>
      </c>
      <c r="S415" s="9" t="s">
        <v>42</v>
      </c>
      <c r="T415" s="9" t="s">
        <v>97</v>
      </c>
    </row>
    <row r="416" spans="1:20" x14ac:dyDescent="0.3">
      <c r="A416" s="2" t="s">
        <v>871</v>
      </c>
      <c r="B416" s="2" t="s">
        <v>872</v>
      </c>
      <c r="C416" s="2" t="s">
        <v>22</v>
      </c>
      <c r="D416" s="3">
        <v>292600</v>
      </c>
      <c r="E416" s="4">
        <v>0.2</v>
      </c>
      <c r="F416" s="5">
        <f t="shared" si="42"/>
        <v>58520</v>
      </c>
      <c r="G416" s="5">
        <f t="shared" si="43"/>
        <v>234080</v>
      </c>
      <c r="H416" s="6">
        <v>0.17080000000000001</v>
      </c>
      <c r="I416" s="7">
        <v>48</v>
      </c>
      <c r="J416" s="8">
        <f t="shared" si="44"/>
        <v>1.4233333333333334E-2</v>
      </c>
      <c r="K416" s="5">
        <f t="shared" si="45"/>
        <v>6764.0805793740265</v>
      </c>
      <c r="L416" s="5">
        <f t="shared" si="46"/>
        <v>324675.86780995328</v>
      </c>
      <c r="M416" s="5">
        <f t="shared" si="47"/>
        <v>90595.867809953284</v>
      </c>
      <c r="N416" s="5">
        <v>2340.8000000000002</v>
      </c>
      <c r="O416" s="5">
        <v>60860.800000000003</v>
      </c>
      <c r="P416" s="2" t="s">
        <v>23</v>
      </c>
      <c r="Q416" s="5">
        <v>0</v>
      </c>
      <c r="R416" s="5">
        <f t="shared" si="48"/>
        <v>32075.867809953284</v>
      </c>
      <c r="S416" s="2" t="s">
        <v>42</v>
      </c>
      <c r="T416" s="2" t="s">
        <v>43</v>
      </c>
    </row>
    <row r="417" spans="1:20" x14ac:dyDescent="0.3">
      <c r="A417" s="9" t="s">
        <v>873</v>
      </c>
      <c r="B417" s="9" t="s">
        <v>874</v>
      </c>
      <c r="C417" s="9" t="s">
        <v>41</v>
      </c>
      <c r="D417" s="10">
        <v>1267600</v>
      </c>
      <c r="E417" s="11">
        <v>0.15</v>
      </c>
      <c r="F417" s="12">
        <f t="shared" si="42"/>
        <v>190140</v>
      </c>
      <c r="G417" s="12">
        <f t="shared" si="43"/>
        <v>1077460</v>
      </c>
      <c r="H417" s="13">
        <v>0.1023</v>
      </c>
      <c r="I417" s="14">
        <v>48</v>
      </c>
      <c r="J417" s="15">
        <f t="shared" si="44"/>
        <v>8.5249999999999996E-3</v>
      </c>
      <c r="K417" s="12">
        <f t="shared" si="45"/>
        <v>27446.335007260626</v>
      </c>
      <c r="L417" s="12">
        <f t="shared" si="46"/>
        <v>1317424.0803485101</v>
      </c>
      <c r="M417" s="12">
        <f t="shared" si="47"/>
        <v>239964.08034851006</v>
      </c>
      <c r="N417" s="12">
        <v>10774.6</v>
      </c>
      <c r="O417" s="12">
        <v>280139.60000000003</v>
      </c>
      <c r="P417" s="9" t="s">
        <v>23</v>
      </c>
      <c r="Q417" s="12">
        <v>0</v>
      </c>
      <c r="R417" s="12">
        <f t="shared" si="48"/>
        <v>-29400.919651489967</v>
      </c>
      <c r="S417" s="9" t="s">
        <v>24</v>
      </c>
      <c r="T417" s="9" t="s">
        <v>184</v>
      </c>
    </row>
    <row r="418" spans="1:20" x14ac:dyDescent="0.3">
      <c r="A418" s="2" t="s">
        <v>875</v>
      </c>
      <c r="B418" s="2" t="s">
        <v>876</v>
      </c>
      <c r="C418" s="2" t="s">
        <v>67</v>
      </c>
      <c r="D418" s="3">
        <v>37200</v>
      </c>
      <c r="E418" s="4">
        <v>0</v>
      </c>
      <c r="F418" s="5">
        <f t="shared" si="42"/>
        <v>0</v>
      </c>
      <c r="G418" s="5">
        <f t="shared" si="43"/>
        <v>37200</v>
      </c>
      <c r="H418" s="6">
        <v>0.1484</v>
      </c>
      <c r="I418" s="7">
        <v>9</v>
      </c>
      <c r="J418" s="8">
        <f t="shared" si="44"/>
        <v>1.2366666666666666E-2</v>
      </c>
      <c r="K418" s="5">
        <f t="shared" si="45"/>
        <v>4393.098595334397</v>
      </c>
      <c r="L418" s="5">
        <f t="shared" si="46"/>
        <v>39537.887358009575</v>
      </c>
      <c r="M418" s="5">
        <f t="shared" si="47"/>
        <v>2337.8873580095751</v>
      </c>
      <c r="N418" s="5">
        <v>499</v>
      </c>
      <c r="O418" s="5">
        <v>1813.5</v>
      </c>
      <c r="P418" s="2" t="s">
        <v>23</v>
      </c>
      <c r="Q418" s="5">
        <v>0</v>
      </c>
      <c r="R418" s="5">
        <f t="shared" si="48"/>
        <v>1023.3873580095751</v>
      </c>
      <c r="S418" s="2" t="s">
        <v>30</v>
      </c>
      <c r="T418" s="2" t="s">
        <v>31</v>
      </c>
    </row>
    <row r="419" spans="1:20" x14ac:dyDescent="0.3">
      <c r="A419" s="9" t="s">
        <v>877</v>
      </c>
      <c r="B419" s="9" t="s">
        <v>878</v>
      </c>
      <c r="C419" s="9" t="s">
        <v>67</v>
      </c>
      <c r="D419" s="10">
        <v>113500</v>
      </c>
      <c r="E419" s="11">
        <v>0.15</v>
      </c>
      <c r="F419" s="12">
        <f t="shared" si="42"/>
        <v>17025</v>
      </c>
      <c r="G419" s="12">
        <f t="shared" si="43"/>
        <v>96475</v>
      </c>
      <c r="H419" s="13">
        <v>0.21820000000000001</v>
      </c>
      <c r="I419" s="14">
        <v>9</v>
      </c>
      <c r="J419" s="15">
        <f t="shared" si="44"/>
        <v>1.8183333333333333E-2</v>
      </c>
      <c r="K419" s="12">
        <f t="shared" si="45"/>
        <v>11717.426024944591</v>
      </c>
      <c r="L419" s="12">
        <f t="shared" si="46"/>
        <v>105456.83422450132</v>
      </c>
      <c r="M419" s="12">
        <f t="shared" si="47"/>
        <v>8981.8342245013191</v>
      </c>
      <c r="N419" s="12">
        <v>964.75</v>
      </c>
      <c r="O419" s="12">
        <v>4703.15625</v>
      </c>
      <c r="P419" s="9" t="s">
        <v>23</v>
      </c>
      <c r="Q419" s="12">
        <v>0</v>
      </c>
      <c r="R419" s="12">
        <f t="shared" si="48"/>
        <v>5243.4279745013191</v>
      </c>
      <c r="S419" s="9" t="s">
        <v>42</v>
      </c>
      <c r="T419" s="9" t="s">
        <v>31</v>
      </c>
    </row>
    <row r="420" spans="1:20" x14ac:dyDescent="0.3">
      <c r="A420" s="2" t="s">
        <v>879</v>
      </c>
      <c r="B420" s="2" t="s">
        <v>880</v>
      </c>
      <c r="C420" s="2" t="s">
        <v>67</v>
      </c>
      <c r="D420" s="3">
        <v>113600</v>
      </c>
      <c r="E420" s="4">
        <v>0</v>
      </c>
      <c r="F420" s="5">
        <f t="shared" si="42"/>
        <v>0</v>
      </c>
      <c r="G420" s="5">
        <f t="shared" si="43"/>
        <v>113600</v>
      </c>
      <c r="H420" s="6">
        <v>0.1532</v>
      </c>
      <c r="I420" s="7">
        <v>12</v>
      </c>
      <c r="J420" s="8">
        <f t="shared" si="44"/>
        <v>1.2766666666666667E-2</v>
      </c>
      <c r="K420" s="5">
        <f t="shared" si="45"/>
        <v>10270.505572960943</v>
      </c>
      <c r="L420" s="5">
        <f t="shared" si="46"/>
        <v>123246.06687553131</v>
      </c>
      <c r="M420" s="5">
        <f t="shared" si="47"/>
        <v>9646.0668755313091</v>
      </c>
      <c r="N420" s="5">
        <v>1136</v>
      </c>
      <c r="O420" s="5">
        <v>7384</v>
      </c>
      <c r="P420" s="2" t="s">
        <v>29</v>
      </c>
      <c r="Q420" s="5">
        <v>45440</v>
      </c>
      <c r="R420" s="5">
        <f t="shared" si="48"/>
        <v>-42041.933124468691</v>
      </c>
      <c r="S420" s="2" t="s">
        <v>58</v>
      </c>
      <c r="T420" s="2" t="s">
        <v>55</v>
      </c>
    </row>
    <row r="421" spans="1:20" x14ac:dyDescent="0.3">
      <c r="A421" s="9" t="s">
        <v>881</v>
      </c>
      <c r="B421" s="9" t="s">
        <v>882</v>
      </c>
      <c r="C421" s="9" t="s">
        <v>41</v>
      </c>
      <c r="D421" s="10">
        <v>850200</v>
      </c>
      <c r="E421" s="11">
        <v>0.2</v>
      </c>
      <c r="F421" s="12">
        <f t="shared" si="42"/>
        <v>170040</v>
      </c>
      <c r="G421" s="12">
        <f t="shared" si="43"/>
        <v>680160</v>
      </c>
      <c r="H421" s="13">
        <v>0.1016</v>
      </c>
      <c r="I421" s="14">
        <v>84</v>
      </c>
      <c r="J421" s="15">
        <f t="shared" si="44"/>
        <v>8.4666666666666657E-3</v>
      </c>
      <c r="K421" s="12">
        <f t="shared" si="45"/>
        <v>11347.770626192931</v>
      </c>
      <c r="L421" s="12">
        <f t="shared" si="46"/>
        <v>953212.73260020616</v>
      </c>
      <c r="M421" s="12">
        <f t="shared" si="47"/>
        <v>273052.73260020616</v>
      </c>
      <c r="N421" s="12">
        <v>6801.6</v>
      </c>
      <c r="O421" s="12">
        <v>309472.8</v>
      </c>
      <c r="P421" s="9" t="s">
        <v>23</v>
      </c>
      <c r="Q421" s="12">
        <v>0</v>
      </c>
      <c r="R421" s="12">
        <f t="shared" si="48"/>
        <v>-29618.467399793852</v>
      </c>
      <c r="S421" s="9" t="s">
        <v>58</v>
      </c>
      <c r="T421" s="9" t="s">
        <v>55</v>
      </c>
    </row>
    <row r="422" spans="1:20" x14ac:dyDescent="0.3">
      <c r="A422" s="2" t="s">
        <v>883</v>
      </c>
      <c r="B422" s="2" t="s">
        <v>884</v>
      </c>
      <c r="C422" s="2" t="s">
        <v>67</v>
      </c>
      <c r="D422" s="3">
        <v>52000</v>
      </c>
      <c r="E422" s="4">
        <v>0</v>
      </c>
      <c r="F422" s="5">
        <f t="shared" si="42"/>
        <v>0</v>
      </c>
      <c r="G422" s="5">
        <f t="shared" si="43"/>
        <v>52000</v>
      </c>
      <c r="H422" s="6">
        <v>0.184</v>
      </c>
      <c r="I422" s="7">
        <v>12</v>
      </c>
      <c r="J422" s="8">
        <f t="shared" si="44"/>
        <v>1.5333333333333332E-2</v>
      </c>
      <c r="K422" s="5">
        <f t="shared" si="45"/>
        <v>4777.2642223375942</v>
      </c>
      <c r="L422" s="5">
        <f t="shared" si="46"/>
        <v>57327.170668051127</v>
      </c>
      <c r="M422" s="5">
        <f t="shared" si="47"/>
        <v>5327.170668051127</v>
      </c>
      <c r="N422" s="5">
        <v>520</v>
      </c>
      <c r="O422" s="5">
        <v>3380</v>
      </c>
      <c r="P422" s="2" t="s">
        <v>29</v>
      </c>
      <c r="Q422" s="5">
        <v>20800</v>
      </c>
      <c r="R422" s="5">
        <f t="shared" si="48"/>
        <v>-18332.829331948873</v>
      </c>
      <c r="S422" s="2" t="s">
        <v>24</v>
      </c>
      <c r="T422" s="2" t="s">
        <v>88</v>
      </c>
    </row>
    <row r="423" spans="1:20" x14ac:dyDescent="0.3">
      <c r="A423" s="9" t="s">
        <v>885</v>
      </c>
      <c r="B423" s="9" t="s">
        <v>886</v>
      </c>
      <c r="C423" s="9" t="s">
        <v>67</v>
      </c>
      <c r="D423" s="10">
        <v>100300</v>
      </c>
      <c r="E423" s="11">
        <v>0</v>
      </c>
      <c r="F423" s="12">
        <f t="shared" si="42"/>
        <v>0</v>
      </c>
      <c r="G423" s="12">
        <f t="shared" si="43"/>
        <v>100300</v>
      </c>
      <c r="H423" s="13">
        <v>0.19</v>
      </c>
      <c r="I423" s="14">
        <v>12</v>
      </c>
      <c r="J423" s="15">
        <f t="shared" si="44"/>
        <v>1.5833333333333335E-2</v>
      </c>
      <c r="K423" s="12">
        <f t="shared" si="45"/>
        <v>9243.3047959937703</v>
      </c>
      <c r="L423" s="12">
        <f t="shared" si="46"/>
        <v>110919.65755192525</v>
      </c>
      <c r="M423" s="12">
        <f t="shared" si="47"/>
        <v>10619.657551925251</v>
      </c>
      <c r="N423" s="12">
        <v>1003</v>
      </c>
      <c r="O423" s="12">
        <v>6519.5</v>
      </c>
      <c r="P423" s="9" t="s">
        <v>29</v>
      </c>
      <c r="Q423" s="12">
        <v>40120</v>
      </c>
      <c r="R423" s="12">
        <f t="shared" si="48"/>
        <v>-35016.842448074749</v>
      </c>
      <c r="S423" s="9" t="s">
        <v>30</v>
      </c>
      <c r="T423" s="9" t="s">
        <v>34</v>
      </c>
    </row>
    <row r="424" spans="1:20" x14ac:dyDescent="0.3">
      <c r="A424" s="2" t="s">
        <v>887</v>
      </c>
      <c r="B424" s="2" t="s">
        <v>888</v>
      </c>
      <c r="C424" s="2" t="s">
        <v>22</v>
      </c>
      <c r="D424" s="3">
        <v>294500</v>
      </c>
      <c r="E424" s="4">
        <v>0.15</v>
      </c>
      <c r="F424" s="5">
        <f t="shared" si="42"/>
        <v>44175</v>
      </c>
      <c r="G424" s="5">
        <f t="shared" si="43"/>
        <v>250325</v>
      </c>
      <c r="H424" s="6">
        <v>0.13789999999999999</v>
      </c>
      <c r="I424" s="7">
        <v>12</v>
      </c>
      <c r="J424" s="8">
        <f t="shared" si="44"/>
        <v>1.1491666666666666E-2</v>
      </c>
      <c r="K424" s="5">
        <f t="shared" si="45"/>
        <v>22451.233341666917</v>
      </c>
      <c r="L424" s="5">
        <f t="shared" si="46"/>
        <v>269414.80010000302</v>
      </c>
      <c r="M424" s="5">
        <f t="shared" si="47"/>
        <v>19089.80010000302</v>
      </c>
      <c r="N424" s="5">
        <v>2503.25</v>
      </c>
      <c r="O424" s="5">
        <v>16271.125</v>
      </c>
      <c r="P424" s="2" t="s">
        <v>23</v>
      </c>
      <c r="Q424" s="5">
        <v>0</v>
      </c>
      <c r="R424" s="5">
        <f t="shared" si="48"/>
        <v>5321.9251000030199</v>
      </c>
      <c r="S424" s="2" t="s">
        <v>42</v>
      </c>
      <c r="T424" s="2" t="s">
        <v>97</v>
      </c>
    </row>
    <row r="425" spans="1:20" x14ac:dyDescent="0.3">
      <c r="A425" s="9" t="s">
        <v>889</v>
      </c>
      <c r="B425" s="9" t="s">
        <v>890</v>
      </c>
      <c r="C425" s="9" t="s">
        <v>41</v>
      </c>
      <c r="D425" s="10">
        <v>691500</v>
      </c>
      <c r="E425" s="11">
        <v>0.15</v>
      </c>
      <c r="F425" s="12">
        <f t="shared" si="42"/>
        <v>103725</v>
      </c>
      <c r="G425" s="12">
        <f t="shared" si="43"/>
        <v>587775</v>
      </c>
      <c r="H425" s="13">
        <v>0.1043</v>
      </c>
      <c r="I425" s="14">
        <v>72</v>
      </c>
      <c r="J425" s="15">
        <f t="shared" si="44"/>
        <v>8.691666666666667E-3</v>
      </c>
      <c r="K425" s="12">
        <f t="shared" si="45"/>
        <v>11016.90914190446</v>
      </c>
      <c r="L425" s="12">
        <f t="shared" si="46"/>
        <v>793217.45821712108</v>
      </c>
      <c r="M425" s="12">
        <f t="shared" si="47"/>
        <v>205442.45821712108</v>
      </c>
      <c r="N425" s="12">
        <v>5877.75</v>
      </c>
      <c r="O425" s="12">
        <v>229232.25</v>
      </c>
      <c r="P425" s="9" t="s">
        <v>23</v>
      </c>
      <c r="Q425" s="12">
        <v>0</v>
      </c>
      <c r="R425" s="12">
        <f t="shared" si="48"/>
        <v>-17912.041782878921</v>
      </c>
      <c r="S425" s="9" t="s">
        <v>42</v>
      </c>
      <c r="T425" s="9" t="s">
        <v>38</v>
      </c>
    </row>
    <row r="426" spans="1:20" x14ac:dyDescent="0.3">
      <c r="A426" s="2" t="s">
        <v>891</v>
      </c>
      <c r="B426" s="2" t="s">
        <v>892</v>
      </c>
      <c r="C426" s="2" t="s">
        <v>67</v>
      </c>
      <c r="D426" s="3">
        <v>13000</v>
      </c>
      <c r="E426" s="4">
        <v>0</v>
      </c>
      <c r="F426" s="5">
        <f t="shared" si="42"/>
        <v>0</v>
      </c>
      <c r="G426" s="5">
        <f t="shared" si="43"/>
        <v>13000</v>
      </c>
      <c r="H426" s="6">
        <v>0.17519999999999999</v>
      </c>
      <c r="I426" s="7">
        <v>9</v>
      </c>
      <c r="J426" s="8">
        <f t="shared" si="44"/>
        <v>1.46E-2</v>
      </c>
      <c r="K426" s="5">
        <f t="shared" si="45"/>
        <v>1551.9261157886197</v>
      </c>
      <c r="L426" s="5">
        <f t="shared" si="46"/>
        <v>13967.335042097577</v>
      </c>
      <c r="M426" s="5">
        <f t="shared" si="47"/>
        <v>967.33504209757666</v>
      </c>
      <c r="N426" s="5">
        <v>499</v>
      </c>
      <c r="O426" s="5">
        <v>633.75</v>
      </c>
      <c r="P426" s="2" t="s">
        <v>23</v>
      </c>
      <c r="Q426" s="5">
        <v>0</v>
      </c>
      <c r="R426" s="5">
        <f t="shared" si="48"/>
        <v>832.58504209757666</v>
      </c>
      <c r="S426" s="2" t="s">
        <v>24</v>
      </c>
      <c r="T426" s="2" t="s">
        <v>34</v>
      </c>
    </row>
    <row r="427" spans="1:20" x14ac:dyDescent="0.3">
      <c r="A427" s="9" t="s">
        <v>893</v>
      </c>
      <c r="B427" s="9" t="s">
        <v>894</v>
      </c>
      <c r="C427" s="9" t="s">
        <v>22</v>
      </c>
      <c r="D427" s="10">
        <v>220200</v>
      </c>
      <c r="E427" s="11">
        <v>0.25</v>
      </c>
      <c r="F427" s="12">
        <f t="shared" si="42"/>
        <v>55050</v>
      </c>
      <c r="G427" s="12">
        <f t="shared" si="43"/>
        <v>165150</v>
      </c>
      <c r="H427" s="13">
        <v>0.1069</v>
      </c>
      <c r="I427" s="14">
        <v>36</v>
      </c>
      <c r="J427" s="15">
        <f t="shared" si="44"/>
        <v>8.9083333333333323E-3</v>
      </c>
      <c r="K427" s="12">
        <f t="shared" si="45"/>
        <v>5382.5865907727621</v>
      </c>
      <c r="L427" s="12">
        <f t="shared" si="46"/>
        <v>193773.11726781944</v>
      </c>
      <c r="M427" s="12">
        <f t="shared" si="47"/>
        <v>28623.117267819442</v>
      </c>
      <c r="N427" s="12">
        <v>1651.5</v>
      </c>
      <c r="O427" s="12">
        <v>32204.25</v>
      </c>
      <c r="P427" s="9" t="s">
        <v>23</v>
      </c>
      <c r="Q427" s="12">
        <v>0</v>
      </c>
      <c r="R427" s="12">
        <f t="shared" si="48"/>
        <v>-1929.6327321805584</v>
      </c>
      <c r="S427" s="9" t="s">
        <v>30</v>
      </c>
      <c r="T427" s="9" t="s">
        <v>52</v>
      </c>
    </row>
    <row r="428" spans="1:20" x14ac:dyDescent="0.3">
      <c r="A428" s="2" t="s">
        <v>895</v>
      </c>
      <c r="B428" s="2" t="s">
        <v>896</v>
      </c>
      <c r="C428" s="2" t="s">
        <v>67</v>
      </c>
      <c r="D428" s="3">
        <v>51400</v>
      </c>
      <c r="E428" s="4">
        <v>0.2</v>
      </c>
      <c r="F428" s="5">
        <f t="shared" si="42"/>
        <v>10280</v>
      </c>
      <c r="G428" s="5">
        <f t="shared" si="43"/>
        <v>41120</v>
      </c>
      <c r="H428" s="6">
        <v>0.18179999999999999</v>
      </c>
      <c r="I428" s="7">
        <v>18</v>
      </c>
      <c r="J428" s="8">
        <f t="shared" si="44"/>
        <v>1.5149999999999999E-2</v>
      </c>
      <c r="K428" s="5">
        <f t="shared" si="45"/>
        <v>2627.2233997908638</v>
      </c>
      <c r="L428" s="5">
        <f t="shared" si="46"/>
        <v>47290.021196235546</v>
      </c>
      <c r="M428" s="5">
        <f t="shared" si="47"/>
        <v>6170.0211962355461</v>
      </c>
      <c r="N428" s="5">
        <v>499</v>
      </c>
      <c r="O428" s="5">
        <v>4009.2000000000003</v>
      </c>
      <c r="P428" s="2" t="s">
        <v>23</v>
      </c>
      <c r="Q428" s="5">
        <v>0</v>
      </c>
      <c r="R428" s="5">
        <f t="shared" si="48"/>
        <v>2659.8211962355458</v>
      </c>
      <c r="S428" s="2" t="s">
        <v>42</v>
      </c>
      <c r="T428" s="2" t="s">
        <v>25</v>
      </c>
    </row>
    <row r="429" spans="1:20" x14ac:dyDescent="0.3">
      <c r="A429" s="9" t="s">
        <v>897</v>
      </c>
      <c r="B429" s="9" t="s">
        <v>898</v>
      </c>
      <c r="C429" s="9" t="s">
        <v>41</v>
      </c>
      <c r="D429" s="10">
        <v>923900</v>
      </c>
      <c r="E429" s="11">
        <v>0.3</v>
      </c>
      <c r="F429" s="12">
        <f t="shared" si="42"/>
        <v>277170</v>
      </c>
      <c r="G429" s="12">
        <f t="shared" si="43"/>
        <v>646730</v>
      </c>
      <c r="H429" s="13">
        <v>8.7400000000000005E-2</v>
      </c>
      <c r="I429" s="14">
        <v>36</v>
      </c>
      <c r="J429" s="15">
        <f t="shared" si="44"/>
        <v>7.2833333333333335E-3</v>
      </c>
      <c r="K429" s="12">
        <f t="shared" si="45"/>
        <v>20487.671403919601</v>
      </c>
      <c r="L429" s="12">
        <f t="shared" si="46"/>
        <v>737556.17054110568</v>
      </c>
      <c r="M429" s="12">
        <f t="shared" si="47"/>
        <v>90826.170541105676</v>
      </c>
      <c r="N429" s="12">
        <v>6467.3</v>
      </c>
      <c r="O429" s="12">
        <v>126112.35</v>
      </c>
      <c r="P429" s="9" t="s">
        <v>23</v>
      </c>
      <c r="Q429" s="12">
        <v>0</v>
      </c>
      <c r="R429" s="12">
        <f t="shared" si="48"/>
        <v>-28818.879458894327</v>
      </c>
      <c r="S429" s="9" t="s">
        <v>30</v>
      </c>
      <c r="T429" s="9" t="s">
        <v>43</v>
      </c>
    </row>
    <row r="430" spans="1:20" x14ac:dyDescent="0.3">
      <c r="A430" s="2" t="s">
        <v>899</v>
      </c>
      <c r="B430" s="2" t="s">
        <v>900</v>
      </c>
      <c r="C430" s="2" t="s">
        <v>41</v>
      </c>
      <c r="D430" s="3">
        <v>893900</v>
      </c>
      <c r="E430" s="4">
        <v>0.15</v>
      </c>
      <c r="F430" s="5">
        <f t="shared" si="42"/>
        <v>134085</v>
      </c>
      <c r="G430" s="5">
        <f t="shared" si="43"/>
        <v>759815</v>
      </c>
      <c r="H430" s="6">
        <v>0.1135</v>
      </c>
      <c r="I430" s="7">
        <v>48</v>
      </c>
      <c r="J430" s="8">
        <f t="shared" si="44"/>
        <v>9.4583333333333342E-3</v>
      </c>
      <c r="K430" s="5">
        <f t="shared" si="45"/>
        <v>19767.211903578893</v>
      </c>
      <c r="L430" s="5">
        <f t="shared" si="46"/>
        <v>948826.17137178686</v>
      </c>
      <c r="M430" s="5">
        <f t="shared" si="47"/>
        <v>189011.17137178686</v>
      </c>
      <c r="N430" s="5">
        <v>7598.1500000000005</v>
      </c>
      <c r="O430" s="5">
        <v>197551.9</v>
      </c>
      <c r="P430" s="2" t="s">
        <v>23</v>
      </c>
      <c r="Q430" s="5">
        <v>0</v>
      </c>
      <c r="R430" s="5">
        <f t="shared" si="48"/>
        <v>-942.57862821314484</v>
      </c>
      <c r="S430" s="2" t="s">
        <v>30</v>
      </c>
      <c r="T430" s="2" t="s">
        <v>46</v>
      </c>
    </row>
    <row r="431" spans="1:20" x14ac:dyDescent="0.3">
      <c r="A431" s="9" t="s">
        <v>901</v>
      </c>
      <c r="B431" s="9" t="s">
        <v>902</v>
      </c>
      <c r="C431" s="9" t="s">
        <v>28</v>
      </c>
      <c r="D431" s="10">
        <v>148500</v>
      </c>
      <c r="E431" s="11">
        <v>0.05</v>
      </c>
      <c r="F431" s="12">
        <f t="shared" si="42"/>
        <v>7425</v>
      </c>
      <c r="G431" s="12">
        <f t="shared" si="43"/>
        <v>141075</v>
      </c>
      <c r="H431" s="13">
        <v>0.15479999999999999</v>
      </c>
      <c r="I431" s="14">
        <v>36</v>
      </c>
      <c r="J431" s="15">
        <f t="shared" si="44"/>
        <v>1.29E-2</v>
      </c>
      <c r="K431" s="12">
        <f t="shared" si="45"/>
        <v>4923.6370917579889</v>
      </c>
      <c r="L431" s="12">
        <f t="shared" si="46"/>
        <v>177250.93530328761</v>
      </c>
      <c r="M431" s="12">
        <f t="shared" si="47"/>
        <v>36175.93530328761</v>
      </c>
      <c r="N431" s="12">
        <v>1410.75</v>
      </c>
      <c r="O431" s="12">
        <v>27509.625</v>
      </c>
      <c r="P431" s="9" t="s">
        <v>23</v>
      </c>
      <c r="Q431" s="12">
        <v>0</v>
      </c>
      <c r="R431" s="12">
        <f t="shared" si="48"/>
        <v>10077.06030328761</v>
      </c>
      <c r="S431" s="9" t="s">
        <v>58</v>
      </c>
      <c r="T431" s="9" t="s">
        <v>38</v>
      </c>
    </row>
    <row r="432" spans="1:20" x14ac:dyDescent="0.3">
      <c r="A432" s="2" t="s">
        <v>903</v>
      </c>
      <c r="B432" s="2" t="s">
        <v>904</v>
      </c>
      <c r="C432" s="2" t="s">
        <v>41</v>
      </c>
      <c r="D432" s="3">
        <v>1405600</v>
      </c>
      <c r="E432" s="4">
        <v>0.3</v>
      </c>
      <c r="F432" s="5">
        <f t="shared" si="42"/>
        <v>421680</v>
      </c>
      <c r="G432" s="5">
        <f t="shared" si="43"/>
        <v>983920</v>
      </c>
      <c r="H432" s="6">
        <v>8.6999999999999994E-2</v>
      </c>
      <c r="I432" s="7">
        <v>72</v>
      </c>
      <c r="J432" s="8">
        <f t="shared" si="44"/>
        <v>7.2499999999999995E-3</v>
      </c>
      <c r="K432" s="5">
        <f t="shared" si="45"/>
        <v>17589.542780245949</v>
      </c>
      <c r="L432" s="5">
        <f t="shared" si="46"/>
        <v>1266447.0801777083</v>
      </c>
      <c r="M432" s="5">
        <f t="shared" si="47"/>
        <v>282527.0801777083</v>
      </c>
      <c r="N432" s="5">
        <v>9839.2000000000007</v>
      </c>
      <c r="O432" s="5">
        <v>383728.80000000005</v>
      </c>
      <c r="P432" s="2" t="s">
        <v>23</v>
      </c>
      <c r="Q432" s="5">
        <v>0</v>
      </c>
      <c r="R432" s="5">
        <f t="shared" si="48"/>
        <v>-91362.519822291739</v>
      </c>
      <c r="S432" s="2" t="s">
        <v>58</v>
      </c>
      <c r="T432" s="2" t="s">
        <v>184</v>
      </c>
    </row>
    <row r="433" spans="1:20" x14ac:dyDescent="0.3">
      <c r="A433" s="9" t="s">
        <v>905</v>
      </c>
      <c r="B433" s="9" t="s">
        <v>906</v>
      </c>
      <c r="C433" s="9" t="s">
        <v>28</v>
      </c>
      <c r="D433" s="10">
        <v>139600</v>
      </c>
      <c r="E433" s="11">
        <v>0.2</v>
      </c>
      <c r="F433" s="12">
        <f t="shared" si="42"/>
        <v>27920</v>
      </c>
      <c r="G433" s="12">
        <f t="shared" si="43"/>
        <v>111680</v>
      </c>
      <c r="H433" s="13">
        <v>0.121</v>
      </c>
      <c r="I433" s="14">
        <v>36</v>
      </c>
      <c r="J433" s="15">
        <f t="shared" si="44"/>
        <v>1.0083333333333333E-2</v>
      </c>
      <c r="K433" s="12">
        <f t="shared" si="45"/>
        <v>3714.7104378442982</v>
      </c>
      <c r="L433" s="12">
        <f t="shared" si="46"/>
        <v>133729.57576239473</v>
      </c>
      <c r="M433" s="12">
        <f t="shared" si="47"/>
        <v>22049.575762394728</v>
      </c>
      <c r="N433" s="12">
        <v>1116.8</v>
      </c>
      <c r="O433" s="12">
        <v>21777.599999999999</v>
      </c>
      <c r="P433" s="9" t="s">
        <v>23</v>
      </c>
      <c r="Q433" s="12">
        <v>0</v>
      </c>
      <c r="R433" s="12">
        <f t="shared" si="48"/>
        <v>1388.7757623947291</v>
      </c>
      <c r="S433" s="9" t="s">
        <v>42</v>
      </c>
      <c r="T433" s="9" t="s">
        <v>43</v>
      </c>
    </row>
    <row r="434" spans="1:20" x14ac:dyDescent="0.3">
      <c r="A434" s="2" t="s">
        <v>907</v>
      </c>
      <c r="B434" s="2" t="s">
        <v>908</v>
      </c>
      <c r="C434" s="2" t="s">
        <v>28</v>
      </c>
      <c r="D434" s="3">
        <v>43500</v>
      </c>
      <c r="E434" s="4">
        <v>0</v>
      </c>
      <c r="F434" s="5">
        <f t="shared" si="42"/>
        <v>0</v>
      </c>
      <c r="G434" s="5">
        <f t="shared" si="43"/>
        <v>43500</v>
      </c>
      <c r="H434" s="6">
        <v>0.16700000000000001</v>
      </c>
      <c r="I434" s="7">
        <v>6</v>
      </c>
      <c r="J434" s="8">
        <f t="shared" si="44"/>
        <v>1.3916666666666667E-2</v>
      </c>
      <c r="K434" s="5">
        <f t="shared" si="45"/>
        <v>7607.2020921453623</v>
      </c>
      <c r="L434" s="5">
        <f t="shared" si="46"/>
        <v>45643.212552872174</v>
      </c>
      <c r="M434" s="5">
        <f t="shared" si="47"/>
        <v>2143.2125528721735</v>
      </c>
      <c r="N434" s="5">
        <v>499</v>
      </c>
      <c r="O434" s="5">
        <v>1413.75</v>
      </c>
      <c r="P434" s="2" t="s">
        <v>23</v>
      </c>
      <c r="Q434" s="5">
        <v>0</v>
      </c>
      <c r="R434" s="5">
        <f t="shared" si="48"/>
        <v>1228.4625528721735</v>
      </c>
      <c r="S434" s="2" t="s">
        <v>24</v>
      </c>
      <c r="T434" s="2" t="s">
        <v>184</v>
      </c>
    </row>
    <row r="435" spans="1:20" x14ac:dyDescent="0.3">
      <c r="A435" s="9" t="s">
        <v>909</v>
      </c>
      <c r="B435" s="9" t="s">
        <v>910</v>
      </c>
      <c r="C435" s="9" t="s">
        <v>41</v>
      </c>
      <c r="D435" s="10">
        <v>1368100</v>
      </c>
      <c r="E435" s="11">
        <v>0.25</v>
      </c>
      <c r="F435" s="12">
        <f t="shared" si="42"/>
        <v>342025</v>
      </c>
      <c r="G435" s="12">
        <f t="shared" si="43"/>
        <v>1026075</v>
      </c>
      <c r="H435" s="13">
        <v>0.1113</v>
      </c>
      <c r="I435" s="14">
        <v>60</v>
      </c>
      <c r="J435" s="15">
        <f t="shared" si="44"/>
        <v>9.2750000000000003E-3</v>
      </c>
      <c r="K435" s="12">
        <f t="shared" si="45"/>
        <v>22375.937011589263</v>
      </c>
      <c r="L435" s="12">
        <f t="shared" si="46"/>
        <v>1342556.2206953559</v>
      </c>
      <c r="M435" s="12">
        <f t="shared" si="47"/>
        <v>316481.22069535591</v>
      </c>
      <c r="N435" s="12">
        <v>10260.75</v>
      </c>
      <c r="O435" s="12">
        <v>333474.375</v>
      </c>
      <c r="P435" s="9" t="s">
        <v>23</v>
      </c>
      <c r="Q435" s="12">
        <v>0</v>
      </c>
      <c r="R435" s="12">
        <f t="shared" si="48"/>
        <v>-6732.4043046440929</v>
      </c>
      <c r="S435" s="9" t="s">
        <v>42</v>
      </c>
      <c r="T435" s="9" t="s">
        <v>46</v>
      </c>
    </row>
    <row r="436" spans="1:20" x14ac:dyDescent="0.3">
      <c r="A436" s="2" t="s">
        <v>911</v>
      </c>
      <c r="B436" s="2" t="s">
        <v>912</v>
      </c>
      <c r="C436" s="2" t="s">
        <v>67</v>
      </c>
      <c r="D436" s="3">
        <v>53100</v>
      </c>
      <c r="E436" s="4">
        <v>0.2</v>
      </c>
      <c r="F436" s="5">
        <f t="shared" si="42"/>
        <v>10620</v>
      </c>
      <c r="G436" s="5">
        <f t="shared" si="43"/>
        <v>42480</v>
      </c>
      <c r="H436" s="6">
        <v>0.1895</v>
      </c>
      <c r="I436" s="7">
        <v>24</v>
      </c>
      <c r="J436" s="8">
        <f t="shared" si="44"/>
        <v>1.5791666666666666E-2</v>
      </c>
      <c r="K436" s="5">
        <f t="shared" si="45"/>
        <v>2140.3262519627524</v>
      </c>
      <c r="L436" s="5">
        <f t="shared" si="46"/>
        <v>51367.830047106057</v>
      </c>
      <c r="M436" s="5">
        <f t="shared" si="47"/>
        <v>8887.8300471060575</v>
      </c>
      <c r="N436" s="5">
        <v>499</v>
      </c>
      <c r="O436" s="5">
        <v>5522.4000000000005</v>
      </c>
      <c r="P436" s="2" t="s">
        <v>23</v>
      </c>
      <c r="Q436" s="5">
        <v>0</v>
      </c>
      <c r="R436" s="5">
        <f t="shared" si="48"/>
        <v>3864.4300471060569</v>
      </c>
      <c r="S436" s="2" t="s">
        <v>42</v>
      </c>
      <c r="T436" s="2" t="s">
        <v>38</v>
      </c>
    </row>
    <row r="437" spans="1:20" x14ac:dyDescent="0.3">
      <c r="A437" s="9" t="s">
        <v>913</v>
      </c>
      <c r="B437" s="9" t="s">
        <v>914</v>
      </c>
      <c r="C437" s="9" t="s">
        <v>22</v>
      </c>
      <c r="D437" s="10">
        <v>71800</v>
      </c>
      <c r="E437" s="11">
        <v>0.15</v>
      </c>
      <c r="F437" s="12">
        <f t="shared" si="42"/>
        <v>10770</v>
      </c>
      <c r="G437" s="12">
        <f t="shared" si="43"/>
        <v>61030</v>
      </c>
      <c r="H437" s="13">
        <v>0.13800000000000001</v>
      </c>
      <c r="I437" s="14">
        <v>36</v>
      </c>
      <c r="J437" s="15">
        <f t="shared" si="44"/>
        <v>1.1500000000000002E-2</v>
      </c>
      <c r="K437" s="12">
        <f t="shared" si="45"/>
        <v>2079.9373123493783</v>
      </c>
      <c r="L437" s="12">
        <f t="shared" si="46"/>
        <v>74877.743244577621</v>
      </c>
      <c r="M437" s="12">
        <f t="shared" si="47"/>
        <v>13847.743244577621</v>
      </c>
      <c r="N437" s="12">
        <v>610.30000000000007</v>
      </c>
      <c r="O437" s="12">
        <v>11900.85</v>
      </c>
      <c r="P437" s="9" t="s">
        <v>29</v>
      </c>
      <c r="Q437" s="12">
        <v>24412</v>
      </c>
      <c r="R437" s="12">
        <f t="shared" si="48"/>
        <v>-21854.806755422382</v>
      </c>
      <c r="S437" s="9" t="s">
        <v>58</v>
      </c>
      <c r="T437" s="9" t="s">
        <v>184</v>
      </c>
    </row>
    <row r="438" spans="1:20" x14ac:dyDescent="0.3">
      <c r="A438" s="2" t="s">
        <v>915</v>
      </c>
      <c r="B438" s="2" t="s">
        <v>916</v>
      </c>
      <c r="C438" s="2" t="s">
        <v>67</v>
      </c>
      <c r="D438" s="3">
        <v>63100</v>
      </c>
      <c r="E438" s="4">
        <v>0</v>
      </c>
      <c r="F438" s="5">
        <f t="shared" si="42"/>
        <v>0</v>
      </c>
      <c r="G438" s="5">
        <f t="shared" si="43"/>
        <v>63100</v>
      </c>
      <c r="H438" s="6">
        <v>0.19570000000000001</v>
      </c>
      <c r="I438" s="7">
        <v>3</v>
      </c>
      <c r="J438" s="8">
        <f t="shared" si="44"/>
        <v>1.6308333333333334E-2</v>
      </c>
      <c r="K438" s="5">
        <f t="shared" si="45"/>
        <v>21723.069685477538</v>
      </c>
      <c r="L438" s="5">
        <f t="shared" si="46"/>
        <v>65169.209056432614</v>
      </c>
      <c r="M438" s="5">
        <f t="shared" si="47"/>
        <v>2069.2090564326136</v>
      </c>
      <c r="N438" s="5">
        <v>631</v>
      </c>
      <c r="O438" s="5">
        <v>1025.375</v>
      </c>
      <c r="P438" s="2" t="s">
        <v>37</v>
      </c>
      <c r="Q438" s="5">
        <v>0</v>
      </c>
      <c r="R438" s="5">
        <f t="shared" si="48"/>
        <v>1674.8340564326136</v>
      </c>
      <c r="S438" s="2" t="s">
        <v>42</v>
      </c>
      <c r="T438" s="2" t="s">
        <v>38</v>
      </c>
    </row>
    <row r="439" spans="1:20" x14ac:dyDescent="0.3">
      <c r="A439" s="9" t="s">
        <v>917</v>
      </c>
      <c r="B439" s="9" t="s">
        <v>918</v>
      </c>
      <c r="C439" s="9" t="s">
        <v>67</v>
      </c>
      <c r="D439" s="10">
        <v>54700</v>
      </c>
      <c r="E439" s="11">
        <v>0.1</v>
      </c>
      <c r="F439" s="12">
        <f t="shared" si="42"/>
        <v>5470</v>
      </c>
      <c r="G439" s="12">
        <f t="shared" si="43"/>
        <v>49230</v>
      </c>
      <c r="H439" s="13">
        <v>0.19159999999999999</v>
      </c>
      <c r="I439" s="14">
        <v>6</v>
      </c>
      <c r="J439" s="15">
        <f t="shared" si="44"/>
        <v>1.5966666666666667E-2</v>
      </c>
      <c r="K439" s="12">
        <f t="shared" si="45"/>
        <v>8669.5745203508559</v>
      </c>
      <c r="L439" s="12">
        <f t="shared" si="46"/>
        <v>52017.447122105135</v>
      </c>
      <c r="M439" s="12">
        <f t="shared" si="47"/>
        <v>2787.4471221051353</v>
      </c>
      <c r="N439" s="12">
        <v>499</v>
      </c>
      <c r="O439" s="12">
        <v>1599.9750000000001</v>
      </c>
      <c r="P439" s="9" t="s">
        <v>37</v>
      </c>
      <c r="Q439" s="12">
        <v>0</v>
      </c>
      <c r="R439" s="12">
        <f t="shared" si="48"/>
        <v>1686.4721221051352</v>
      </c>
      <c r="S439" s="9" t="s">
        <v>42</v>
      </c>
      <c r="T439" s="9" t="s">
        <v>31</v>
      </c>
    </row>
    <row r="440" spans="1:20" x14ac:dyDescent="0.3">
      <c r="A440" s="2" t="s">
        <v>919</v>
      </c>
      <c r="B440" s="2" t="s">
        <v>920</v>
      </c>
      <c r="C440" s="2" t="s">
        <v>28</v>
      </c>
      <c r="D440" s="3">
        <v>89600</v>
      </c>
      <c r="E440" s="4">
        <v>0.2</v>
      </c>
      <c r="F440" s="5">
        <f t="shared" si="42"/>
        <v>17920</v>
      </c>
      <c r="G440" s="5">
        <f t="shared" si="43"/>
        <v>71680</v>
      </c>
      <c r="H440" s="6">
        <v>0.14990000000000001</v>
      </c>
      <c r="I440" s="7">
        <v>6</v>
      </c>
      <c r="J440" s="8">
        <f t="shared" si="44"/>
        <v>1.2491666666666667E-2</v>
      </c>
      <c r="K440" s="5">
        <f t="shared" si="45"/>
        <v>12474.387883445199</v>
      </c>
      <c r="L440" s="5">
        <f t="shared" si="46"/>
        <v>74846.327300671197</v>
      </c>
      <c r="M440" s="5">
        <f t="shared" si="47"/>
        <v>3166.327300671197</v>
      </c>
      <c r="N440" s="5">
        <v>716.80000000000007</v>
      </c>
      <c r="O440" s="5">
        <v>2329.6</v>
      </c>
      <c r="P440" s="2" t="s">
        <v>23</v>
      </c>
      <c r="Q440" s="5">
        <v>0</v>
      </c>
      <c r="R440" s="5">
        <f t="shared" si="48"/>
        <v>1553.5273006711973</v>
      </c>
      <c r="S440" s="2" t="s">
        <v>24</v>
      </c>
      <c r="T440" s="2" t="s">
        <v>184</v>
      </c>
    </row>
    <row r="441" spans="1:20" x14ac:dyDescent="0.3">
      <c r="A441" s="9" t="s">
        <v>921</v>
      </c>
      <c r="B441" s="9" t="s">
        <v>922</v>
      </c>
      <c r="C441" s="9" t="s">
        <v>22</v>
      </c>
      <c r="D441" s="10">
        <v>156800</v>
      </c>
      <c r="E441" s="11">
        <v>0.25</v>
      </c>
      <c r="F441" s="12">
        <f t="shared" si="42"/>
        <v>39200</v>
      </c>
      <c r="G441" s="12">
        <f t="shared" si="43"/>
        <v>117600</v>
      </c>
      <c r="H441" s="13">
        <v>0.16239999999999999</v>
      </c>
      <c r="I441" s="14">
        <v>60</v>
      </c>
      <c r="J441" s="15">
        <f t="shared" si="44"/>
        <v>1.3533333333333333E-2</v>
      </c>
      <c r="K441" s="12">
        <f t="shared" si="45"/>
        <v>2874.8214755370336</v>
      </c>
      <c r="L441" s="12">
        <f t="shared" si="46"/>
        <v>172489.28853222201</v>
      </c>
      <c r="M441" s="12">
        <f t="shared" si="47"/>
        <v>54889.28853222201</v>
      </c>
      <c r="N441" s="12">
        <v>1176</v>
      </c>
      <c r="O441" s="12">
        <v>38220</v>
      </c>
      <c r="P441" s="9" t="s">
        <v>29</v>
      </c>
      <c r="Q441" s="12">
        <v>47040</v>
      </c>
      <c r="R441" s="12">
        <f t="shared" si="48"/>
        <v>-29194.71146777799</v>
      </c>
      <c r="S441" s="9" t="s">
        <v>30</v>
      </c>
      <c r="T441" s="9" t="s">
        <v>55</v>
      </c>
    </row>
    <row r="442" spans="1:20" x14ac:dyDescent="0.3">
      <c r="A442" s="2" t="s">
        <v>923</v>
      </c>
      <c r="B442" s="2" t="s">
        <v>924</v>
      </c>
      <c r="C442" s="2" t="s">
        <v>41</v>
      </c>
      <c r="D442" s="3">
        <v>674400</v>
      </c>
      <c r="E442" s="4">
        <v>0.15</v>
      </c>
      <c r="F442" s="5">
        <f t="shared" si="42"/>
        <v>101160</v>
      </c>
      <c r="G442" s="5">
        <f t="shared" si="43"/>
        <v>573240</v>
      </c>
      <c r="H442" s="6">
        <v>9.8699999999999996E-2</v>
      </c>
      <c r="I442" s="7">
        <v>60</v>
      </c>
      <c r="J442" s="8">
        <f t="shared" si="44"/>
        <v>8.2249999999999997E-3</v>
      </c>
      <c r="K442" s="5">
        <f t="shared" si="45"/>
        <v>12143.020850556743</v>
      </c>
      <c r="L442" s="5">
        <f t="shared" si="46"/>
        <v>728581.25103340461</v>
      </c>
      <c r="M442" s="5">
        <f t="shared" si="47"/>
        <v>155341.25103340461</v>
      </c>
      <c r="N442" s="5">
        <v>5732.4000000000005</v>
      </c>
      <c r="O442" s="5">
        <v>186303</v>
      </c>
      <c r="P442" s="2" t="s">
        <v>37</v>
      </c>
      <c r="Q442" s="5">
        <v>0</v>
      </c>
      <c r="R442" s="5">
        <f t="shared" si="48"/>
        <v>-25229.348966595397</v>
      </c>
      <c r="S442" s="2" t="s">
        <v>42</v>
      </c>
      <c r="T442" s="2" t="s">
        <v>52</v>
      </c>
    </row>
    <row r="443" spans="1:20" x14ac:dyDescent="0.3">
      <c r="A443" s="9" t="s">
        <v>925</v>
      </c>
      <c r="B443" s="9" t="s">
        <v>926</v>
      </c>
      <c r="C443" s="9" t="s">
        <v>28</v>
      </c>
      <c r="D443" s="10">
        <v>140400</v>
      </c>
      <c r="E443" s="11">
        <v>0.1</v>
      </c>
      <c r="F443" s="12">
        <f t="shared" si="42"/>
        <v>14040</v>
      </c>
      <c r="G443" s="12">
        <f t="shared" si="43"/>
        <v>126360</v>
      </c>
      <c r="H443" s="13">
        <v>0.17449999999999999</v>
      </c>
      <c r="I443" s="14">
        <v>9</v>
      </c>
      <c r="J443" s="15">
        <f t="shared" si="44"/>
        <v>1.4541666666666666E-2</v>
      </c>
      <c r="K443" s="12">
        <f t="shared" si="45"/>
        <v>15080.469538371741</v>
      </c>
      <c r="L443" s="12">
        <f t="shared" si="46"/>
        <v>135724.22584534567</v>
      </c>
      <c r="M443" s="12">
        <f t="shared" si="47"/>
        <v>9364.2258453456743</v>
      </c>
      <c r="N443" s="12">
        <v>1263.6000000000001</v>
      </c>
      <c r="O443" s="12">
        <v>6160.0499999999993</v>
      </c>
      <c r="P443" s="9" t="s">
        <v>23</v>
      </c>
      <c r="Q443" s="12">
        <v>0</v>
      </c>
      <c r="R443" s="12">
        <f t="shared" si="48"/>
        <v>4467.7758453456754</v>
      </c>
      <c r="S443" s="9" t="s">
        <v>42</v>
      </c>
      <c r="T443" s="9" t="s">
        <v>34</v>
      </c>
    </row>
    <row r="444" spans="1:20" x14ac:dyDescent="0.3">
      <c r="A444" s="2" t="s">
        <v>927</v>
      </c>
      <c r="B444" s="2" t="s">
        <v>928</v>
      </c>
      <c r="C444" s="2" t="s">
        <v>41</v>
      </c>
      <c r="D444" s="3">
        <v>922000</v>
      </c>
      <c r="E444" s="4">
        <v>0.15</v>
      </c>
      <c r="F444" s="5">
        <f t="shared" si="42"/>
        <v>138300</v>
      </c>
      <c r="G444" s="5">
        <f t="shared" si="43"/>
        <v>783700</v>
      </c>
      <c r="H444" s="6">
        <v>0.10150000000000001</v>
      </c>
      <c r="I444" s="7">
        <v>60</v>
      </c>
      <c r="J444" s="8">
        <f t="shared" si="44"/>
        <v>8.4583333333333333E-3</v>
      </c>
      <c r="K444" s="5">
        <f t="shared" si="45"/>
        <v>16709.209751832735</v>
      </c>
      <c r="L444" s="5">
        <f t="shared" si="46"/>
        <v>1002552.5851099641</v>
      </c>
      <c r="M444" s="5">
        <f t="shared" si="47"/>
        <v>218852.58510996413</v>
      </c>
      <c r="N444" s="5">
        <v>7837</v>
      </c>
      <c r="O444" s="5">
        <v>254702.5</v>
      </c>
      <c r="P444" s="2" t="s">
        <v>23</v>
      </c>
      <c r="Q444" s="5">
        <v>0</v>
      </c>
      <c r="R444" s="5">
        <f t="shared" si="48"/>
        <v>-28012.91489003587</v>
      </c>
      <c r="S444" s="2" t="s">
        <v>58</v>
      </c>
      <c r="T444" s="2" t="s">
        <v>31</v>
      </c>
    </row>
    <row r="445" spans="1:20" x14ac:dyDescent="0.3">
      <c r="A445" s="9" t="s">
        <v>929</v>
      </c>
      <c r="B445" s="9" t="s">
        <v>930</v>
      </c>
      <c r="C445" s="9" t="s">
        <v>41</v>
      </c>
      <c r="D445" s="10">
        <v>499400</v>
      </c>
      <c r="E445" s="11">
        <v>0.15</v>
      </c>
      <c r="F445" s="12">
        <f t="shared" si="42"/>
        <v>74910</v>
      </c>
      <c r="G445" s="12">
        <f t="shared" si="43"/>
        <v>424490</v>
      </c>
      <c r="H445" s="13">
        <v>8.5800000000000001E-2</v>
      </c>
      <c r="I445" s="14">
        <v>36</v>
      </c>
      <c r="J445" s="15">
        <f t="shared" si="44"/>
        <v>7.1500000000000001E-3</v>
      </c>
      <c r="K445" s="12">
        <f t="shared" si="45"/>
        <v>13415.845115780037</v>
      </c>
      <c r="L445" s="12">
        <f t="shared" si="46"/>
        <v>482970.42416808137</v>
      </c>
      <c r="M445" s="12">
        <f t="shared" si="47"/>
        <v>58480.424168081372</v>
      </c>
      <c r="N445" s="12">
        <v>4244.8999999999996</v>
      </c>
      <c r="O445" s="12">
        <v>82775.55</v>
      </c>
      <c r="P445" s="9" t="s">
        <v>23</v>
      </c>
      <c r="Q445" s="12">
        <v>0</v>
      </c>
      <c r="R445" s="12">
        <f t="shared" si="48"/>
        <v>-20050.225831918629</v>
      </c>
      <c r="S445" s="9" t="s">
        <v>30</v>
      </c>
      <c r="T445" s="9" t="s">
        <v>55</v>
      </c>
    </row>
    <row r="446" spans="1:20" x14ac:dyDescent="0.3">
      <c r="A446" s="2" t="s">
        <v>931</v>
      </c>
      <c r="B446" s="2" t="s">
        <v>932</v>
      </c>
      <c r="C446" s="2" t="s">
        <v>22</v>
      </c>
      <c r="D446" s="3">
        <v>222600</v>
      </c>
      <c r="E446" s="4">
        <v>0.25</v>
      </c>
      <c r="F446" s="5">
        <f t="shared" si="42"/>
        <v>55650</v>
      </c>
      <c r="G446" s="5">
        <f t="shared" si="43"/>
        <v>166950</v>
      </c>
      <c r="H446" s="6">
        <v>0.1215</v>
      </c>
      <c r="I446" s="7">
        <v>48</v>
      </c>
      <c r="J446" s="8">
        <f t="shared" si="44"/>
        <v>1.0125E-2</v>
      </c>
      <c r="K446" s="5">
        <f t="shared" si="45"/>
        <v>4408.7395115941854</v>
      </c>
      <c r="L446" s="5">
        <f t="shared" si="46"/>
        <v>211619.4965565209</v>
      </c>
      <c r="M446" s="5">
        <f t="shared" si="47"/>
        <v>44669.496556520899</v>
      </c>
      <c r="N446" s="5">
        <v>1669.5</v>
      </c>
      <c r="O446" s="5">
        <v>43407</v>
      </c>
      <c r="P446" s="2" t="s">
        <v>29</v>
      </c>
      <c r="Q446" s="5">
        <v>66780</v>
      </c>
      <c r="R446" s="5">
        <f t="shared" si="48"/>
        <v>-63848.003443479101</v>
      </c>
      <c r="S446" s="2" t="s">
        <v>24</v>
      </c>
      <c r="T446" s="2" t="s">
        <v>97</v>
      </c>
    </row>
    <row r="447" spans="1:20" x14ac:dyDescent="0.3">
      <c r="A447" s="9" t="s">
        <v>933</v>
      </c>
      <c r="B447" s="9" t="s">
        <v>934</v>
      </c>
      <c r="C447" s="9" t="s">
        <v>41</v>
      </c>
      <c r="D447" s="10">
        <v>1112100</v>
      </c>
      <c r="E447" s="11">
        <v>0.15</v>
      </c>
      <c r="F447" s="12">
        <f t="shared" si="42"/>
        <v>166815</v>
      </c>
      <c r="G447" s="12">
        <f t="shared" si="43"/>
        <v>945285</v>
      </c>
      <c r="H447" s="13">
        <v>0.10299999999999999</v>
      </c>
      <c r="I447" s="14">
        <v>36</v>
      </c>
      <c r="J447" s="15">
        <f t="shared" si="44"/>
        <v>8.5833333333333334E-3</v>
      </c>
      <c r="K447" s="12">
        <f t="shared" si="45"/>
        <v>30635.003123559491</v>
      </c>
      <c r="L447" s="12">
        <f t="shared" si="46"/>
        <v>1102860.1124481417</v>
      </c>
      <c r="M447" s="12">
        <f t="shared" si="47"/>
        <v>157575.11244814168</v>
      </c>
      <c r="N447" s="12">
        <v>9452.85</v>
      </c>
      <c r="O447" s="12">
        <v>184330.57500000001</v>
      </c>
      <c r="P447" s="9" t="s">
        <v>37</v>
      </c>
      <c r="Q447" s="12">
        <v>0</v>
      </c>
      <c r="R447" s="12">
        <f t="shared" si="48"/>
        <v>-17302.612551858329</v>
      </c>
      <c r="S447" s="9" t="s">
        <v>58</v>
      </c>
      <c r="T447" s="9" t="s">
        <v>31</v>
      </c>
    </row>
    <row r="448" spans="1:20" x14ac:dyDescent="0.3">
      <c r="A448" s="2" t="s">
        <v>935</v>
      </c>
      <c r="B448" s="2" t="s">
        <v>936</v>
      </c>
      <c r="C448" s="2" t="s">
        <v>41</v>
      </c>
      <c r="D448" s="3">
        <v>1107000</v>
      </c>
      <c r="E448" s="4">
        <v>0.2</v>
      </c>
      <c r="F448" s="5">
        <f t="shared" si="42"/>
        <v>221400</v>
      </c>
      <c r="G448" s="5">
        <f t="shared" si="43"/>
        <v>885600</v>
      </c>
      <c r="H448" s="6">
        <v>9.7699999999999995E-2</v>
      </c>
      <c r="I448" s="7">
        <v>72</v>
      </c>
      <c r="J448" s="8">
        <f t="shared" si="44"/>
        <v>8.1416666666666668E-3</v>
      </c>
      <c r="K448" s="5">
        <f t="shared" si="45"/>
        <v>16303.951891418768</v>
      </c>
      <c r="L448" s="5">
        <f t="shared" si="46"/>
        <v>1173884.5361821514</v>
      </c>
      <c r="M448" s="5">
        <f t="shared" si="47"/>
        <v>288284.53618215141</v>
      </c>
      <c r="N448" s="5">
        <v>8856</v>
      </c>
      <c r="O448" s="5">
        <v>345384</v>
      </c>
      <c r="P448" s="2" t="s">
        <v>23</v>
      </c>
      <c r="Q448" s="5">
        <v>0</v>
      </c>
      <c r="R448" s="5">
        <f t="shared" si="48"/>
        <v>-48243.463817848591</v>
      </c>
      <c r="S448" s="2" t="s">
        <v>30</v>
      </c>
      <c r="T448" s="2" t="s">
        <v>97</v>
      </c>
    </row>
    <row r="449" spans="1:20" x14ac:dyDescent="0.3">
      <c r="A449" s="9" t="s">
        <v>937</v>
      </c>
      <c r="B449" s="9" t="s">
        <v>938</v>
      </c>
      <c r="C449" s="9" t="s">
        <v>67</v>
      </c>
      <c r="D449" s="10">
        <v>66300</v>
      </c>
      <c r="E449" s="11">
        <v>0</v>
      </c>
      <c r="F449" s="12">
        <f t="shared" si="42"/>
        <v>0</v>
      </c>
      <c r="G449" s="12">
        <f t="shared" si="43"/>
        <v>66300</v>
      </c>
      <c r="H449" s="13">
        <v>0.18990000000000001</v>
      </c>
      <c r="I449" s="14">
        <v>18</v>
      </c>
      <c r="J449" s="15">
        <f t="shared" si="44"/>
        <v>1.5825000000000002E-2</v>
      </c>
      <c r="K449" s="12">
        <f t="shared" si="45"/>
        <v>4261.677676452533</v>
      </c>
      <c r="L449" s="12">
        <f t="shared" si="46"/>
        <v>76710.198176145597</v>
      </c>
      <c r="M449" s="12">
        <f t="shared" si="47"/>
        <v>10410.198176145597</v>
      </c>
      <c r="N449" s="12">
        <v>663</v>
      </c>
      <c r="O449" s="12">
        <v>6464.25</v>
      </c>
      <c r="P449" s="9" t="s">
        <v>29</v>
      </c>
      <c r="Q449" s="12">
        <v>26520</v>
      </c>
      <c r="R449" s="12">
        <f t="shared" si="48"/>
        <v>-21911.051823854403</v>
      </c>
      <c r="S449" s="9" t="s">
        <v>58</v>
      </c>
      <c r="T449" s="9" t="s">
        <v>52</v>
      </c>
    </row>
    <row r="450" spans="1:20" x14ac:dyDescent="0.3">
      <c r="A450" s="2" t="s">
        <v>939</v>
      </c>
      <c r="B450" s="2" t="s">
        <v>940</v>
      </c>
      <c r="C450" s="2" t="s">
        <v>22</v>
      </c>
      <c r="D450" s="3">
        <v>206200</v>
      </c>
      <c r="E450" s="4">
        <v>0.2</v>
      </c>
      <c r="F450" s="5">
        <f t="shared" ref="F450:F501" si="49">D450*E450</f>
        <v>41240</v>
      </c>
      <c r="G450" s="5">
        <f t="shared" ref="G450:G501" si="50">D450-F450</f>
        <v>164960</v>
      </c>
      <c r="H450" s="6">
        <v>0.1239</v>
      </c>
      <c r="I450" s="7">
        <v>12</v>
      </c>
      <c r="J450" s="8">
        <f t="shared" ref="J450:J501" si="51">H450/12</f>
        <v>1.0324999999999999E-2</v>
      </c>
      <c r="K450" s="5">
        <f t="shared" ref="K450:K501" si="52">-PMT(J450,I450,G450)</f>
        <v>14686.609406155856</v>
      </c>
      <c r="L450" s="5">
        <f t="shared" ref="L450:L501" si="53">K450*I450</f>
        <v>176239.31287387028</v>
      </c>
      <c r="M450" s="5">
        <f t="shared" ref="M450:M501" si="54">L450-G450</f>
        <v>11279.31287387028</v>
      </c>
      <c r="N450" s="5">
        <v>1649.6000000000001</v>
      </c>
      <c r="O450" s="5">
        <v>10722.4</v>
      </c>
      <c r="P450" s="2" t="s">
        <v>29</v>
      </c>
      <c r="Q450" s="5">
        <v>65984</v>
      </c>
      <c r="R450" s="5">
        <f t="shared" ref="R450:R501" si="55">M450+N450-O450-Q450</f>
        <v>-63777.487126129723</v>
      </c>
      <c r="S450" s="2" t="s">
        <v>58</v>
      </c>
      <c r="T450" s="2" t="s">
        <v>49</v>
      </c>
    </row>
    <row r="451" spans="1:20" x14ac:dyDescent="0.3">
      <c r="A451" s="9" t="s">
        <v>941</v>
      </c>
      <c r="B451" s="9" t="s">
        <v>942</v>
      </c>
      <c r="C451" s="9" t="s">
        <v>28</v>
      </c>
      <c r="D451" s="10">
        <v>59600</v>
      </c>
      <c r="E451" s="11">
        <v>0.1</v>
      </c>
      <c r="F451" s="12">
        <f t="shared" si="49"/>
        <v>5960</v>
      </c>
      <c r="G451" s="12">
        <f t="shared" si="50"/>
        <v>53640</v>
      </c>
      <c r="H451" s="13">
        <v>0.17249999999999999</v>
      </c>
      <c r="I451" s="14">
        <v>36</v>
      </c>
      <c r="J451" s="15">
        <f t="shared" si="51"/>
        <v>1.4374999999999999E-2</v>
      </c>
      <c r="K451" s="12">
        <f t="shared" si="52"/>
        <v>1919.0929058635393</v>
      </c>
      <c r="L451" s="12">
        <f t="shared" si="53"/>
        <v>69087.344611087407</v>
      </c>
      <c r="M451" s="12">
        <f t="shared" si="54"/>
        <v>15447.344611087407</v>
      </c>
      <c r="N451" s="12">
        <v>536.4</v>
      </c>
      <c r="O451" s="12">
        <v>10459.799999999999</v>
      </c>
      <c r="P451" s="9" t="s">
        <v>37</v>
      </c>
      <c r="Q451" s="12">
        <v>0</v>
      </c>
      <c r="R451" s="12">
        <f t="shared" si="55"/>
        <v>5523.9446110874069</v>
      </c>
      <c r="S451" s="9" t="s">
        <v>30</v>
      </c>
      <c r="T451" s="9" t="s">
        <v>46</v>
      </c>
    </row>
    <row r="452" spans="1:20" x14ac:dyDescent="0.3">
      <c r="A452" s="2" t="s">
        <v>943</v>
      </c>
      <c r="B452" s="2" t="s">
        <v>944</v>
      </c>
      <c r="C452" s="2" t="s">
        <v>41</v>
      </c>
      <c r="D452" s="3">
        <v>1282600</v>
      </c>
      <c r="E452" s="4">
        <v>0.15</v>
      </c>
      <c r="F452" s="5">
        <f t="shared" si="49"/>
        <v>192390</v>
      </c>
      <c r="G452" s="5">
        <f t="shared" si="50"/>
        <v>1090210</v>
      </c>
      <c r="H452" s="6">
        <v>0.10299999999999999</v>
      </c>
      <c r="I452" s="7">
        <v>60</v>
      </c>
      <c r="J452" s="8">
        <f t="shared" si="51"/>
        <v>8.5833333333333334E-3</v>
      </c>
      <c r="K452" s="5">
        <f t="shared" si="52"/>
        <v>23324.996911128703</v>
      </c>
      <c r="L452" s="5">
        <f t="shared" si="53"/>
        <v>1399499.8146677222</v>
      </c>
      <c r="M452" s="5">
        <f t="shared" si="54"/>
        <v>309289.81466772221</v>
      </c>
      <c r="N452" s="5">
        <v>10902.1</v>
      </c>
      <c r="O452" s="5">
        <v>354318.25000000006</v>
      </c>
      <c r="P452" s="2" t="s">
        <v>23</v>
      </c>
      <c r="Q452" s="5">
        <v>0</v>
      </c>
      <c r="R452" s="5">
        <f t="shared" si="55"/>
        <v>-34126.335332277871</v>
      </c>
      <c r="S452" s="2" t="s">
        <v>42</v>
      </c>
      <c r="T452" s="2" t="s">
        <v>184</v>
      </c>
    </row>
    <row r="453" spans="1:20" x14ac:dyDescent="0.3">
      <c r="A453" s="9" t="s">
        <v>945</v>
      </c>
      <c r="B453" s="9" t="s">
        <v>946</v>
      </c>
      <c r="C453" s="9" t="s">
        <v>67</v>
      </c>
      <c r="D453" s="10">
        <v>54900</v>
      </c>
      <c r="E453" s="11">
        <v>0.15</v>
      </c>
      <c r="F453" s="12">
        <f t="shared" si="49"/>
        <v>8235</v>
      </c>
      <c r="G453" s="12">
        <f t="shared" si="50"/>
        <v>46665</v>
      </c>
      <c r="H453" s="13">
        <v>0.1711</v>
      </c>
      <c r="I453" s="14">
        <v>3</v>
      </c>
      <c r="J453" s="15">
        <f t="shared" si="51"/>
        <v>1.4258333333333333E-2</v>
      </c>
      <c r="K453" s="12">
        <f t="shared" si="52"/>
        <v>16000.670013284956</v>
      </c>
      <c r="L453" s="12">
        <f t="shared" si="53"/>
        <v>48002.010039854868</v>
      </c>
      <c r="M453" s="12">
        <f t="shared" si="54"/>
        <v>1337.0100398548675</v>
      </c>
      <c r="N453" s="12">
        <v>499</v>
      </c>
      <c r="O453" s="12">
        <v>758.30624999999998</v>
      </c>
      <c r="P453" s="9" t="s">
        <v>23</v>
      </c>
      <c r="Q453" s="12">
        <v>0</v>
      </c>
      <c r="R453" s="12">
        <f t="shared" si="55"/>
        <v>1077.7037898548674</v>
      </c>
      <c r="S453" s="9" t="s">
        <v>30</v>
      </c>
      <c r="T453" s="9" t="s">
        <v>38</v>
      </c>
    </row>
    <row r="454" spans="1:20" x14ac:dyDescent="0.3">
      <c r="A454" s="2" t="s">
        <v>947</v>
      </c>
      <c r="B454" s="2" t="s">
        <v>948</v>
      </c>
      <c r="C454" s="2" t="s">
        <v>22</v>
      </c>
      <c r="D454" s="3">
        <v>113400</v>
      </c>
      <c r="E454" s="4">
        <v>0.15</v>
      </c>
      <c r="F454" s="5">
        <f t="shared" si="49"/>
        <v>17010</v>
      </c>
      <c r="G454" s="5">
        <f t="shared" si="50"/>
        <v>96390</v>
      </c>
      <c r="H454" s="6">
        <v>0.14280000000000001</v>
      </c>
      <c r="I454" s="7">
        <v>48</v>
      </c>
      <c r="J454" s="8">
        <f t="shared" si="51"/>
        <v>1.1900000000000001E-2</v>
      </c>
      <c r="K454" s="5">
        <f t="shared" si="52"/>
        <v>2647.5576749587958</v>
      </c>
      <c r="L454" s="5">
        <f t="shared" si="53"/>
        <v>127082.76839802219</v>
      </c>
      <c r="M454" s="5">
        <f t="shared" si="54"/>
        <v>30692.768398022192</v>
      </c>
      <c r="N454" s="5">
        <v>963.9</v>
      </c>
      <c r="O454" s="5">
        <v>25061.4</v>
      </c>
      <c r="P454" s="2" t="s">
        <v>23</v>
      </c>
      <c r="Q454" s="5">
        <v>0</v>
      </c>
      <c r="R454" s="5">
        <f t="shared" si="55"/>
        <v>6595.2683980221918</v>
      </c>
      <c r="S454" s="2" t="s">
        <v>30</v>
      </c>
      <c r="T454" s="2" t="s">
        <v>49</v>
      </c>
    </row>
    <row r="455" spans="1:20" x14ac:dyDescent="0.3">
      <c r="A455" s="9" t="s">
        <v>949</v>
      </c>
      <c r="B455" s="9" t="s">
        <v>950</v>
      </c>
      <c r="C455" s="9" t="s">
        <v>41</v>
      </c>
      <c r="D455" s="10">
        <v>599200</v>
      </c>
      <c r="E455" s="11">
        <v>0.2</v>
      </c>
      <c r="F455" s="12">
        <f t="shared" si="49"/>
        <v>119840</v>
      </c>
      <c r="G455" s="12">
        <f t="shared" si="50"/>
        <v>479360</v>
      </c>
      <c r="H455" s="13">
        <v>8.7900000000000006E-2</v>
      </c>
      <c r="I455" s="14">
        <v>48</v>
      </c>
      <c r="J455" s="15">
        <f t="shared" si="51"/>
        <v>7.3250000000000008E-3</v>
      </c>
      <c r="K455" s="12">
        <f t="shared" si="52"/>
        <v>11881.151756674828</v>
      </c>
      <c r="L455" s="12">
        <f t="shared" si="53"/>
        <v>570295.28432039171</v>
      </c>
      <c r="M455" s="12">
        <f t="shared" si="54"/>
        <v>90935.284320391715</v>
      </c>
      <c r="N455" s="12">
        <v>4793.6000000000004</v>
      </c>
      <c r="O455" s="12">
        <v>124633.60000000001</v>
      </c>
      <c r="P455" s="9" t="s">
        <v>23</v>
      </c>
      <c r="Q455" s="12">
        <v>0</v>
      </c>
      <c r="R455" s="12">
        <f t="shared" si="55"/>
        <v>-28904.715679608285</v>
      </c>
      <c r="S455" s="9" t="s">
        <v>30</v>
      </c>
      <c r="T455" s="9" t="s">
        <v>49</v>
      </c>
    </row>
    <row r="456" spans="1:20" x14ac:dyDescent="0.3">
      <c r="A456" s="2" t="s">
        <v>951</v>
      </c>
      <c r="B456" s="2" t="s">
        <v>952</v>
      </c>
      <c r="C456" s="2" t="s">
        <v>41</v>
      </c>
      <c r="D456" s="3">
        <v>1119900</v>
      </c>
      <c r="E456" s="4">
        <v>0.2</v>
      </c>
      <c r="F456" s="5">
        <f t="shared" si="49"/>
        <v>223980</v>
      </c>
      <c r="G456" s="5">
        <f t="shared" si="50"/>
        <v>895920</v>
      </c>
      <c r="H456" s="6">
        <v>9.1700000000000004E-2</v>
      </c>
      <c r="I456" s="7">
        <v>48</v>
      </c>
      <c r="J456" s="8">
        <f t="shared" si="51"/>
        <v>7.6416666666666673E-3</v>
      </c>
      <c r="K456" s="5">
        <f t="shared" si="52"/>
        <v>22367.39762273361</v>
      </c>
      <c r="L456" s="5">
        <f t="shared" si="53"/>
        <v>1073635.0858912133</v>
      </c>
      <c r="M456" s="5">
        <f t="shared" si="54"/>
        <v>177715.08589121327</v>
      </c>
      <c r="N456" s="5">
        <v>8959.2000000000007</v>
      </c>
      <c r="O456" s="5">
        <v>232939.2</v>
      </c>
      <c r="P456" s="2" t="s">
        <v>23</v>
      </c>
      <c r="Q456" s="5">
        <v>0</v>
      </c>
      <c r="R456" s="5">
        <f t="shared" si="55"/>
        <v>-46264.914108786732</v>
      </c>
      <c r="S456" s="2" t="s">
        <v>58</v>
      </c>
      <c r="T456" s="2" t="s">
        <v>38</v>
      </c>
    </row>
    <row r="457" spans="1:20" x14ac:dyDescent="0.3">
      <c r="A457" s="9" t="s">
        <v>953</v>
      </c>
      <c r="B457" s="9" t="s">
        <v>954</v>
      </c>
      <c r="C457" s="9" t="s">
        <v>67</v>
      </c>
      <c r="D457" s="10">
        <v>40900</v>
      </c>
      <c r="E457" s="11">
        <v>0</v>
      </c>
      <c r="F457" s="12">
        <f t="shared" si="49"/>
        <v>0</v>
      </c>
      <c r="G457" s="12">
        <f t="shared" si="50"/>
        <v>40900</v>
      </c>
      <c r="H457" s="13">
        <v>0.20810000000000001</v>
      </c>
      <c r="I457" s="14">
        <v>12</v>
      </c>
      <c r="J457" s="15">
        <f t="shared" si="51"/>
        <v>1.7341666666666668E-2</v>
      </c>
      <c r="K457" s="12">
        <f t="shared" si="52"/>
        <v>3804.6247425024731</v>
      </c>
      <c r="L457" s="12">
        <f t="shared" si="53"/>
        <v>45655.496910029673</v>
      </c>
      <c r="M457" s="12">
        <f t="shared" si="54"/>
        <v>4755.496910029673</v>
      </c>
      <c r="N457" s="12">
        <v>499</v>
      </c>
      <c r="O457" s="12">
        <v>2658.5</v>
      </c>
      <c r="P457" s="9" t="s">
        <v>23</v>
      </c>
      <c r="Q457" s="12">
        <v>0</v>
      </c>
      <c r="R457" s="12">
        <f t="shared" si="55"/>
        <v>2595.996910029673</v>
      </c>
      <c r="S457" s="9" t="s">
        <v>24</v>
      </c>
      <c r="T457" s="9" t="s">
        <v>97</v>
      </c>
    </row>
    <row r="458" spans="1:20" x14ac:dyDescent="0.3">
      <c r="A458" s="2" t="s">
        <v>955</v>
      </c>
      <c r="B458" s="2" t="s">
        <v>956</v>
      </c>
      <c r="C458" s="2" t="s">
        <v>41</v>
      </c>
      <c r="D458" s="3">
        <v>950500</v>
      </c>
      <c r="E458" s="4">
        <v>0.3</v>
      </c>
      <c r="F458" s="5">
        <f t="shared" si="49"/>
        <v>285150</v>
      </c>
      <c r="G458" s="5">
        <f t="shared" si="50"/>
        <v>665350</v>
      </c>
      <c r="H458" s="6">
        <v>0.111</v>
      </c>
      <c r="I458" s="7">
        <v>72</v>
      </c>
      <c r="J458" s="8">
        <f t="shared" si="51"/>
        <v>9.2499999999999995E-3</v>
      </c>
      <c r="K458" s="5">
        <f t="shared" si="52"/>
        <v>12698.42915103166</v>
      </c>
      <c r="L458" s="5">
        <f t="shared" si="53"/>
        <v>914286.89887427946</v>
      </c>
      <c r="M458" s="5">
        <f t="shared" si="54"/>
        <v>248936.89887427946</v>
      </c>
      <c r="N458" s="5">
        <v>6653.5</v>
      </c>
      <c r="O458" s="5">
        <v>259486.5</v>
      </c>
      <c r="P458" s="2" t="s">
        <v>23</v>
      </c>
      <c r="Q458" s="5">
        <v>0</v>
      </c>
      <c r="R458" s="5">
        <f t="shared" si="55"/>
        <v>-3896.1011257205391</v>
      </c>
      <c r="S458" s="2" t="s">
        <v>24</v>
      </c>
      <c r="T458" s="2" t="s">
        <v>34</v>
      </c>
    </row>
    <row r="459" spans="1:20" x14ac:dyDescent="0.3">
      <c r="A459" s="9" t="s">
        <v>957</v>
      </c>
      <c r="B459" s="9" t="s">
        <v>958</v>
      </c>
      <c r="C459" s="9" t="s">
        <v>67</v>
      </c>
      <c r="D459" s="10">
        <v>30400</v>
      </c>
      <c r="E459" s="11">
        <v>0.1</v>
      </c>
      <c r="F459" s="12">
        <f t="shared" si="49"/>
        <v>3040</v>
      </c>
      <c r="G459" s="12">
        <f t="shared" si="50"/>
        <v>27360</v>
      </c>
      <c r="H459" s="13">
        <v>0.17269999999999999</v>
      </c>
      <c r="I459" s="14">
        <v>18</v>
      </c>
      <c r="J459" s="15">
        <f t="shared" si="51"/>
        <v>1.4391666666666665E-2</v>
      </c>
      <c r="K459" s="12">
        <f t="shared" si="52"/>
        <v>1736.2199501320554</v>
      </c>
      <c r="L459" s="12">
        <f t="shared" si="53"/>
        <v>31251.959102376997</v>
      </c>
      <c r="M459" s="12">
        <f t="shared" si="54"/>
        <v>3891.9591023769972</v>
      </c>
      <c r="N459" s="12">
        <v>499</v>
      </c>
      <c r="O459" s="12">
        <v>2667.6000000000004</v>
      </c>
      <c r="P459" s="9" t="s">
        <v>37</v>
      </c>
      <c r="Q459" s="12">
        <v>0</v>
      </c>
      <c r="R459" s="12">
        <f t="shared" si="55"/>
        <v>1723.3591023769968</v>
      </c>
      <c r="S459" s="9" t="s">
        <v>30</v>
      </c>
      <c r="T459" s="9" t="s">
        <v>43</v>
      </c>
    </row>
    <row r="460" spans="1:20" x14ac:dyDescent="0.3">
      <c r="A460" s="2" t="s">
        <v>959</v>
      </c>
      <c r="B460" s="2" t="s">
        <v>960</v>
      </c>
      <c r="C460" s="2" t="s">
        <v>28</v>
      </c>
      <c r="D460" s="3">
        <v>103900</v>
      </c>
      <c r="E460" s="4">
        <v>0</v>
      </c>
      <c r="F460" s="5">
        <f t="shared" si="49"/>
        <v>0</v>
      </c>
      <c r="G460" s="5">
        <f t="shared" si="50"/>
        <v>103900</v>
      </c>
      <c r="H460" s="6">
        <v>0.1341</v>
      </c>
      <c r="I460" s="7">
        <v>36</v>
      </c>
      <c r="J460" s="8">
        <f t="shared" si="51"/>
        <v>1.1174999999999999E-2</v>
      </c>
      <c r="K460" s="5">
        <f t="shared" si="52"/>
        <v>3521.3551726449032</v>
      </c>
      <c r="L460" s="5">
        <f t="shared" si="53"/>
        <v>126768.78621521652</v>
      </c>
      <c r="M460" s="5">
        <f t="shared" si="54"/>
        <v>22868.786215216518</v>
      </c>
      <c r="N460" s="5">
        <v>1039</v>
      </c>
      <c r="O460" s="5">
        <v>20260.5</v>
      </c>
      <c r="P460" s="2" t="s">
        <v>29</v>
      </c>
      <c r="Q460" s="5">
        <v>41560</v>
      </c>
      <c r="R460" s="5">
        <f t="shared" si="55"/>
        <v>-37912.713784783482</v>
      </c>
      <c r="S460" s="2" t="s">
        <v>58</v>
      </c>
      <c r="T460" s="2" t="s">
        <v>55</v>
      </c>
    </row>
    <row r="461" spans="1:20" x14ac:dyDescent="0.3">
      <c r="A461" s="9" t="s">
        <v>961</v>
      </c>
      <c r="B461" s="9" t="s">
        <v>962</v>
      </c>
      <c r="C461" s="9" t="s">
        <v>22</v>
      </c>
      <c r="D461" s="10">
        <v>100500</v>
      </c>
      <c r="E461" s="11">
        <v>0.05</v>
      </c>
      <c r="F461" s="12">
        <f t="shared" si="49"/>
        <v>5025</v>
      </c>
      <c r="G461" s="12">
        <f t="shared" si="50"/>
        <v>95475</v>
      </c>
      <c r="H461" s="13">
        <v>0.16120000000000001</v>
      </c>
      <c r="I461" s="14">
        <v>48</v>
      </c>
      <c r="J461" s="15">
        <f t="shared" si="51"/>
        <v>1.3433333333333334E-2</v>
      </c>
      <c r="K461" s="12">
        <f t="shared" si="52"/>
        <v>2711.6596339718881</v>
      </c>
      <c r="L461" s="12">
        <f t="shared" si="53"/>
        <v>130159.66243065063</v>
      </c>
      <c r="M461" s="12">
        <f t="shared" si="54"/>
        <v>34684.662430650627</v>
      </c>
      <c r="N461" s="12">
        <v>954.75</v>
      </c>
      <c r="O461" s="12">
        <v>24823.5</v>
      </c>
      <c r="P461" s="9" t="s">
        <v>37</v>
      </c>
      <c r="Q461" s="12">
        <v>0</v>
      </c>
      <c r="R461" s="12">
        <f t="shared" si="55"/>
        <v>10815.912430650627</v>
      </c>
      <c r="S461" s="9" t="s">
        <v>42</v>
      </c>
      <c r="T461" s="9" t="s">
        <v>49</v>
      </c>
    </row>
    <row r="462" spans="1:20" x14ac:dyDescent="0.3">
      <c r="A462" s="2" t="s">
        <v>963</v>
      </c>
      <c r="B462" s="2" t="s">
        <v>964</v>
      </c>
      <c r="C462" s="2" t="s">
        <v>28</v>
      </c>
      <c r="D462" s="3">
        <v>78600</v>
      </c>
      <c r="E462" s="4">
        <v>0</v>
      </c>
      <c r="F462" s="5">
        <f t="shared" si="49"/>
        <v>0</v>
      </c>
      <c r="G462" s="5">
        <f t="shared" si="50"/>
        <v>78600</v>
      </c>
      <c r="H462" s="6">
        <v>0.15820000000000001</v>
      </c>
      <c r="I462" s="7">
        <v>6</v>
      </c>
      <c r="J462" s="8">
        <f t="shared" si="51"/>
        <v>1.3183333333333333E-2</v>
      </c>
      <c r="K462" s="5">
        <f t="shared" si="52"/>
        <v>13711.052362726114</v>
      </c>
      <c r="L462" s="5">
        <f t="shared" si="53"/>
        <v>82266.314176356682</v>
      </c>
      <c r="M462" s="5">
        <f t="shared" si="54"/>
        <v>3666.3141763566819</v>
      </c>
      <c r="N462" s="5">
        <v>786</v>
      </c>
      <c r="O462" s="5">
        <v>2554.5</v>
      </c>
      <c r="P462" s="2" t="s">
        <v>23</v>
      </c>
      <c r="Q462" s="5">
        <v>0</v>
      </c>
      <c r="R462" s="5">
        <f t="shared" si="55"/>
        <v>1897.8141763566819</v>
      </c>
      <c r="S462" s="2" t="s">
        <v>58</v>
      </c>
      <c r="T462" s="2" t="s">
        <v>46</v>
      </c>
    </row>
    <row r="463" spans="1:20" x14ac:dyDescent="0.3">
      <c r="A463" s="9" t="s">
        <v>965</v>
      </c>
      <c r="B463" s="9" t="s">
        <v>966</v>
      </c>
      <c r="C463" s="9" t="s">
        <v>41</v>
      </c>
      <c r="D463" s="10">
        <v>1232500</v>
      </c>
      <c r="E463" s="11">
        <v>0.1</v>
      </c>
      <c r="F463" s="12">
        <f t="shared" si="49"/>
        <v>123250</v>
      </c>
      <c r="G463" s="12">
        <f t="shared" si="50"/>
        <v>1109250</v>
      </c>
      <c r="H463" s="13">
        <v>0.1009</v>
      </c>
      <c r="I463" s="14">
        <v>36</v>
      </c>
      <c r="J463" s="15">
        <f t="shared" si="51"/>
        <v>8.4083333333333336E-3</v>
      </c>
      <c r="K463" s="12">
        <f t="shared" si="52"/>
        <v>35839.266489171496</v>
      </c>
      <c r="L463" s="12">
        <f t="shared" si="53"/>
        <v>1290213.5936101738</v>
      </c>
      <c r="M463" s="12">
        <f t="shared" si="54"/>
        <v>180963.59361017379</v>
      </c>
      <c r="N463" s="12">
        <v>11092.5</v>
      </c>
      <c r="O463" s="12">
        <v>216303.75</v>
      </c>
      <c r="P463" s="9" t="s">
        <v>23</v>
      </c>
      <c r="Q463" s="12">
        <v>0</v>
      </c>
      <c r="R463" s="12">
        <f t="shared" si="55"/>
        <v>-24247.65638982621</v>
      </c>
      <c r="S463" s="9" t="s">
        <v>30</v>
      </c>
      <c r="T463" s="9" t="s">
        <v>55</v>
      </c>
    </row>
    <row r="464" spans="1:20" x14ac:dyDescent="0.3">
      <c r="A464" s="2" t="s">
        <v>967</v>
      </c>
      <c r="B464" s="2" t="s">
        <v>968</v>
      </c>
      <c r="C464" s="2" t="s">
        <v>22</v>
      </c>
      <c r="D464" s="3">
        <v>142600</v>
      </c>
      <c r="E464" s="4">
        <v>0.25</v>
      </c>
      <c r="F464" s="5">
        <f t="shared" si="49"/>
        <v>35650</v>
      </c>
      <c r="G464" s="5">
        <f t="shared" si="50"/>
        <v>106950</v>
      </c>
      <c r="H464" s="6">
        <v>0.1103</v>
      </c>
      <c r="I464" s="7">
        <v>48</v>
      </c>
      <c r="J464" s="8">
        <f t="shared" si="51"/>
        <v>9.1916666666666657E-3</v>
      </c>
      <c r="K464" s="5">
        <f t="shared" si="52"/>
        <v>2765.7370464242222</v>
      </c>
      <c r="L464" s="5">
        <f t="shared" si="53"/>
        <v>132755.37822836265</v>
      </c>
      <c r="M464" s="5">
        <f t="shared" si="54"/>
        <v>25805.37822836265</v>
      </c>
      <c r="N464" s="5">
        <v>1069.5</v>
      </c>
      <c r="O464" s="5">
        <v>27807</v>
      </c>
      <c r="P464" s="2" t="s">
        <v>23</v>
      </c>
      <c r="Q464" s="5">
        <v>0</v>
      </c>
      <c r="R464" s="5">
        <f t="shared" si="55"/>
        <v>-932.12177163735032</v>
      </c>
      <c r="S464" s="2" t="s">
        <v>30</v>
      </c>
      <c r="T464" s="2" t="s">
        <v>43</v>
      </c>
    </row>
    <row r="465" spans="1:20" x14ac:dyDescent="0.3">
      <c r="A465" s="9" t="s">
        <v>969</v>
      </c>
      <c r="B465" s="9" t="s">
        <v>970</v>
      </c>
      <c r="C465" s="9" t="s">
        <v>41</v>
      </c>
      <c r="D465" s="10">
        <v>728000</v>
      </c>
      <c r="E465" s="11">
        <v>0.3</v>
      </c>
      <c r="F465" s="12">
        <f t="shared" si="49"/>
        <v>218400</v>
      </c>
      <c r="G465" s="12">
        <f t="shared" si="50"/>
        <v>509600</v>
      </c>
      <c r="H465" s="13">
        <v>9.3700000000000006E-2</v>
      </c>
      <c r="I465" s="14">
        <v>84</v>
      </c>
      <c r="J465" s="15">
        <f t="shared" si="51"/>
        <v>7.8083333333333338E-3</v>
      </c>
      <c r="K465" s="12">
        <f t="shared" si="52"/>
        <v>8295.0064350701141</v>
      </c>
      <c r="L465" s="12">
        <f t="shared" si="53"/>
        <v>696780.54054588964</v>
      </c>
      <c r="M465" s="12">
        <f t="shared" si="54"/>
        <v>187180.54054588964</v>
      </c>
      <c r="N465" s="12">
        <v>5096</v>
      </c>
      <c r="O465" s="12">
        <v>231868</v>
      </c>
      <c r="P465" s="9" t="s">
        <v>23</v>
      </c>
      <c r="Q465" s="12">
        <v>0</v>
      </c>
      <c r="R465" s="12">
        <f t="shared" si="55"/>
        <v>-39591.459454110358</v>
      </c>
      <c r="S465" s="9" t="s">
        <v>42</v>
      </c>
      <c r="T465" s="9" t="s">
        <v>49</v>
      </c>
    </row>
    <row r="466" spans="1:20" x14ac:dyDescent="0.3">
      <c r="A466" s="2" t="s">
        <v>971</v>
      </c>
      <c r="B466" s="2" t="s">
        <v>972</v>
      </c>
      <c r="C466" s="2" t="s">
        <v>41</v>
      </c>
      <c r="D466" s="3">
        <v>777000</v>
      </c>
      <c r="E466" s="4">
        <v>0.15</v>
      </c>
      <c r="F466" s="5">
        <f t="shared" si="49"/>
        <v>116550</v>
      </c>
      <c r="G466" s="5">
        <f t="shared" si="50"/>
        <v>660450</v>
      </c>
      <c r="H466" s="6">
        <v>0.112</v>
      </c>
      <c r="I466" s="7">
        <v>60</v>
      </c>
      <c r="J466" s="8">
        <f t="shared" si="51"/>
        <v>9.3333333333333341E-3</v>
      </c>
      <c r="K466" s="5">
        <f t="shared" si="52"/>
        <v>14425.745522701945</v>
      </c>
      <c r="L466" s="5">
        <f t="shared" si="53"/>
        <v>865544.73136211676</v>
      </c>
      <c r="M466" s="5">
        <f t="shared" si="54"/>
        <v>205094.73136211676</v>
      </c>
      <c r="N466" s="5">
        <v>6604.5</v>
      </c>
      <c r="O466" s="5">
        <v>214646.25</v>
      </c>
      <c r="P466" s="2" t="s">
        <v>37</v>
      </c>
      <c r="Q466" s="5">
        <v>0</v>
      </c>
      <c r="R466" s="5">
        <f t="shared" si="55"/>
        <v>-2947.0186378832441</v>
      </c>
      <c r="S466" s="2" t="s">
        <v>42</v>
      </c>
      <c r="T466" s="2" t="s">
        <v>46</v>
      </c>
    </row>
    <row r="467" spans="1:20" x14ac:dyDescent="0.3">
      <c r="A467" s="9" t="s">
        <v>973</v>
      </c>
      <c r="B467" s="9" t="s">
        <v>974</v>
      </c>
      <c r="C467" s="9" t="s">
        <v>67</v>
      </c>
      <c r="D467" s="10">
        <v>89400</v>
      </c>
      <c r="E467" s="11">
        <v>0</v>
      </c>
      <c r="F467" s="12">
        <f t="shared" si="49"/>
        <v>0</v>
      </c>
      <c r="G467" s="12">
        <f t="shared" si="50"/>
        <v>89400</v>
      </c>
      <c r="H467" s="13">
        <v>0.15049999999999999</v>
      </c>
      <c r="I467" s="14">
        <v>24</v>
      </c>
      <c r="J467" s="15">
        <f t="shared" si="51"/>
        <v>1.2541666666666666E-2</v>
      </c>
      <c r="K467" s="12">
        <f t="shared" si="52"/>
        <v>4336.8303995994966</v>
      </c>
      <c r="L467" s="12">
        <f t="shared" si="53"/>
        <v>104083.92959038791</v>
      </c>
      <c r="M467" s="12">
        <f t="shared" si="54"/>
        <v>14683.92959038791</v>
      </c>
      <c r="N467" s="12">
        <v>894</v>
      </c>
      <c r="O467" s="12">
        <v>11622</v>
      </c>
      <c r="P467" s="9" t="s">
        <v>23</v>
      </c>
      <c r="Q467" s="12">
        <v>0</v>
      </c>
      <c r="R467" s="12">
        <f t="shared" si="55"/>
        <v>3955.9295903879101</v>
      </c>
      <c r="S467" s="9" t="s">
        <v>30</v>
      </c>
      <c r="T467" s="9" t="s">
        <v>43</v>
      </c>
    </row>
    <row r="468" spans="1:20" x14ac:dyDescent="0.3">
      <c r="A468" s="2" t="s">
        <v>975</v>
      </c>
      <c r="B468" s="2" t="s">
        <v>976</v>
      </c>
      <c r="C468" s="2" t="s">
        <v>28</v>
      </c>
      <c r="D468" s="3">
        <v>106300</v>
      </c>
      <c r="E468" s="4">
        <v>0.1</v>
      </c>
      <c r="F468" s="5">
        <f t="shared" si="49"/>
        <v>10630</v>
      </c>
      <c r="G468" s="5">
        <f t="shared" si="50"/>
        <v>95670</v>
      </c>
      <c r="H468" s="6">
        <v>0.123</v>
      </c>
      <c r="I468" s="7">
        <v>36</v>
      </c>
      <c r="J468" s="8">
        <f t="shared" si="51"/>
        <v>1.025E-2</v>
      </c>
      <c r="K468" s="5">
        <f t="shared" si="52"/>
        <v>3191.338611152682</v>
      </c>
      <c r="L468" s="5">
        <f t="shared" si="53"/>
        <v>114888.19000149655</v>
      </c>
      <c r="M468" s="5">
        <f t="shared" si="54"/>
        <v>19218.19000149655</v>
      </c>
      <c r="N468" s="5">
        <v>956.7</v>
      </c>
      <c r="O468" s="5">
        <v>18655.650000000001</v>
      </c>
      <c r="P468" s="2" t="s">
        <v>23</v>
      </c>
      <c r="Q468" s="5">
        <v>0</v>
      </c>
      <c r="R468" s="5">
        <f t="shared" si="55"/>
        <v>1519.2400014965497</v>
      </c>
      <c r="S468" s="2" t="s">
        <v>24</v>
      </c>
      <c r="T468" s="2" t="s">
        <v>25</v>
      </c>
    </row>
    <row r="469" spans="1:20" x14ac:dyDescent="0.3">
      <c r="A469" s="9" t="s">
        <v>977</v>
      </c>
      <c r="B469" s="9" t="s">
        <v>978</v>
      </c>
      <c r="C469" s="9" t="s">
        <v>41</v>
      </c>
      <c r="D469" s="10">
        <v>1128200</v>
      </c>
      <c r="E469" s="11">
        <v>0.1</v>
      </c>
      <c r="F469" s="12">
        <f t="shared" si="49"/>
        <v>112820</v>
      </c>
      <c r="G469" s="12">
        <f t="shared" si="50"/>
        <v>1015380</v>
      </c>
      <c r="H469" s="13">
        <v>0.1046</v>
      </c>
      <c r="I469" s="14">
        <v>36</v>
      </c>
      <c r="J469" s="15">
        <f t="shared" si="51"/>
        <v>8.716666666666666E-3</v>
      </c>
      <c r="K469" s="12">
        <f t="shared" si="52"/>
        <v>32983.183087881007</v>
      </c>
      <c r="L469" s="12">
        <f t="shared" si="53"/>
        <v>1187394.5911637163</v>
      </c>
      <c r="M469" s="12">
        <f t="shared" si="54"/>
        <v>172014.59116371628</v>
      </c>
      <c r="N469" s="12">
        <v>10153.800000000001</v>
      </c>
      <c r="O469" s="12">
        <v>197999.09999999998</v>
      </c>
      <c r="P469" s="9" t="s">
        <v>23</v>
      </c>
      <c r="Q469" s="12">
        <v>0</v>
      </c>
      <c r="R469" s="12">
        <f t="shared" si="55"/>
        <v>-15830.708836283709</v>
      </c>
      <c r="S469" s="9" t="s">
        <v>42</v>
      </c>
      <c r="T469" s="9" t="s">
        <v>97</v>
      </c>
    </row>
    <row r="470" spans="1:20" x14ac:dyDescent="0.3">
      <c r="A470" s="2" t="s">
        <v>979</v>
      </c>
      <c r="B470" s="2" t="s">
        <v>980</v>
      </c>
      <c r="C470" s="2" t="s">
        <v>28</v>
      </c>
      <c r="D470" s="3">
        <v>93400</v>
      </c>
      <c r="E470" s="4">
        <v>0.05</v>
      </c>
      <c r="F470" s="5">
        <f t="shared" si="49"/>
        <v>4670</v>
      </c>
      <c r="G470" s="5">
        <f t="shared" si="50"/>
        <v>88730</v>
      </c>
      <c r="H470" s="6">
        <v>0.158</v>
      </c>
      <c r="I470" s="7">
        <v>9</v>
      </c>
      <c r="J470" s="8">
        <f t="shared" si="51"/>
        <v>1.3166666666666667E-2</v>
      </c>
      <c r="K470" s="5">
        <f t="shared" si="52"/>
        <v>10519.249720123595</v>
      </c>
      <c r="L470" s="5">
        <f t="shared" si="53"/>
        <v>94673.247481112354</v>
      </c>
      <c r="M470" s="5">
        <f t="shared" si="54"/>
        <v>5943.2474811123539</v>
      </c>
      <c r="N470" s="5">
        <v>887.30000000000007</v>
      </c>
      <c r="O470" s="5">
        <v>4325.5874999999996</v>
      </c>
      <c r="P470" s="2" t="s">
        <v>23</v>
      </c>
      <c r="Q470" s="5">
        <v>0</v>
      </c>
      <c r="R470" s="5">
        <f t="shared" si="55"/>
        <v>2504.9599811123544</v>
      </c>
      <c r="S470" s="2" t="s">
        <v>24</v>
      </c>
      <c r="T470" s="2" t="s">
        <v>184</v>
      </c>
    </row>
    <row r="471" spans="1:20" x14ac:dyDescent="0.3">
      <c r="A471" s="9" t="s">
        <v>981</v>
      </c>
      <c r="B471" s="9" t="s">
        <v>982</v>
      </c>
      <c r="C471" s="9" t="s">
        <v>28</v>
      </c>
      <c r="D471" s="10">
        <v>37600</v>
      </c>
      <c r="E471" s="11">
        <v>0.2</v>
      </c>
      <c r="F471" s="12">
        <f t="shared" si="49"/>
        <v>7520</v>
      </c>
      <c r="G471" s="12">
        <f t="shared" si="50"/>
        <v>30080</v>
      </c>
      <c r="H471" s="13">
        <v>0.16159999999999999</v>
      </c>
      <c r="I471" s="14">
        <v>24</v>
      </c>
      <c r="J471" s="15">
        <f t="shared" si="51"/>
        <v>1.3466666666666667E-2</v>
      </c>
      <c r="K471" s="12">
        <f t="shared" si="52"/>
        <v>1475.1110001753586</v>
      </c>
      <c r="L471" s="12">
        <f t="shared" si="53"/>
        <v>35402.664004208607</v>
      </c>
      <c r="M471" s="12">
        <f t="shared" si="54"/>
        <v>5322.6640042086074</v>
      </c>
      <c r="N471" s="12">
        <v>499</v>
      </c>
      <c r="O471" s="12">
        <v>3910.4</v>
      </c>
      <c r="P471" s="9" t="s">
        <v>23</v>
      </c>
      <c r="Q471" s="12">
        <v>0</v>
      </c>
      <c r="R471" s="12">
        <f t="shared" si="55"/>
        <v>1911.2640042086073</v>
      </c>
      <c r="S471" s="9" t="s">
        <v>42</v>
      </c>
      <c r="T471" s="9" t="s">
        <v>43</v>
      </c>
    </row>
    <row r="472" spans="1:20" x14ac:dyDescent="0.3">
      <c r="A472" s="2" t="s">
        <v>983</v>
      </c>
      <c r="B472" s="2" t="s">
        <v>984</v>
      </c>
      <c r="C472" s="2" t="s">
        <v>28</v>
      </c>
      <c r="D472" s="3">
        <v>102200</v>
      </c>
      <c r="E472" s="4">
        <v>0.15</v>
      </c>
      <c r="F472" s="5">
        <f t="shared" si="49"/>
        <v>15330</v>
      </c>
      <c r="G472" s="5">
        <f t="shared" si="50"/>
        <v>86870</v>
      </c>
      <c r="H472" s="6">
        <v>0.1426</v>
      </c>
      <c r="I472" s="7">
        <v>6</v>
      </c>
      <c r="J472" s="8">
        <f t="shared" si="51"/>
        <v>1.1883333333333334E-2</v>
      </c>
      <c r="K472" s="5">
        <f t="shared" si="52"/>
        <v>15086.438918841841</v>
      </c>
      <c r="L472" s="5">
        <f t="shared" si="53"/>
        <v>90518.633513051042</v>
      </c>
      <c r="M472" s="5">
        <f t="shared" si="54"/>
        <v>3648.6335130510415</v>
      </c>
      <c r="N472" s="5">
        <v>868.7</v>
      </c>
      <c r="O472" s="5">
        <v>2823.2750000000001</v>
      </c>
      <c r="P472" s="2" t="s">
        <v>37</v>
      </c>
      <c r="Q472" s="5">
        <v>0</v>
      </c>
      <c r="R472" s="5">
        <f t="shared" si="55"/>
        <v>1694.0585130510412</v>
      </c>
      <c r="S472" s="2" t="s">
        <v>30</v>
      </c>
      <c r="T472" s="2" t="s">
        <v>184</v>
      </c>
    </row>
    <row r="473" spans="1:20" x14ac:dyDescent="0.3">
      <c r="A473" s="9" t="s">
        <v>985</v>
      </c>
      <c r="B473" s="9" t="s">
        <v>986</v>
      </c>
      <c r="C473" s="9" t="s">
        <v>41</v>
      </c>
      <c r="D473" s="10">
        <v>1470400</v>
      </c>
      <c r="E473" s="11">
        <v>0.2</v>
      </c>
      <c r="F473" s="12">
        <f t="shared" si="49"/>
        <v>294080</v>
      </c>
      <c r="G473" s="12">
        <f t="shared" si="50"/>
        <v>1176320</v>
      </c>
      <c r="H473" s="13">
        <v>9.5699999999999993E-2</v>
      </c>
      <c r="I473" s="14">
        <v>72</v>
      </c>
      <c r="J473" s="15">
        <f t="shared" si="51"/>
        <v>7.9749999999999995E-3</v>
      </c>
      <c r="K473" s="12">
        <f t="shared" si="52"/>
        <v>21538.103442789845</v>
      </c>
      <c r="L473" s="12">
        <f t="shared" si="53"/>
        <v>1550743.4478808688</v>
      </c>
      <c r="M473" s="12">
        <f t="shared" si="54"/>
        <v>374423.4478808688</v>
      </c>
      <c r="N473" s="12">
        <v>11763.2</v>
      </c>
      <c r="O473" s="12">
        <v>458764.80000000005</v>
      </c>
      <c r="P473" s="9" t="s">
        <v>37</v>
      </c>
      <c r="Q473" s="12">
        <v>0</v>
      </c>
      <c r="R473" s="12">
        <f t="shared" si="55"/>
        <v>-72578.152119131235</v>
      </c>
      <c r="S473" s="9" t="s">
        <v>42</v>
      </c>
      <c r="T473" s="9" t="s">
        <v>55</v>
      </c>
    </row>
    <row r="474" spans="1:20" x14ac:dyDescent="0.3">
      <c r="A474" s="2" t="s">
        <v>987</v>
      </c>
      <c r="B474" s="2" t="s">
        <v>988</v>
      </c>
      <c r="C474" s="2" t="s">
        <v>22</v>
      </c>
      <c r="D474" s="3">
        <v>175400</v>
      </c>
      <c r="E474" s="4">
        <v>0.05</v>
      </c>
      <c r="F474" s="5">
        <f t="shared" si="49"/>
        <v>8770</v>
      </c>
      <c r="G474" s="5">
        <f t="shared" si="50"/>
        <v>166630</v>
      </c>
      <c r="H474" s="6">
        <v>0.1188</v>
      </c>
      <c r="I474" s="7">
        <v>12</v>
      </c>
      <c r="J474" s="8">
        <f t="shared" si="51"/>
        <v>9.9000000000000008E-3</v>
      </c>
      <c r="K474" s="5">
        <f t="shared" si="52"/>
        <v>14795.521165256894</v>
      </c>
      <c r="L474" s="5">
        <f t="shared" si="53"/>
        <v>177546.25398308272</v>
      </c>
      <c r="M474" s="5">
        <f t="shared" si="54"/>
        <v>10916.253983082715</v>
      </c>
      <c r="N474" s="5">
        <v>1666.3</v>
      </c>
      <c r="O474" s="5">
        <v>10830.95</v>
      </c>
      <c r="P474" s="2" t="s">
        <v>23</v>
      </c>
      <c r="Q474" s="5">
        <v>0</v>
      </c>
      <c r="R474" s="5">
        <f t="shared" si="55"/>
        <v>1751.603983082714</v>
      </c>
      <c r="S474" s="2" t="s">
        <v>42</v>
      </c>
      <c r="T474" s="2" t="s">
        <v>34</v>
      </c>
    </row>
    <row r="475" spans="1:20" x14ac:dyDescent="0.3">
      <c r="A475" s="9" t="s">
        <v>989</v>
      </c>
      <c r="B475" s="9" t="s">
        <v>990</v>
      </c>
      <c r="C475" s="9" t="s">
        <v>41</v>
      </c>
      <c r="D475" s="10">
        <v>1257500</v>
      </c>
      <c r="E475" s="11">
        <v>0.2</v>
      </c>
      <c r="F475" s="12">
        <f t="shared" si="49"/>
        <v>251500</v>
      </c>
      <c r="G475" s="12">
        <f t="shared" si="50"/>
        <v>1006000</v>
      </c>
      <c r="H475" s="13">
        <v>8.7300000000000003E-2</v>
      </c>
      <c r="I475" s="14">
        <v>36</v>
      </c>
      <c r="J475" s="15">
        <f t="shared" si="51"/>
        <v>7.2750000000000002E-3</v>
      </c>
      <c r="K475" s="12">
        <f t="shared" si="52"/>
        <v>31864.265548425359</v>
      </c>
      <c r="L475" s="12">
        <f t="shared" si="53"/>
        <v>1147113.5597433129</v>
      </c>
      <c r="M475" s="12">
        <f t="shared" si="54"/>
        <v>141113.55974331289</v>
      </c>
      <c r="N475" s="12">
        <v>10060</v>
      </c>
      <c r="O475" s="12">
        <v>196170</v>
      </c>
      <c r="P475" s="9" t="s">
        <v>23</v>
      </c>
      <c r="Q475" s="12">
        <v>0</v>
      </c>
      <c r="R475" s="12">
        <f t="shared" si="55"/>
        <v>-44996.440256687114</v>
      </c>
      <c r="S475" s="9" t="s">
        <v>42</v>
      </c>
      <c r="T475" s="9" t="s">
        <v>184</v>
      </c>
    </row>
    <row r="476" spans="1:20" x14ac:dyDescent="0.3">
      <c r="A476" s="2" t="s">
        <v>991</v>
      </c>
      <c r="B476" s="2" t="s">
        <v>992</v>
      </c>
      <c r="C476" s="2" t="s">
        <v>67</v>
      </c>
      <c r="D476" s="3">
        <v>13600</v>
      </c>
      <c r="E476" s="4">
        <v>0.05</v>
      </c>
      <c r="F476" s="5">
        <f t="shared" si="49"/>
        <v>680</v>
      </c>
      <c r="G476" s="5">
        <f t="shared" si="50"/>
        <v>12920</v>
      </c>
      <c r="H476" s="6">
        <v>0.2051</v>
      </c>
      <c r="I476" s="7">
        <v>3</v>
      </c>
      <c r="J476" s="8">
        <f t="shared" si="51"/>
        <v>1.7091666666666668E-2</v>
      </c>
      <c r="K476" s="5">
        <f t="shared" si="52"/>
        <v>4454.7144856615341</v>
      </c>
      <c r="L476" s="5">
        <f t="shared" si="53"/>
        <v>13364.143456984602</v>
      </c>
      <c r="M476" s="5">
        <f t="shared" si="54"/>
        <v>444.14345698460238</v>
      </c>
      <c r="N476" s="5">
        <v>499</v>
      </c>
      <c r="O476" s="5">
        <v>209.95000000000002</v>
      </c>
      <c r="P476" s="2" t="s">
        <v>23</v>
      </c>
      <c r="Q476" s="5">
        <v>0</v>
      </c>
      <c r="R476" s="5">
        <f t="shared" si="55"/>
        <v>733.19345698460234</v>
      </c>
      <c r="S476" s="2" t="s">
        <v>58</v>
      </c>
      <c r="T476" s="2" t="s">
        <v>88</v>
      </c>
    </row>
    <row r="477" spans="1:20" x14ac:dyDescent="0.3">
      <c r="A477" s="9" t="s">
        <v>993</v>
      </c>
      <c r="B477" s="9" t="s">
        <v>994</v>
      </c>
      <c r="C477" s="9" t="s">
        <v>22</v>
      </c>
      <c r="D477" s="10">
        <v>82800</v>
      </c>
      <c r="E477" s="11">
        <v>0.05</v>
      </c>
      <c r="F477" s="12">
        <f t="shared" si="49"/>
        <v>4140</v>
      </c>
      <c r="G477" s="12">
        <f t="shared" si="50"/>
        <v>78660</v>
      </c>
      <c r="H477" s="13">
        <v>0.16070000000000001</v>
      </c>
      <c r="I477" s="14">
        <v>12</v>
      </c>
      <c r="J477" s="15">
        <f t="shared" si="51"/>
        <v>1.3391666666666668E-2</v>
      </c>
      <c r="K477" s="12">
        <f t="shared" si="52"/>
        <v>7139.4951842583732</v>
      </c>
      <c r="L477" s="12">
        <f t="shared" si="53"/>
        <v>85673.942211100482</v>
      </c>
      <c r="M477" s="12">
        <f t="shared" si="54"/>
        <v>7013.9422111004824</v>
      </c>
      <c r="N477" s="12">
        <v>786.6</v>
      </c>
      <c r="O477" s="12">
        <v>5112.9000000000005</v>
      </c>
      <c r="P477" s="9" t="s">
        <v>23</v>
      </c>
      <c r="Q477" s="12">
        <v>0</v>
      </c>
      <c r="R477" s="12">
        <f t="shared" si="55"/>
        <v>2687.6422111004822</v>
      </c>
      <c r="S477" s="9" t="s">
        <v>30</v>
      </c>
      <c r="T477" s="9" t="s">
        <v>38</v>
      </c>
    </row>
    <row r="478" spans="1:20" x14ac:dyDescent="0.3">
      <c r="A478" s="2" t="s">
        <v>995</v>
      </c>
      <c r="B478" s="2" t="s">
        <v>996</v>
      </c>
      <c r="C478" s="2" t="s">
        <v>28</v>
      </c>
      <c r="D478" s="3">
        <v>79700</v>
      </c>
      <c r="E478" s="4">
        <v>0</v>
      </c>
      <c r="F478" s="5">
        <f t="shared" si="49"/>
        <v>0</v>
      </c>
      <c r="G478" s="5">
        <f t="shared" si="50"/>
        <v>79700</v>
      </c>
      <c r="H478" s="6">
        <v>0.16969999999999999</v>
      </c>
      <c r="I478" s="7">
        <v>36</v>
      </c>
      <c r="J478" s="8">
        <f t="shared" si="51"/>
        <v>1.4141666666666665E-2</v>
      </c>
      <c r="K478" s="5">
        <f t="shared" si="52"/>
        <v>2840.3325638596484</v>
      </c>
      <c r="L478" s="5">
        <f t="shared" si="53"/>
        <v>102251.97229894734</v>
      </c>
      <c r="M478" s="5">
        <f t="shared" si="54"/>
        <v>22551.972298947338</v>
      </c>
      <c r="N478" s="5">
        <v>797</v>
      </c>
      <c r="O478" s="5">
        <v>15541.5</v>
      </c>
      <c r="P478" s="2" t="s">
        <v>23</v>
      </c>
      <c r="Q478" s="5">
        <v>0</v>
      </c>
      <c r="R478" s="5">
        <f t="shared" si="55"/>
        <v>7807.4722989473375</v>
      </c>
      <c r="S478" s="2" t="s">
        <v>58</v>
      </c>
      <c r="T478" s="2" t="s">
        <v>34</v>
      </c>
    </row>
    <row r="479" spans="1:20" x14ac:dyDescent="0.3">
      <c r="A479" s="9" t="s">
        <v>997</v>
      </c>
      <c r="B479" s="9" t="s">
        <v>998</v>
      </c>
      <c r="C479" s="9" t="s">
        <v>67</v>
      </c>
      <c r="D479" s="10">
        <v>52800</v>
      </c>
      <c r="E479" s="11">
        <v>0.2</v>
      </c>
      <c r="F479" s="12">
        <f t="shared" si="49"/>
        <v>10560</v>
      </c>
      <c r="G479" s="12">
        <f t="shared" si="50"/>
        <v>42240</v>
      </c>
      <c r="H479" s="13">
        <v>0.17649999999999999</v>
      </c>
      <c r="I479" s="14">
        <v>12</v>
      </c>
      <c r="J479" s="15">
        <f t="shared" si="51"/>
        <v>1.4708333333333332E-2</v>
      </c>
      <c r="K479" s="12">
        <f t="shared" si="52"/>
        <v>3865.5304753518299</v>
      </c>
      <c r="L479" s="12">
        <f t="shared" si="53"/>
        <v>46386.365704221957</v>
      </c>
      <c r="M479" s="12">
        <f t="shared" si="54"/>
        <v>4146.3657042219565</v>
      </c>
      <c r="N479" s="12">
        <v>499</v>
      </c>
      <c r="O479" s="12">
        <v>2745.6</v>
      </c>
      <c r="P479" s="9" t="s">
        <v>23</v>
      </c>
      <c r="Q479" s="12">
        <v>0</v>
      </c>
      <c r="R479" s="12">
        <f t="shared" si="55"/>
        <v>1899.7657042219566</v>
      </c>
      <c r="S479" s="9" t="s">
        <v>42</v>
      </c>
      <c r="T479" s="9" t="s">
        <v>49</v>
      </c>
    </row>
    <row r="480" spans="1:20" x14ac:dyDescent="0.3">
      <c r="A480" s="2" t="s">
        <v>999</v>
      </c>
      <c r="B480" s="2" t="s">
        <v>1000</v>
      </c>
      <c r="C480" s="2" t="s">
        <v>41</v>
      </c>
      <c r="D480" s="3">
        <v>583500</v>
      </c>
      <c r="E480" s="4">
        <v>0.15</v>
      </c>
      <c r="F480" s="5">
        <f t="shared" si="49"/>
        <v>87525</v>
      </c>
      <c r="G480" s="5">
        <f t="shared" si="50"/>
        <v>495975</v>
      </c>
      <c r="H480" s="6">
        <v>8.8999999999999996E-2</v>
      </c>
      <c r="I480" s="7">
        <v>36</v>
      </c>
      <c r="J480" s="8">
        <f t="shared" si="51"/>
        <v>7.416666666666666E-3</v>
      </c>
      <c r="K480" s="5">
        <f t="shared" si="52"/>
        <v>15748.79923180006</v>
      </c>
      <c r="L480" s="5">
        <f t="shared" si="53"/>
        <v>566956.77234480216</v>
      </c>
      <c r="M480" s="5">
        <f t="shared" si="54"/>
        <v>70981.772344802157</v>
      </c>
      <c r="N480" s="5">
        <v>4959.75</v>
      </c>
      <c r="O480" s="5">
        <v>96715.125</v>
      </c>
      <c r="P480" s="2" t="s">
        <v>37</v>
      </c>
      <c r="Q480" s="5">
        <v>0</v>
      </c>
      <c r="R480" s="5">
        <f t="shared" si="55"/>
        <v>-20773.602655197843</v>
      </c>
      <c r="S480" s="2" t="s">
        <v>42</v>
      </c>
      <c r="T480" s="2" t="s">
        <v>25</v>
      </c>
    </row>
    <row r="481" spans="1:20" x14ac:dyDescent="0.3">
      <c r="A481" s="9" t="s">
        <v>1001</v>
      </c>
      <c r="B481" s="9" t="s">
        <v>1002</v>
      </c>
      <c r="C481" s="9" t="s">
        <v>22</v>
      </c>
      <c r="D481" s="10">
        <v>103500</v>
      </c>
      <c r="E481" s="11">
        <v>0.25</v>
      </c>
      <c r="F481" s="12">
        <f t="shared" si="49"/>
        <v>25875</v>
      </c>
      <c r="G481" s="12">
        <f t="shared" si="50"/>
        <v>77625</v>
      </c>
      <c r="H481" s="13">
        <v>0.13039999999999999</v>
      </c>
      <c r="I481" s="14">
        <v>36</v>
      </c>
      <c r="J481" s="15">
        <f t="shared" si="51"/>
        <v>1.0866666666666665E-2</v>
      </c>
      <c r="K481" s="12">
        <f t="shared" si="52"/>
        <v>2616.9888364466747</v>
      </c>
      <c r="L481" s="12">
        <f t="shared" si="53"/>
        <v>94211.59811208029</v>
      </c>
      <c r="M481" s="12">
        <f t="shared" si="54"/>
        <v>16586.59811208029</v>
      </c>
      <c r="N481" s="12">
        <v>776.25</v>
      </c>
      <c r="O481" s="12">
        <v>15136.875</v>
      </c>
      <c r="P481" s="9" t="s">
        <v>29</v>
      </c>
      <c r="Q481" s="12">
        <v>31050</v>
      </c>
      <c r="R481" s="12">
        <f t="shared" si="55"/>
        <v>-28824.02688791971</v>
      </c>
      <c r="S481" s="9" t="s">
        <v>30</v>
      </c>
      <c r="T481" s="9" t="s">
        <v>97</v>
      </c>
    </row>
    <row r="482" spans="1:20" x14ac:dyDescent="0.3">
      <c r="A482" s="2" t="s">
        <v>1003</v>
      </c>
      <c r="B482" s="2" t="s">
        <v>1004</v>
      </c>
      <c r="C482" s="2" t="s">
        <v>41</v>
      </c>
      <c r="D482" s="3">
        <v>524200</v>
      </c>
      <c r="E482" s="4">
        <v>0.1</v>
      </c>
      <c r="F482" s="5">
        <f t="shared" si="49"/>
        <v>52420</v>
      </c>
      <c r="G482" s="5">
        <f t="shared" si="50"/>
        <v>471780</v>
      </c>
      <c r="H482" s="6">
        <v>9.7299999999999998E-2</v>
      </c>
      <c r="I482" s="7">
        <v>36</v>
      </c>
      <c r="J482" s="8">
        <f t="shared" si="51"/>
        <v>8.1083333333333337E-3</v>
      </c>
      <c r="K482" s="5">
        <f t="shared" si="52"/>
        <v>15163.279213619771</v>
      </c>
      <c r="L482" s="5">
        <f t="shared" si="53"/>
        <v>545878.05169031175</v>
      </c>
      <c r="M482" s="5">
        <f t="shared" si="54"/>
        <v>74098.051690311753</v>
      </c>
      <c r="N482" s="5">
        <v>4717.8</v>
      </c>
      <c r="O482" s="5">
        <v>91997.1</v>
      </c>
      <c r="P482" s="2" t="s">
        <v>37</v>
      </c>
      <c r="Q482" s="5">
        <v>0</v>
      </c>
      <c r="R482" s="5">
        <f t="shared" si="55"/>
        <v>-13181.24830968825</v>
      </c>
      <c r="S482" s="2" t="s">
        <v>58</v>
      </c>
      <c r="T482" s="2" t="s">
        <v>46</v>
      </c>
    </row>
    <row r="483" spans="1:20" x14ac:dyDescent="0.3">
      <c r="A483" s="9" t="s">
        <v>1005</v>
      </c>
      <c r="B483" s="9" t="s">
        <v>1006</v>
      </c>
      <c r="C483" s="9" t="s">
        <v>22</v>
      </c>
      <c r="D483" s="10">
        <v>222700</v>
      </c>
      <c r="E483" s="11">
        <v>0.25</v>
      </c>
      <c r="F483" s="12">
        <f t="shared" si="49"/>
        <v>55675</v>
      </c>
      <c r="G483" s="12">
        <f t="shared" si="50"/>
        <v>167025</v>
      </c>
      <c r="H483" s="13">
        <v>0.16139999999999999</v>
      </c>
      <c r="I483" s="14">
        <v>60</v>
      </c>
      <c r="J483" s="15">
        <f t="shared" si="51"/>
        <v>1.3449999999999998E-2</v>
      </c>
      <c r="K483" s="12">
        <f t="shared" si="52"/>
        <v>4074.1583592761458</v>
      </c>
      <c r="L483" s="12">
        <f t="shared" si="53"/>
        <v>244449.50155656875</v>
      </c>
      <c r="M483" s="12">
        <f t="shared" si="54"/>
        <v>77424.50155656875</v>
      </c>
      <c r="N483" s="12">
        <v>1670.25</v>
      </c>
      <c r="O483" s="12">
        <v>54283.125</v>
      </c>
      <c r="P483" s="9" t="s">
        <v>37</v>
      </c>
      <c r="Q483" s="12">
        <v>0</v>
      </c>
      <c r="R483" s="12">
        <f t="shared" si="55"/>
        <v>24811.62655656875</v>
      </c>
      <c r="S483" s="9" t="s">
        <v>58</v>
      </c>
      <c r="T483" s="9" t="s">
        <v>52</v>
      </c>
    </row>
    <row r="484" spans="1:20" x14ac:dyDescent="0.3">
      <c r="A484" s="2" t="s">
        <v>1007</v>
      </c>
      <c r="B484" s="2" t="s">
        <v>1008</v>
      </c>
      <c r="C484" s="2" t="s">
        <v>28</v>
      </c>
      <c r="D484" s="3">
        <v>112600</v>
      </c>
      <c r="E484" s="4">
        <v>0.05</v>
      </c>
      <c r="F484" s="5">
        <f t="shared" si="49"/>
        <v>5630</v>
      </c>
      <c r="G484" s="5">
        <f t="shared" si="50"/>
        <v>106970</v>
      </c>
      <c r="H484" s="6">
        <v>0.12759999999999999</v>
      </c>
      <c r="I484" s="7">
        <v>36</v>
      </c>
      <c r="J484" s="8">
        <f t="shared" si="51"/>
        <v>1.0633333333333333E-2</v>
      </c>
      <c r="K484" s="5">
        <f t="shared" si="52"/>
        <v>3591.8888608365305</v>
      </c>
      <c r="L484" s="5">
        <f t="shared" si="53"/>
        <v>129307.9989901151</v>
      </c>
      <c r="M484" s="5">
        <f t="shared" si="54"/>
        <v>22337.998990115098</v>
      </c>
      <c r="N484" s="5">
        <v>1069.7</v>
      </c>
      <c r="O484" s="5">
        <v>20859.150000000001</v>
      </c>
      <c r="P484" s="2" t="s">
        <v>23</v>
      </c>
      <c r="Q484" s="5">
        <v>0</v>
      </c>
      <c r="R484" s="5">
        <f t="shared" si="55"/>
        <v>2548.5489901150977</v>
      </c>
      <c r="S484" s="2" t="s">
        <v>42</v>
      </c>
      <c r="T484" s="2" t="s">
        <v>34</v>
      </c>
    </row>
    <row r="485" spans="1:20" x14ac:dyDescent="0.3">
      <c r="A485" s="9" t="s">
        <v>1009</v>
      </c>
      <c r="B485" s="9" t="s">
        <v>1010</v>
      </c>
      <c r="C485" s="9" t="s">
        <v>41</v>
      </c>
      <c r="D485" s="10">
        <v>1014200</v>
      </c>
      <c r="E485" s="11">
        <v>0.1</v>
      </c>
      <c r="F485" s="12">
        <f t="shared" si="49"/>
        <v>101420</v>
      </c>
      <c r="G485" s="12">
        <f t="shared" si="50"/>
        <v>912780</v>
      </c>
      <c r="H485" s="13">
        <v>0.11459999999999999</v>
      </c>
      <c r="I485" s="14">
        <v>36</v>
      </c>
      <c r="J485" s="15">
        <f t="shared" si="51"/>
        <v>9.5499999999999995E-3</v>
      </c>
      <c r="K485" s="12">
        <f t="shared" si="52"/>
        <v>30082.47763363113</v>
      </c>
      <c r="L485" s="12">
        <f t="shared" si="53"/>
        <v>1082969.1948107206</v>
      </c>
      <c r="M485" s="12">
        <f t="shared" si="54"/>
        <v>170189.19481072063</v>
      </c>
      <c r="N485" s="12">
        <v>9127.8000000000011</v>
      </c>
      <c r="O485" s="12">
        <v>177992.1</v>
      </c>
      <c r="P485" s="9" t="s">
        <v>23</v>
      </c>
      <c r="Q485" s="12">
        <v>0</v>
      </c>
      <c r="R485" s="12">
        <f t="shared" si="55"/>
        <v>1324.8948107206088</v>
      </c>
      <c r="S485" s="9" t="s">
        <v>30</v>
      </c>
      <c r="T485" s="9" t="s">
        <v>52</v>
      </c>
    </row>
    <row r="486" spans="1:20" x14ac:dyDescent="0.3">
      <c r="A486" s="2" t="s">
        <v>1011</v>
      </c>
      <c r="B486" s="2" t="s">
        <v>1012</v>
      </c>
      <c r="C486" s="2" t="s">
        <v>41</v>
      </c>
      <c r="D486" s="3">
        <v>1337100</v>
      </c>
      <c r="E486" s="4">
        <v>0.25</v>
      </c>
      <c r="F486" s="5">
        <f t="shared" si="49"/>
        <v>334275</v>
      </c>
      <c r="G486" s="5">
        <f t="shared" si="50"/>
        <v>1002825</v>
      </c>
      <c r="H486" s="6">
        <v>0.1111</v>
      </c>
      <c r="I486" s="7">
        <v>36</v>
      </c>
      <c r="J486" s="8">
        <f t="shared" si="51"/>
        <v>9.2583333333333337E-3</v>
      </c>
      <c r="K486" s="5">
        <f t="shared" si="52"/>
        <v>32883.467780814528</v>
      </c>
      <c r="L486" s="5">
        <f t="shared" si="53"/>
        <v>1183804.8401093229</v>
      </c>
      <c r="M486" s="5">
        <f t="shared" si="54"/>
        <v>180979.84010932292</v>
      </c>
      <c r="N486" s="5">
        <v>10028.25</v>
      </c>
      <c r="O486" s="5">
        <v>195550.875</v>
      </c>
      <c r="P486" s="2" t="s">
        <v>23</v>
      </c>
      <c r="Q486" s="5">
        <v>0</v>
      </c>
      <c r="R486" s="5">
        <f t="shared" si="55"/>
        <v>-4542.7848906770814</v>
      </c>
      <c r="S486" s="2" t="s">
        <v>58</v>
      </c>
      <c r="T486" s="2" t="s">
        <v>184</v>
      </c>
    </row>
    <row r="487" spans="1:20" x14ac:dyDescent="0.3">
      <c r="A487" s="9" t="s">
        <v>1013</v>
      </c>
      <c r="B487" s="9" t="s">
        <v>1014</v>
      </c>
      <c r="C487" s="9" t="s">
        <v>67</v>
      </c>
      <c r="D487" s="10">
        <v>32900</v>
      </c>
      <c r="E487" s="11">
        <v>0</v>
      </c>
      <c r="F487" s="12">
        <f t="shared" si="49"/>
        <v>0</v>
      </c>
      <c r="G487" s="12">
        <f t="shared" si="50"/>
        <v>32900</v>
      </c>
      <c r="H487" s="13">
        <v>0.1915</v>
      </c>
      <c r="I487" s="14">
        <v>12</v>
      </c>
      <c r="J487" s="15">
        <f t="shared" si="51"/>
        <v>1.5958333333333335E-2</v>
      </c>
      <c r="K487" s="12">
        <f t="shared" si="52"/>
        <v>3034.3071829826044</v>
      </c>
      <c r="L487" s="12">
        <f t="shared" si="53"/>
        <v>36411.686195791255</v>
      </c>
      <c r="M487" s="12">
        <f t="shared" si="54"/>
        <v>3511.6861957912552</v>
      </c>
      <c r="N487" s="12">
        <v>499</v>
      </c>
      <c r="O487" s="12">
        <v>2138.5</v>
      </c>
      <c r="P487" s="9" t="s">
        <v>29</v>
      </c>
      <c r="Q487" s="12">
        <v>13160</v>
      </c>
      <c r="R487" s="12">
        <f t="shared" si="55"/>
        <v>-11287.813804208745</v>
      </c>
      <c r="S487" s="9" t="s">
        <v>42</v>
      </c>
      <c r="T487" s="9" t="s">
        <v>25</v>
      </c>
    </row>
    <row r="488" spans="1:20" x14ac:dyDescent="0.3">
      <c r="A488" s="2" t="s">
        <v>1015</v>
      </c>
      <c r="B488" s="2" t="s">
        <v>1016</v>
      </c>
      <c r="C488" s="2" t="s">
        <v>28</v>
      </c>
      <c r="D488" s="3">
        <v>132100</v>
      </c>
      <c r="E488" s="4">
        <v>0.15</v>
      </c>
      <c r="F488" s="5">
        <f t="shared" si="49"/>
        <v>19815</v>
      </c>
      <c r="G488" s="5">
        <f t="shared" si="50"/>
        <v>112285</v>
      </c>
      <c r="H488" s="6">
        <v>0.15579999999999999</v>
      </c>
      <c r="I488" s="7">
        <v>6</v>
      </c>
      <c r="J488" s="8">
        <f t="shared" si="51"/>
        <v>1.2983333333333333E-2</v>
      </c>
      <c r="K488" s="5">
        <f t="shared" si="52"/>
        <v>19573.710322431929</v>
      </c>
      <c r="L488" s="5">
        <f t="shared" si="53"/>
        <v>117442.26193459157</v>
      </c>
      <c r="M488" s="5">
        <f t="shared" si="54"/>
        <v>5157.2619345915737</v>
      </c>
      <c r="N488" s="5">
        <v>1122.8500000000001</v>
      </c>
      <c r="O488" s="5">
        <v>3649.2625000000003</v>
      </c>
      <c r="P488" s="2" t="s">
        <v>23</v>
      </c>
      <c r="Q488" s="5">
        <v>0</v>
      </c>
      <c r="R488" s="5">
        <f t="shared" si="55"/>
        <v>2630.8494345915738</v>
      </c>
      <c r="S488" s="2" t="s">
        <v>24</v>
      </c>
      <c r="T488" s="2" t="s">
        <v>43</v>
      </c>
    </row>
    <row r="489" spans="1:20" x14ac:dyDescent="0.3">
      <c r="A489" s="9" t="s">
        <v>1017</v>
      </c>
      <c r="B489" s="9" t="s">
        <v>1018</v>
      </c>
      <c r="C489" s="9" t="s">
        <v>28</v>
      </c>
      <c r="D489" s="10">
        <v>29500</v>
      </c>
      <c r="E489" s="11">
        <v>0.2</v>
      </c>
      <c r="F489" s="12">
        <f t="shared" si="49"/>
        <v>5900</v>
      </c>
      <c r="G489" s="12">
        <f t="shared" si="50"/>
        <v>23600</v>
      </c>
      <c r="H489" s="13">
        <v>0.16389999999999999</v>
      </c>
      <c r="I489" s="14">
        <v>6</v>
      </c>
      <c r="J489" s="15">
        <f t="shared" si="51"/>
        <v>1.3658333333333333E-2</v>
      </c>
      <c r="K489" s="12">
        <f t="shared" si="52"/>
        <v>4123.4884745439749</v>
      </c>
      <c r="L489" s="12">
        <f t="shared" si="53"/>
        <v>24740.930847263851</v>
      </c>
      <c r="M489" s="12">
        <f t="shared" si="54"/>
        <v>1140.9308472638513</v>
      </c>
      <c r="N489" s="12">
        <v>499</v>
      </c>
      <c r="O489" s="12">
        <v>767</v>
      </c>
      <c r="P489" s="9" t="s">
        <v>23</v>
      </c>
      <c r="Q489" s="12">
        <v>0</v>
      </c>
      <c r="R489" s="12">
        <f t="shared" si="55"/>
        <v>872.93084726385132</v>
      </c>
      <c r="S489" s="9" t="s">
        <v>58</v>
      </c>
      <c r="T489" s="9" t="s">
        <v>52</v>
      </c>
    </row>
    <row r="490" spans="1:20" x14ac:dyDescent="0.3">
      <c r="A490" s="2" t="s">
        <v>1019</v>
      </c>
      <c r="B490" s="2" t="s">
        <v>1020</v>
      </c>
      <c r="C490" s="2" t="s">
        <v>22</v>
      </c>
      <c r="D490" s="3">
        <v>217100</v>
      </c>
      <c r="E490" s="4">
        <v>0.15</v>
      </c>
      <c r="F490" s="5">
        <f t="shared" si="49"/>
        <v>32565</v>
      </c>
      <c r="G490" s="5">
        <f t="shared" si="50"/>
        <v>184535</v>
      </c>
      <c r="H490" s="6">
        <v>0.13650000000000001</v>
      </c>
      <c r="I490" s="7">
        <v>36</v>
      </c>
      <c r="J490" s="8">
        <f t="shared" si="51"/>
        <v>1.1375000000000001E-2</v>
      </c>
      <c r="K490" s="5">
        <f t="shared" si="52"/>
        <v>6275.6449471427286</v>
      </c>
      <c r="L490" s="5">
        <f t="shared" si="53"/>
        <v>225923.21809713822</v>
      </c>
      <c r="M490" s="5">
        <f t="shared" si="54"/>
        <v>41388.218097138219</v>
      </c>
      <c r="N490" s="5">
        <v>1845.3500000000001</v>
      </c>
      <c r="O490" s="5">
        <v>35984.324999999997</v>
      </c>
      <c r="P490" s="2" t="s">
        <v>23</v>
      </c>
      <c r="Q490" s="5">
        <v>0</v>
      </c>
      <c r="R490" s="5">
        <f t="shared" si="55"/>
        <v>7249.24309713822</v>
      </c>
      <c r="S490" s="2" t="s">
        <v>30</v>
      </c>
      <c r="T490" s="2" t="s">
        <v>97</v>
      </c>
    </row>
    <row r="491" spans="1:20" x14ac:dyDescent="0.3">
      <c r="A491" s="9" t="s">
        <v>1021</v>
      </c>
      <c r="B491" s="9" t="s">
        <v>1022</v>
      </c>
      <c r="C491" s="9" t="s">
        <v>28</v>
      </c>
      <c r="D491" s="10">
        <v>120900</v>
      </c>
      <c r="E491" s="11">
        <v>0.1</v>
      </c>
      <c r="F491" s="12">
        <f t="shared" si="49"/>
        <v>12090</v>
      </c>
      <c r="G491" s="12">
        <f t="shared" si="50"/>
        <v>108810</v>
      </c>
      <c r="H491" s="13">
        <v>0.16800000000000001</v>
      </c>
      <c r="I491" s="14">
        <v>36</v>
      </c>
      <c r="J491" s="15">
        <f t="shared" si="51"/>
        <v>1.4E-2</v>
      </c>
      <c r="K491" s="12">
        <f t="shared" si="52"/>
        <v>3868.5513318089634</v>
      </c>
      <c r="L491" s="12">
        <f t="shared" si="53"/>
        <v>139267.84794512269</v>
      </c>
      <c r="M491" s="12">
        <f t="shared" si="54"/>
        <v>30457.847945122689</v>
      </c>
      <c r="N491" s="12">
        <v>1088.0999999999999</v>
      </c>
      <c r="O491" s="12">
        <v>21217.95</v>
      </c>
      <c r="P491" s="9" t="s">
        <v>23</v>
      </c>
      <c r="Q491" s="12">
        <v>0</v>
      </c>
      <c r="R491" s="12">
        <f t="shared" si="55"/>
        <v>10327.997945122686</v>
      </c>
      <c r="S491" s="9" t="s">
        <v>24</v>
      </c>
      <c r="T491" s="9" t="s">
        <v>43</v>
      </c>
    </row>
    <row r="492" spans="1:20" x14ac:dyDescent="0.3">
      <c r="A492" s="2" t="s">
        <v>1023</v>
      </c>
      <c r="B492" s="2" t="s">
        <v>1024</v>
      </c>
      <c r="C492" s="2" t="s">
        <v>22</v>
      </c>
      <c r="D492" s="3">
        <v>113200</v>
      </c>
      <c r="E492" s="4">
        <v>0.25</v>
      </c>
      <c r="F492" s="5">
        <f t="shared" si="49"/>
        <v>28300</v>
      </c>
      <c r="G492" s="5">
        <f t="shared" si="50"/>
        <v>84900</v>
      </c>
      <c r="H492" s="6">
        <v>0.1273</v>
      </c>
      <c r="I492" s="7">
        <v>36</v>
      </c>
      <c r="J492" s="8">
        <f t="shared" si="51"/>
        <v>1.0608333333333332E-2</v>
      </c>
      <c r="K492" s="5">
        <f t="shared" si="52"/>
        <v>2849.5878716732227</v>
      </c>
      <c r="L492" s="5">
        <f t="shared" si="53"/>
        <v>102585.16338023602</v>
      </c>
      <c r="M492" s="5">
        <f t="shared" si="54"/>
        <v>17685.163380236016</v>
      </c>
      <c r="N492" s="5">
        <v>849</v>
      </c>
      <c r="O492" s="5">
        <v>16555.5</v>
      </c>
      <c r="P492" s="2" t="s">
        <v>23</v>
      </c>
      <c r="Q492" s="5">
        <v>0</v>
      </c>
      <c r="R492" s="5">
        <f t="shared" si="55"/>
        <v>1978.6633802360157</v>
      </c>
      <c r="S492" s="2" t="s">
        <v>24</v>
      </c>
      <c r="T492" s="2" t="s">
        <v>46</v>
      </c>
    </row>
    <row r="493" spans="1:20" x14ac:dyDescent="0.3">
      <c r="A493" s="9" t="s">
        <v>1025</v>
      </c>
      <c r="B493" s="9" t="s">
        <v>1026</v>
      </c>
      <c r="C493" s="9" t="s">
        <v>41</v>
      </c>
      <c r="D493" s="10">
        <v>941700</v>
      </c>
      <c r="E493" s="11">
        <v>0.1</v>
      </c>
      <c r="F493" s="12">
        <f t="shared" si="49"/>
        <v>94170</v>
      </c>
      <c r="G493" s="12">
        <f t="shared" si="50"/>
        <v>847530</v>
      </c>
      <c r="H493" s="13">
        <v>0.10970000000000001</v>
      </c>
      <c r="I493" s="14">
        <v>72</v>
      </c>
      <c r="J493" s="15">
        <f t="shared" si="51"/>
        <v>9.1416666666666677E-3</v>
      </c>
      <c r="K493" s="12">
        <f t="shared" si="52"/>
        <v>16118.933108074089</v>
      </c>
      <c r="L493" s="12">
        <f t="shared" si="53"/>
        <v>1160563.1837813344</v>
      </c>
      <c r="M493" s="12">
        <f t="shared" si="54"/>
        <v>313033.18378133443</v>
      </c>
      <c r="N493" s="12">
        <v>8475.2999999999993</v>
      </c>
      <c r="O493" s="12">
        <v>330536.7</v>
      </c>
      <c r="P493" s="9" t="s">
        <v>37</v>
      </c>
      <c r="Q493" s="12">
        <v>0</v>
      </c>
      <c r="R493" s="12">
        <f t="shared" si="55"/>
        <v>-9028.2162186655914</v>
      </c>
      <c r="S493" s="9" t="s">
        <v>30</v>
      </c>
      <c r="T493" s="9" t="s">
        <v>55</v>
      </c>
    </row>
    <row r="494" spans="1:20" x14ac:dyDescent="0.3">
      <c r="A494" s="2" t="s">
        <v>1027</v>
      </c>
      <c r="B494" s="2" t="s">
        <v>1028</v>
      </c>
      <c r="C494" s="2" t="s">
        <v>67</v>
      </c>
      <c r="D494" s="3">
        <v>103400</v>
      </c>
      <c r="E494" s="4">
        <v>0.2</v>
      </c>
      <c r="F494" s="5">
        <f t="shared" si="49"/>
        <v>20680</v>
      </c>
      <c r="G494" s="5">
        <f t="shared" si="50"/>
        <v>82720</v>
      </c>
      <c r="H494" s="6">
        <v>0.15720000000000001</v>
      </c>
      <c r="I494" s="7">
        <v>6</v>
      </c>
      <c r="J494" s="8">
        <f t="shared" si="51"/>
        <v>1.3100000000000001E-2</v>
      </c>
      <c r="K494" s="5">
        <f t="shared" si="52"/>
        <v>14425.640437863904</v>
      </c>
      <c r="L494" s="5">
        <f t="shared" si="53"/>
        <v>86553.842627183418</v>
      </c>
      <c r="M494" s="5">
        <f t="shared" si="54"/>
        <v>3833.8426271834178</v>
      </c>
      <c r="N494" s="5">
        <v>827.2</v>
      </c>
      <c r="O494" s="5">
        <v>2688.4</v>
      </c>
      <c r="P494" s="2" t="s">
        <v>37</v>
      </c>
      <c r="Q494" s="5">
        <v>0</v>
      </c>
      <c r="R494" s="5">
        <f t="shared" si="55"/>
        <v>1972.6426271834175</v>
      </c>
      <c r="S494" s="2" t="s">
        <v>42</v>
      </c>
      <c r="T494" s="2" t="s">
        <v>46</v>
      </c>
    </row>
    <row r="495" spans="1:20" x14ac:dyDescent="0.3">
      <c r="A495" s="9" t="s">
        <v>1029</v>
      </c>
      <c r="B495" s="9" t="s">
        <v>1030</v>
      </c>
      <c r="C495" s="9" t="s">
        <v>41</v>
      </c>
      <c r="D495" s="10">
        <v>1321200</v>
      </c>
      <c r="E495" s="11">
        <v>0.25</v>
      </c>
      <c r="F495" s="12">
        <f t="shared" si="49"/>
        <v>330300</v>
      </c>
      <c r="G495" s="12">
        <f t="shared" si="50"/>
        <v>990900</v>
      </c>
      <c r="H495" s="13">
        <v>0.1027</v>
      </c>
      <c r="I495" s="14">
        <v>72</v>
      </c>
      <c r="J495" s="15">
        <f t="shared" si="51"/>
        <v>8.5583333333333327E-3</v>
      </c>
      <c r="K495" s="12">
        <f t="shared" si="52"/>
        <v>18492.456346203064</v>
      </c>
      <c r="L495" s="12">
        <f t="shared" si="53"/>
        <v>1331456.8569266205</v>
      </c>
      <c r="M495" s="12">
        <f t="shared" si="54"/>
        <v>340556.85692662047</v>
      </c>
      <c r="N495" s="12">
        <v>9909</v>
      </c>
      <c r="O495" s="12">
        <v>386451</v>
      </c>
      <c r="P495" s="9" t="s">
        <v>23</v>
      </c>
      <c r="Q495" s="12">
        <v>0</v>
      </c>
      <c r="R495" s="12">
        <f t="shared" si="55"/>
        <v>-35985.143073379528</v>
      </c>
      <c r="S495" s="9" t="s">
        <v>30</v>
      </c>
      <c r="T495" s="9" t="s">
        <v>97</v>
      </c>
    </row>
    <row r="496" spans="1:20" x14ac:dyDescent="0.3">
      <c r="A496" s="2" t="s">
        <v>1031</v>
      </c>
      <c r="B496" s="2" t="s">
        <v>1032</v>
      </c>
      <c r="C496" s="2" t="s">
        <v>67</v>
      </c>
      <c r="D496" s="3">
        <v>90500</v>
      </c>
      <c r="E496" s="4">
        <v>0.15</v>
      </c>
      <c r="F496" s="5">
        <f t="shared" si="49"/>
        <v>13575</v>
      </c>
      <c r="G496" s="5">
        <f t="shared" si="50"/>
        <v>76925</v>
      </c>
      <c r="H496" s="6">
        <v>0.18429999999999999</v>
      </c>
      <c r="I496" s="7">
        <v>12</v>
      </c>
      <c r="J496" s="8">
        <f t="shared" si="51"/>
        <v>1.5358333333333333E-2</v>
      </c>
      <c r="K496" s="5">
        <f t="shared" si="52"/>
        <v>7068.2351591889283</v>
      </c>
      <c r="L496" s="5">
        <f t="shared" si="53"/>
        <v>84818.821910267143</v>
      </c>
      <c r="M496" s="5">
        <f t="shared" si="54"/>
        <v>7893.8219102671428</v>
      </c>
      <c r="N496" s="5">
        <v>769.25</v>
      </c>
      <c r="O496" s="5">
        <v>5000.125</v>
      </c>
      <c r="P496" s="2" t="s">
        <v>23</v>
      </c>
      <c r="Q496" s="5">
        <v>0</v>
      </c>
      <c r="R496" s="5">
        <f t="shared" si="55"/>
        <v>3662.9469102671428</v>
      </c>
      <c r="S496" s="2" t="s">
        <v>30</v>
      </c>
      <c r="T496" s="2" t="s">
        <v>31</v>
      </c>
    </row>
    <row r="497" spans="1:20" x14ac:dyDescent="0.3">
      <c r="A497" s="9" t="s">
        <v>1033</v>
      </c>
      <c r="B497" s="9" t="s">
        <v>1034</v>
      </c>
      <c r="C497" s="9" t="s">
        <v>22</v>
      </c>
      <c r="D497" s="10">
        <v>235300</v>
      </c>
      <c r="E497" s="11">
        <v>0.25</v>
      </c>
      <c r="F497" s="12">
        <f t="shared" si="49"/>
        <v>58825</v>
      </c>
      <c r="G497" s="12">
        <f t="shared" si="50"/>
        <v>176475</v>
      </c>
      <c r="H497" s="13">
        <v>0.1103</v>
      </c>
      <c r="I497" s="14">
        <v>48</v>
      </c>
      <c r="J497" s="15">
        <f t="shared" si="51"/>
        <v>9.1916666666666657E-3</v>
      </c>
      <c r="K497" s="12">
        <f t="shared" si="52"/>
        <v>4563.6600773044847</v>
      </c>
      <c r="L497" s="12">
        <f t="shared" si="53"/>
        <v>219055.68371061527</v>
      </c>
      <c r="M497" s="12">
        <f t="shared" si="54"/>
        <v>42580.683710615267</v>
      </c>
      <c r="N497" s="12">
        <v>1764.75</v>
      </c>
      <c r="O497" s="12">
        <v>45883.5</v>
      </c>
      <c r="P497" s="9" t="s">
        <v>23</v>
      </c>
      <c r="Q497" s="12">
        <v>0</v>
      </c>
      <c r="R497" s="12">
        <f t="shared" si="55"/>
        <v>-1538.066289384733</v>
      </c>
      <c r="S497" s="9" t="s">
        <v>58</v>
      </c>
      <c r="T497" s="9" t="s">
        <v>52</v>
      </c>
    </row>
    <row r="498" spans="1:20" x14ac:dyDescent="0.3">
      <c r="A498" s="2" t="s">
        <v>1035</v>
      </c>
      <c r="B498" s="2" t="s">
        <v>1036</v>
      </c>
      <c r="C498" s="2" t="s">
        <v>41</v>
      </c>
      <c r="D498" s="3">
        <v>860500</v>
      </c>
      <c r="E498" s="4">
        <v>0.2</v>
      </c>
      <c r="F498" s="5">
        <f t="shared" si="49"/>
        <v>172100</v>
      </c>
      <c r="G498" s="5">
        <f t="shared" si="50"/>
        <v>688400</v>
      </c>
      <c r="H498" s="6">
        <v>0.1033</v>
      </c>
      <c r="I498" s="7">
        <v>48</v>
      </c>
      <c r="J498" s="8">
        <f t="shared" si="51"/>
        <v>8.6083333333333342E-3</v>
      </c>
      <c r="K498" s="5">
        <f t="shared" si="52"/>
        <v>17568.902688248258</v>
      </c>
      <c r="L498" s="5">
        <f t="shared" si="53"/>
        <v>843307.32903591637</v>
      </c>
      <c r="M498" s="5">
        <f t="shared" si="54"/>
        <v>154907.32903591637</v>
      </c>
      <c r="N498" s="5">
        <v>6884</v>
      </c>
      <c r="O498" s="5">
        <v>178984</v>
      </c>
      <c r="P498" s="2" t="s">
        <v>23</v>
      </c>
      <c r="Q498" s="5">
        <v>0</v>
      </c>
      <c r="R498" s="5">
        <f t="shared" si="55"/>
        <v>-17192.670964083634</v>
      </c>
      <c r="S498" s="2" t="s">
        <v>58</v>
      </c>
      <c r="T498" s="2" t="s">
        <v>184</v>
      </c>
    </row>
    <row r="499" spans="1:20" x14ac:dyDescent="0.3">
      <c r="A499" s="9" t="s">
        <v>1037</v>
      </c>
      <c r="B499" s="9" t="s">
        <v>1038</v>
      </c>
      <c r="C499" s="9" t="s">
        <v>28</v>
      </c>
      <c r="D499" s="10">
        <v>41700</v>
      </c>
      <c r="E499" s="11">
        <v>0.2</v>
      </c>
      <c r="F499" s="12">
        <f t="shared" si="49"/>
        <v>8340</v>
      </c>
      <c r="G499" s="12">
        <f t="shared" si="50"/>
        <v>33360</v>
      </c>
      <c r="H499" s="13">
        <v>0.153</v>
      </c>
      <c r="I499" s="14">
        <v>36</v>
      </c>
      <c r="J499" s="15">
        <f t="shared" si="51"/>
        <v>1.2749999999999999E-2</v>
      </c>
      <c r="K499" s="12">
        <f t="shared" si="52"/>
        <v>1161.3423300168561</v>
      </c>
      <c r="L499" s="12">
        <f t="shared" si="53"/>
        <v>41808.323880606818</v>
      </c>
      <c r="M499" s="12">
        <f t="shared" si="54"/>
        <v>8448.3238806068184</v>
      </c>
      <c r="N499" s="12">
        <v>499</v>
      </c>
      <c r="O499" s="12">
        <v>6505.2000000000007</v>
      </c>
      <c r="P499" s="9" t="s">
        <v>37</v>
      </c>
      <c r="Q499" s="12">
        <v>0</v>
      </c>
      <c r="R499" s="12">
        <f t="shared" si="55"/>
        <v>2442.1238806068177</v>
      </c>
      <c r="S499" s="9" t="s">
        <v>58</v>
      </c>
      <c r="T499" s="9" t="s">
        <v>31</v>
      </c>
    </row>
    <row r="500" spans="1:20" x14ac:dyDescent="0.3">
      <c r="A500" s="2" t="s">
        <v>1039</v>
      </c>
      <c r="B500" s="2" t="s">
        <v>1040</v>
      </c>
      <c r="C500" s="2" t="s">
        <v>22</v>
      </c>
      <c r="D500" s="3">
        <v>192900</v>
      </c>
      <c r="E500" s="4">
        <v>0.25</v>
      </c>
      <c r="F500" s="5">
        <f t="shared" si="49"/>
        <v>48225</v>
      </c>
      <c r="G500" s="5">
        <f t="shared" si="50"/>
        <v>144675</v>
      </c>
      <c r="H500" s="6">
        <v>0.1174</v>
      </c>
      <c r="I500" s="7">
        <v>24</v>
      </c>
      <c r="J500" s="8">
        <f t="shared" si="51"/>
        <v>9.7833333333333331E-3</v>
      </c>
      <c r="K500" s="5">
        <f t="shared" si="52"/>
        <v>6792.8016973179474</v>
      </c>
      <c r="L500" s="5">
        <f t="shared" si="53"/>
        <v>163027.24073563074</v>
      </c>
      <c r="M500" s="5">
        <f t="shared" si="54"/>
        <v>18352.240735630738</v>
      </c>
      <c r="N500" s="5">
        <v>1446.75</v>
      </c>
      <c r="O500" s="5">
        <v>18807.75</v>
      </c>
      <c r="P500" s="2" t="s">
        <v>23</v>
      </c>
      <c r="Q500" s="5">
        <v>0</v>
      </c>
      <c r="R500" s="5">
        <f t="shared" si="55"/>
        <v>991.24073563073762</v>
      </c>
      <c r="S500" s="2" t="s">
        <v>58</v>
      </c>
      <c r="T500" s="2" t="s">
        <v>49</v>
      </c>
    </row>
    <row r="501" spans="1:20" x14ac:dyDescent="0.3">
      <c r="A501" s="9" t="s">
        <v>1041</v>
      </c>
      <c r="B501" s="9" t="s">
        <v>1042</v>
      </c>
      <c r="C501" s="9" t="s">
        <v>67</v>
      </c>
      <c r="D501" s="10">
        <v>87600</v>
      </c>
      <c r="E501" s="11">
        <v>0.15</v>
      </c>
      <c r="F501" s="12">
        <f t="shared" si="49"/>
        <v>13140</v>
      </c>
      <c r="G501" s="12">
        <f t="shared" si="50"/>
        <v>74460</v>
      </c>
      <c r="H501" s="13">
        <v>0.218</v>
      </c>
      <c r="I501" s="14">
        <v>6</v>
      </c>
      <c r="J501" s="15">
        <f t="shared" si="51"/>
        <v>1.8166666666666668E-2</v>
      </c>
      <c r="K501" s="12">
        <f t="shared" si="52"/>
        <v>13210.905221833193</v>
      </c>
      <c r="L501" s="12">
        <f t="shared" si="53"/>
        <v>79265.431330999156</v>
      </c>
      <c r="M501" s="12">
        <f t="shared" si="54"/>
        <v>4805.4313309991558</v>
      </c>
      <c r="N501" s="12">
        <v>744.6</v>
      </c>
      <c r="O501" s="12">
        <v>2419.9500000000003</v>
      </c>
      <c r="P501" s="9" t="s">
        <v>23</v>
      </c>
      <c r="Q501" s="12">
        <v>0</v>
      </c>
      <c r="R501" s="12">
        <f t="shared" si="55"/>
        <v>3130.0813309991559</v>
      </c>
      <c r="S501" s="9" t="s">
        <v>58</v>
      </c>
      <c r="T501" s="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SINGH</dc:creator>
  <cp:lastModifiedBy>Tufan Bera</cp:lastModifiedBy>
  <dcterms:created xsi:type="dcterms:W3CDTF">2026-08-26T18:45:58Z</dcterms:created>
  <dcterms:modified xsi:type="dcterms:W3CDTF">2026-08-27T16:46:03Z</dcterms:modified>
</cp:coreProperties>
</file>